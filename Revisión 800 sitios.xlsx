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Documentos\10 Supervisión Sitios\800 sitios\"/>
    </mc:Choice>
  </mc:AlternateContent>
  <xr:revisionPtr revIDLastSave="0" documentId="13_ncr:1_{7256E58F-2536-4959-BB7A-018A6672DF03}" xr6:coauthVersionLast="47" xr6:coauthVersionMax="47" xr10:uidLastSave="{00000000-0000-0000-0000-000000000000}"/>
  <bookViews>
    <workbookView xWindow="-120" yWindow="-120" windowWidth="20730" windowHeight="11760" xr2:uid="{00000000-000D-0000-FFFF-FFFF00000000}"/>
  </bookViews>
  <sheets>
    <sheet name="Estadísticas" sheetId="11" r:id="rId1"/>
    <sheet name="BD1" sheetId="12" r:id="rId2"/>
    <sheet name="BD2" sheetId="8" r:id="rId3"/>
  </sheets>
  <definedNames>
    <definedName name="_xlnm._FilterDatabase" localSheetId="1" hidden="1">'BD1'!$A$1:$AF$1139</definedName>
    <definedName name="_xlnm._FilterDatabase" localSheetId="2" hidden="1">'BD2'!$A$1:$AF$1139</definedName>
    <definedName name="_xlnm._FilterDatabase" localSheetId="0" hidden="1">Estadísticas!$V$2:$Y$418</definedName>
  </definedNames>
  <calcPr calcId="181029"/>
  <extLst>
    <ext uri="GoogleSheetsCustomDataVersion2">
      <go:sheetsCustomData xmlns:go="http://customooxmlschemas.google.com/" r:id="rId5" roundtripDataChecksum="u8dYe37Pk0OGidHEuJdFb9a2KoLbNf482CmiFz3bNSU="/>
    </ext>
  </extLst>
</workbook>
</file>

<file path=xl/calcChain.xml><?xml version="1.0" encoding="utf-8"?>
<calcChain xmlns="http://schemas.openxmlformats.org/spreadsheetml/2006/main">
  <c r="Z117" i="8" l="1"/>
  <c r="AE531" i="12"/>
  <c r="AF531" i="12" s="1"/>
  <c r="Q531" i="12"/>
  <c r="P531" i="12"/>
  <c r="O531" i="12"/>
  <c r="L531" i="12"/>
  <c r="Z531" i="8"/>
  <c r="AE531" i="8" s="1"/>
  <c r="AF531" i="8" s="1"/>
  <c r="Q531" i="8"/>
  <c r="P531" i="8"/>
  <c r="O531" i="8"/>
  <c r="L531" i="8"/>
  <c r="Z1046" i="8"/>
  <c r="Z1103" i="8"/>
  <c r="Z1062" i="8"/>
  <c r="L355" i="12"/>
  <c r="Z413" i="8"/>
  <c r="AE413" i="8" s="1"/>
  <c r="AF413" i="8" s="1"/>
  <c r="Z412" i="8"/>
  <c r="AE412" i="8" s="1"/>
  <c r="AF412" i="8" s="1"/>
  <c r="L413" i="8"/>
  <c r="L412" i="8"/>
  <c r="O412" i="8"/>
  <c r="P412" i="8"/>
  <c r="Q412" i="8"/>
  <c r="O413" i="8"/>
  <c r="P413" i="8"/>
  <c r="Q413" i="8"/>
  <c r="L413" i="12"/>
  <c r="L412" i="12"/>
  <c r="O412" i="12"/>
  <c r="P412" i="12"/>
  <c r="Q412" i="12"/>
  <c r="AE412" i="12"/>
  <c r="AF412" i="12" s="1"/>
  <c r="O413" i="12"/>
  <c r="P413" i="12"/>
  <c r="Q413" i="12"/>
  <c r="AE413" i="12"/>
  <c r="AF413" i="12" s="1"/>
  <c r="Z3" i="8"/>
  <c r="AE3" i="8" s="1"/>
  <c r="X4" i="11" s="1"/>
  <c r="Z4" i="8"/>
  <c r="Z5" i="8"/>
  <c r="Z6" i="8"/>
  <c r="Z7" i="8"/>
  <c r="Z8" i="8"/>
  <c r="Z9" i="8"/>
  <c r="Z10" i="8"/>
  <c r="Z11" i="8"/>
  <c r="AE11" i="8" s="1"/>
  <c r="X12" i="11" s="1"/>
  <c r="Z12" i="8"/>
  <c r="Z13" i="8"/>
  <c r="Z14" i="8"/>
  <c r="Z15" i="8"/>
  <c r="AE15" i="8" s="1"/>
  <c r="X16" i="11" s="1"/>
  <c r="Z16" i="8"/>
  <c r="Z17" i="8"/>
  <c r="Z18" i="8"/>
  <c r="AE18" i="8" s="1"/>
  <c r="X19" i="11" s="1"/>
  <c r="Z20" i="8"/>
  <c r="Z21" i="8"/>
  <c r="Z22" i="8"/>
  <c r="Z23" i="8"/>
  <c r="Z24" i="8"/>
  <c r="AE24" i="8" s="1"/>
  <c r="X24" i="11" s="1"/>
  <c r="Z26" i="8"/>
  <c r="AE26" i="8" s="1"/>
  <c r="X25" i="11" s="1"/>
  <c r="Z28" i="8"/>
  <c r="Z29" i="8"/>
  <c r="Z30" i="8"/>
  <c r="Z35" i="8"/>
  <c r="AE35" i="8" s="1"/>
  <c r="X29" i="11" s="1"/>
  <c r="Z36" i="8"/>
  <c r="AE36" i="8" s="1"/>
  <c r="X30" i="11" s="1"/>
  <c r="Z37" i="8"/>
  <c r="AE37" i="8" s="1"/>
  <c r="X31" i="11" s="1"/>
  <c r="Z38" i="8"/>
  <c r="Z39" i="8"/>
  <c r="Z40" i="8"/>
  <c r="Z41" i="8"/>
  <c r="Z43" i="8"/>
  <c r="AE43" i="8" s="1"/>
  <c r="X36" i="11" s="1"/>
  <c r="Z44" i="8"/>
  <c r="Z46" i="8"/>
  <c r="Z47" i="8"/>
  <c r="Z54" i="8"/>
  <c r="Z55" i="8"/>
  <c r="Z57" i="8"/>
  <c r="AE57" i="8" s="1"/>
  <c r="X42" i="11" s="1"/>
  <c r="Z61" i="8"/>
  <c r="Z62" i="8"/>
  <c r="Z65" i="8"/>
  <c r="Z66" i="8"/>
  <c r="AE66" i="8" s="1"/>
  <c r="X47" i="11" s="1"/>
  <c r="Z67" i="8"/>
  <c r="AE67" i="8" s="1"/>
  <c r="X48" i="11" s="1"/>
  <c r="Z68" i="8"/>
  <c r="Z69" i="8"/>
  <c r="Z71" i="8"/>
  <c r="Z72" i="8"/>
  <c r="Z73" i="8"/>
  <c r="AE73" i="8" s="1"/>
  <c r="X53" i="11" s="1"/>
  <c r="Z75" i="8"/>
  <c r="AE75" i="8" s="1"/>
  <c r="X54" i="11" s="1"/>
  <c r="Z76" i="8"/>
  <c r="AE76" i="8" s="1"/>
  <c r="X55" i="11" s="1"/>
  <c r="Z77" i="8"/>
  <c r="Z79" i="8"/>
  <c r="Z80" i="8"/>
  <c r="Z81" i="8"/>
  <c r="Z82" i="8"/>
  <c r="AE82" i="8" s="1"/>
  <c r="X60" i="11" s="1"/>
  <c r="Z85" i="8"/>
  <c r="Z87" i="8"/>
  <c r="Z88" i="8"/>
  <c r="Z89" i="8"/>
  <c r="Z95" i="8"/>
  <c r="Z96" i="8"/>
  <c r="Z98" i="8"/>
  <c r="AE98" i="8" s="1"/>
  <c r="X67" i="11" s="1"/>
  <c r="Z99" i="8"/>
  <c r="Z100" i="8"/>
  <c r="Z101" i="8"/>
  <c r="Z102" i="8"/>
  <c r="Z103" i="8"/>
  <c r="Z105" i="8"/>
  <c r="Z107" i="8"/>
  <c r="AE107" i="8" s="1"/>
  <c r="X74" i="11" s="1"/>
  <c r="Z109" i="8"/>
  <c r="Z111" i="8"/>
  <c r="Z113" i="8"/>
  <c r="Z114" i="8"/>
  <c r="AE114" i="8" s="1"/>
  <c r="X78" i="11" s="1"/>
  <c r="Z119" i="8"/>
  <c r="Z120" i="8"/>
  <c r="Z122" i="8"/>
  <c r="AE122" i="8" s="1"/>
  <c r="X82" i="11" s="1"/>
  <c r="Z123" i="8"/>
  <c r="AE123" i="8" s="1"/>
  <c r="X83" i="11" s="1"/>
  <c r="Z124" i="8"/>
  <c r="Z125" i="8"/>
  <c r="Z128" i="8"/>
  <c r="Z130" i="8"/>
  <c r="AE130" i="8" s="1"/>
  <c r="X87" i="11" s="1"/>
  <c r="Z131" i="8"/>
  <c r="AE131" i="8" s="1"/>
  <c r="X88" i="11" s="1"/>
  <c r="Z132" i="8"/>
  <c r="Z133" i="8"/>
  <c r="Z135" i="8"/>
  <c r="Z136" i="8"/>
  <c r="Z137" i="8"/>
  <c r="Z138" i="8"/>
  <c r="AE138" i="8" s="1"/>
  <c r="X94" i="11" s="1"/>
  <c r="Z139" i="8"/>
  <c r="Z140" i="8"/>
  <c r="Z141" i="8"/>
  <c r="Z144" i="8"/>
  <c r="Z145" i="8"/>
  <c r="Z148" i="8"/>
  <c r="Z150" i="8"/>
  <c r="Z151" i="8"/>
  <c r="Z153" i="8"/>
  <c r="Z154" i="8"/>
  <c r="AE154" i="8" s="1"/>
  <c r="X104" i="11" s="1"/>
  <c r="Z155" i="8"/>
  <c r="Z159" i="8"/>
  <c r="AE159" i="8" s="1"/>
  <c r="X106" i="11" s="1"/>
  <c r="Z162" i="8"/>
  <c r="AE162" i="8" s="1"/>
  <c r="X107" i="11" s="1"/>
  <c r="Z163" i="8"/>
  <c r="AE163" i="8" s="1"/>
  <c r="X108" i="11" s="1"/>
  <c r="Z166" i="8"/>
  <c r="Z167" i="8"/>
  <c r="Z168" i="8"/>
  <c r="Z172" i="8"/>
  <c r="Z173" i="8"/>
  <c r="Z175" i="8"/>
  <c r="Z178" i="8"/>
  <c r="AE178" i="8" s="1"/>
  <c r="X115" i="11" s="1"/>
  <c r="Z179" i="8"/>
  <c r="AE179" i="8" s="1"/>
  <c r="X116" i="11" s="1"/>
  <c r="Z183" i="8"/>
  <c r="AE183" i="8" s="1"/>
  <c r="X117" i="11" s="1"/>
  <c r="Z184" i="8"/>
  <c r="Z185" i="8"/>
  <c r="AE185" i="8" s="1"/>
  <c r="X119" i="11" s="1"/>
  <c r="Z187" i="8"/>
  <c r="AE187" i="8" s="1"/>
  <c r="X120" i="11" s="1"/>
  <c r="Z191" i="8"/>
  <c r="Z192" i="8"/>
  <c r="Z195" i="8"/>
  <c r="Z202" i="8"/>
  <c r="AE202" i="8" s="1"/>
  <c r="X124" i="11" s="1"/>
  <c r="Z209" i="8"/>
  <c r="Z213" i="8"/>
  <c r="Z214" i="8"/>
  <c r="Z215" i="8"/>
  <c r="Z216" i="8"/>
  <c r="Z217" i="8"/>
  <c r="Z218" i="8"/>
  <c r="AE218" i="8" s="1"/>
  <c r="X131" i="11" s="1"/>
  <c r="Z219" i="8"/>
  <c r="Z220" i="8"/>
  <c r="Z221" i="8"/>
  <c r="Z222" i="8"/>
  <c r="Z224" i="8"/>
  <c r="Z225" i="8"/>
  <c r="Z227" i="8"/>
  <c r="AE227" i="8" s="1"/>
  <c r="X138" i="11" s="1"/>
  <c r="Z228" i="8"/>
  <c r="Z229" i="8"/>
  <c r="Z230" i="8"/>
  <c r="Z232" i="8"/>
  <c r="Z235" i="8"/>
  <c r="AE235" i="8" s="1"/>
  <c r="X143" i="11" s="1"/>
  <c r="Z236" i="8"/>
  <c r="Z238" i="8"/>
  <c r="Z240" i="8"/>
  <c r="Z242" i="8"/>
  <c r="AE242" i="8" s="1"/>
  <c r="X147" i="11" s="1"/>
  <c r="Z243" i="8"/>
  <c r="AE243" i="8" s="1"/>
  <c r="X148" i="11" s="1"/>
  <c r="Z245" i="8"/>
  <c r="Z246" i="8"/>
  <c r="Z248" i="8"/>
  <c r="Z250" i="8"/>
  <c r="AE250" i="8" s="1"/>
  <c r="X152" i="11" s="1"/>
  <c r="Z254" i="8"/>
  <c r="Z258" i="8"/>
  <c r="AE258" i="8" s="1"/>
  <c r="X154" i="11" s="1"/>
  <c r="Z263" i="8"/>
  <c r="AE263" i="8" s="1"/>
  <c r="AF263" i="8" s="1"/>
  <c r="Z269" i="8"/>
  <c r="Z270" i="8"/>
  <c r="Z271" i="8"/>
  <c r="Z272" i="8"/>
  <c r="Z273" i="8"/>
  <c r="Z274" i="8"/>
  <c r="AE274" i="8" s="1"/>
  <c r="X160" i="11" s="1"/>
  <c r="Z276" i="8"/>
  <c r="Z278" i="8"/>
  <c r="Z280" i="8"/>
  <c r="Z305" i="8"/>
  <c r="Z319" i="8"/>
  <c r="Z324" i="8"/>
  <c r="Z325" i="8"/>
  <c r="Z326" i="8"/>
  <c r="Z327" i="8"/>
  <c r="Z338" i="8"/>
  <c r="AE338" i="8" s="1"/>
  <c r="X170" i="11" s="1"/>
  <c r="Z340" i="8"/>
  <c r="AE340" i="8" s="1"/>
  <c r="X171" i="11" s="1"/>
  <c r="Z342" i="8"/>
  <c r="Z344" i="8"/>
  <c r="Z345" i="8"/>
  <c r="Z347" i="8"/>
  <c r="AE347" i="8" s="1"/>
  <c r="X175" i="11" s="1"/>
  <c r="Z351" i="8"/>
  <c r="Z352" i="8"/>
  <c r="Z353" i="8"/>
  <c r="Z354" i="8"/>
  <c r="AE354" i="8" s="1"/>
  <c r="X179" i="11" s="1"/>
  <c r="Z355" i="8"/>
  <c r="AE355" i="8" s="1"/>
  <c r="X180" i="11" s="1"/>
  <c r="Z356" i="8"/>
  <c r="Z358" i="8"/>
  <c r="Z359" i="8"/>
  <c r="Z360" i="8"/>
  <c r="Z362" i="8"/>
  <c r="AE362" i="8" s="1"/>
  <c r="X185" i="11" s="1"/>
  <c r="Z363" i="8"/>
  <c r="AE363" i="8" s="1"/>
  <c r="X186" i="11" s="1"/>
  <c r="Z365" i="8"/>
  <c r="Z368" i="8"/>
  <c r="Z369" i="8"/>
  <c r="Z371" i="8"/>
  <c r="AE371" i="8" s="1"/>
  <c r="X190" i="11" s="1"/>
  <c r="Z372" i="8"/>
  <c r="Z374" i="8"/>
  <c r="Z377" i="8"/>
  <c r="Z378" i="8"/>
  <c r="AE378" i="8" s="1"/>
  <c r="X194" i="11" s="1"/>
  <c r="Z379" i="8"/>
  <c r="AE379" i="8" s="1"/>
  <c r="X195" i="11" s="1"/>
  <c r="Z381" i="8"/>
  <c r="Z385" i="8"/>
  <c r="Z388" i="8"/>
  <c r="Z389" i="8"/>
  <c r="Z390" i="8"/>
  <c r="Z398" i="8"/>
  <c r="Z399" i="8"/>
  <c r="Z403" i="8"/>
  <c r="AE403" i="8" s="1"/>
  <c r="X203" i="11" s="1"/>
  <c r="Z404" i="8"/>
  <c r="Z406" i="8"/>
  <c r="Z407" i="8"/>
  <c r="Z414" i="8"/>
  <c r="Z415" i="8"/>
  <c r="Z417" i="8"/>
  <c r="Z419" i="8"/>
  <c r="Z420" i="8"/>
  <c r="AE420" i="8" s="1"/>
  <c r="X211" i="11" s="1"/>
  <c r="Z422" i="8"/>
  <c r="Z428" i="8"/>
  <c r="AE428" i="8" s="1"/>
  <c r="X213" i="11" s="1"/>
  <c r="Z430" i="8"/>
  <c r="Z433" i="8"/>
  <c r="Z435" i="8"/>
  <c r="AE435" i="8" s="1"/>
  <c r="X216" i="11" s="1"/>
  <c r="Z436" i="8"/>
  <c r="AE436" i="8" s="1"/>
  <c r="X217" i="11" s="1"/>
  <c r="Z437" i="8"/>
  <c r="AE437" i="8" s="1"/>
  <c r="X218" i="11" s="1"/>
  <c r="Z438" i="8"/>
  <c r="Z439" i="8"/>
  <c r="Z440" i="8"/>
  <c r="Z441" i="8"/>
  <c r="Z442" i="8"/>
  <c r="Z443" i="8"/>
  <c r="Z444" i="8"/>
  <c r="Z445" i="8"/>
  <c r="AE445" i="8" s="1"/>
  <c r="X226" i="11" s="1"/>
  <c r="Z446" i="8"/>
  <c r="Z447" i="8"/>
  <c r="Z448" i="8"/>
  <c r="Z449" i="8"/>
  <c r="Z450" i="8"/>
  <c r="Z451" i="8"/>
  <c r="Z452" i="8"/>
  <c r="AE452" i="8" s="1"/>
  <c r="X233" i="11" s="1"/>
  <c r="Z458" i="8"/>
  <c r="Z463" i="8"/>
  <c r="Z464" i="8"/>
  <c r="Z466" i="8"/>
  <c r="Z467" i="8"/>
  <c r="Z468" i="8"/>
  <c r="AE468" i="8" s="1"/>
  <c r="X239" i="11" s="1"/>
  <c r="Z469" i="8"/>
  <c r="Z472" i="8"/>
  <c r="Z473" i="8"/>
  <c r="Z477" i="8"/>
  <c r="Z478" i="8"/>
  <c r="Z480" i="8"/>
  <c r="Z483" i="8"/>
  <c r="Z487" i="8"/>
  <c r="Z491" i="8"/>
  <c r="Z492" i="8"/>
  <c r="AE492" i="8" s="1"/>
  <c r="X249" i="11" s="1"/>
  <c r="Z493" i="8"/>
  <c r="AE493" i="8" s="1"/>
  <c r="X250" i="11" s="1"/>
  <c r="Z494" i="8"/>
  <c r="Z495" i="8"/>
  <c r="Z497" i="8"/>
  <c r="Z499" i="8"/>
  <c r="Z501" i="8"/>
  <c r="AE501" i="8" s="1"/>
  <c r="X255" i="11" s="1"/>
  <c r="Z503" i="8"/>
  <c r="Z504" i="8"/>
  <c r="Z509" i="8"/>
  <c r="AE509" i="8" s="1"/>
  <c r="X258" i="11" s="1"/>
  <c r="Z510" i="8"/>
  <c r="Z511" i="8"/>
  <c r="Z514" i="8"/>
  <c r="Z515" i="8"/>
  <c r="Z516" i="8"/>
  <c r="AE516" i="8" s="1"/>
  <c r="X263" i="11" s="1"/>
  <c r="Z523" i="8"/>
  <c r="Z525" i="8"/>
  <c r="Z526" i="8"/>
  <c r="Z527" i="8"/>
  <c r="Z528" i="8"/>
  <c r="AE528" i="8" s="1"/>
  <c r="X268" i="11" s="1"/>
  <c r="Z529" i="8"/>
  <c r="Z530" i="8"/>
  <c r="Z532" i="8"/>
  <c r="Z533" i="8"/>
  <c r="Z534" i="8"/>
  <c r="Z535" i="8"/>
  <c r="Z536" i="8"/>
  <c r="Z537" i="8"/>
  <c r="Z538" i="8"/>
  <c r="Z539" i="8"/>
  <c r="Z540" i="8"/>
  <c r="Z599" i="8"/>
  <c r="Z651" i="8"/>
  <c r="Z659" i="8"/>
  <c r="Z664" i="8"/>
  <c r="Z667" i="8"/>
  <c r="X286" i="11"/>
  <c r="Z670" i="8"/>
  <c r="AE670" i="8" s="1"/>
  <c r="X287" i="11" s="1"/>
  <c r="Z699" i="8"/>
  <c r="Z702" i="8"/>
  <c r="Z705" i="8"/>
  <c r="Z706" i="8"/>
  <c r="Z707" i="8"/>
  <c r="Z708" i="8"/>
  <c r="Z709" i="8"/>
  <c r="Z710" i="8"/>
  <c r="AE710" i="8" s="1"/>
  <c r="X295" i="11" s="1"/>
  <c r="Z711" i="8"/>
  <c r="Z712" i="8"/>
  <c r="Z713" i="8"/>
  <c r="Z714" i="8"/>
  <c r="Z715" i="8"/>
  <c r="Z716" i="8"/>
  <c r="Z717" i="8"/>
  <c r="AE717" i="8" s="1"/>
  <c r="X302" i="11" s="1"/>
  <c r="Z718" i="8"/>
  <c r="Z719" i="8"/>
  <c r="Z720" i="8"/>
  <c r="Z721" i="8"/>
  <c r="Z722" i="8"/>
  <c r="Z723" i="8"/>
  <c r="Z724" i="8"/>
  <c r="Z725" i="8"/>
  <c r="AE725" i="8" s="1"/>
  <c r="X310" i="11" s="1"/>
  <c r="Z726" i="8"/>
  <c r="Z727" i="8"/>
  <c r="Z728" i="8"/>
  <c r="Z729" i="8"/>
  <c r="Z730" i="8"/>
  <c r="Z739" i="8"/>
  <c r="AE739" i="8" s="1"/>
  <c r="X316" i="11" s="1"/>
  <c r="Z743" i="8"/>
  <c r="Z748" i="8"/>
  <c r="Z762" i="8"/>
  <c r="Z763" i="8"/>
  <c r="Z767" i="8"/>
  <c r="Z790" i="8"/>
  <c r="AE790" i="8" s="1"/>
  <c r="X322" i="11" s="1"/>
  <c r="Z791" i="8"/>
  <c r="Z795" i="8"/>
  <c r="Z798" i="8"/>
  <c r="Z799" i="8"/>
  <c r="Z805" i="8"/>
  <c r="AE805" i="8" s="1"/>
  <c r="X327" i="11" s="1"/>
  <c r="Z819" i="8"/>
  <c r="Z852" i="8"/>
  <c r="Z860" i="8"/>
  <c r="Z861" i="8"/>
  <c r="AE861" i="8" s="1"/>
  <c r="X331" i="11" s="1"/>
  <c r="Z862" i="8"/>
  <c r="AE862" i="8" s="1"/>
  <c r="X332" i="11" s="1"/>
  <c r="Z864" i="8"/>
  <c r="Z865" i="8"/>
  <c r="Z867" i="8"/>
  <c r="Z873" i="8"/>
  <c r="Z874" i="8"/>
  <c r="Z885" i="8"/>
  <c r="AE885" i="8" s="1"/>
  <c r="X338" i="11" s="1"/>
  <c r="Z887" i="8"/>
  <c r="Z890" i="8"/>
  <c r="Z891" i="8"/>
  <c r="Z892" i="8"/>
  <c r="Z897" i="8"/>
  <c r="Z903" i="8"/>
  <c r="Z905" i="8"/>
  <c r="Z906" i="8"/>
  <c r="Z908" i="8"/>
  <c r="Z910" i="8"/>
  <c r="AE910" i="8" s="1"/>
  <c r="X348" i="11" s="1"/>
  <c r="Z912" i="8"/>
  <c r="Z917" i="8"/>
  <c r="AE917" i="8" s="1"/>
  <c r="X350" i="11" s="1"/>
  <c r="Z921" i="8"/>
  <c r="Z925" i="8"/>
  <c r="AE925" i="8" s="1"/>
  <c r="X352" i="11" s="1"/>
  <c r="Z936" i="8"/>
  <c r="Z940" i="8"/>
  <c r="Z942" i="8"/>
  <c r="Z946" i="8"/>
  <c r="Z957" i="8"/>
  <c r="AE957" i="8" s="1"/>
  <c r="X358" i="11" s="1"/>
  <c r="Z964" i="8"/>
  <c r="Z972" i="8"/>
  <c r="Z982" i="8"/>
  <c r="Z986" i="8"/>
  <c r="Z987" i="8"/>
  <c r="Z995" i="8"/>
  <c r="Z996" i="8"/>
  <c r="Z997" i="8"/>
  <c r="Z998" i="8"/>
  <c r="Z999" i="8"/>
  <c r="Z1000" i="8"/>
  <c r="AE1000" i="8" s="1"/>
  <c r="X369" i="11" s="1"/>
  <c r="Z1001" i="8"/>
  <c r="AE1001" i="8" s="1"/>
  <c r="X370" i="11" s="1"/>
  <c r="Z1002" i="8"/>
  <c r="Z1009" i="8"/>
  <c r="Z1014" i="8"/>
  <c r="Z1022" i="8"/>
  <c r="Z1034" i="8"/>
  <c r="Z1035" i="8"/>
  <c r="Z1036" i="8"/>
  <c r="Z1040" i="8"/>
  <c r="Z1041" i="8"/>
  <c r="Z1048" i="8"/>
  <c r="Z1052" i="8"/>
  <c r="Z1066" i="8"/>
  <c r="Z1067" i="8"/>
  <c r="Z1070" i="8"/>
  <c r="Z1074" i="8"/>
  <c r="Z1085" i="8"/>
  <c r="AE1085" i="8" s="1"/>
  <c r="X389" i="11" s="1"/>
  <c r="Z1086" i="8"/>
  <c r="Z1087" i="8"/>
  <c r="Z1089" i="8"/>
  <c r="Z1092" i="8"/>
  <c r="Z1094" i="8"/>
  <c r="Z1095" i="8"/>
  <c r="Z1098" i="8"/>
  <c r="Z1104" i="8"/>
  <c r="Z1105" i="8"/>
  <c r="Z1106" i="8"/>
  <c r="Z1107" i="8"/>
  <c r="Z1113" i="8"/>
  <c r="Z1116" i="8"/>
  <c r="Z1117" i="8"/>
  <c r="AE1117" i="8" s="1"/>
  <c r="X404" i="11" s="1"/>
  <c r="Z1119" i="8"/>
  <c r="Z1120" i="8"/>
  <c r="Z1121" i="8"/>
  <c r="Z1122" i="8"/>
  <c r="Z1128" i="8"/>
  <c r="Z1130" i="8"/>
  <c r="Z1132" i="8"/>
  <c r="Z1133" i="8"/>
  <c r="AE1133" i="8" s="1"/>
  <c r="X412" i="11" s="1"/>
  <c r="Z1134" i="8"/>
  <c r="Z1135" i="8"/>
  <c r="Z1136" i="8"/>
  <c r="Z1137" i="8"/>
  <c r="AE1137" i="8" s="1"/>
  <c r="X416" i="11" s="1"/>
  <c r="Z1138" i="8"/>
  <c r="Z1139" i="8"/>
  <c r="Z2" i="8"/>
  <c r="L1139" i="8"/>
  <c r="L1138" i="8"/>
  <c r="L1137" i="8"/>
  <c r="L1136" i="8"/>
  <c r="L1135" i="8"/>
  <c r="L1134" i="8"/>
  <c r="L1133" i="8"/>
  <c r="L1132" i="8"/>
  <c r="L1131" i="8"/>
  <c r="L1130" i="8"/>
  <c r="L1129" i="8"/>
  <c r="L1128" i="8"/>
  <c r="L1127" i="8"/>
  <c r="L1126" i="8"/>
  <c r="L1125" i="8"/>
  <c r="L1124" i="8"/>
  <c r="L1123" i="8"/>
  <c r="L1122" i="8"/>
  <c r="L1121" i="8"/>
  <c r="L1120" i="8"/>
  <c r="L1119" i="8"/>
  <c r="L1118" i="8"/>
  <c r="L1117" i="8"/>
  <c r="L1116" i="8"/>
  <c r="L1115" i="8"/>
  <c r="L1114" i="8"/>
  <c r="L1113" i="8"/>
  <c r="L1112" i="8"/>
  <c r="L1111" i="8"/>
  <c r="L1110" i="8"/>
  <c r="L1109" i="8"/>
  <c r="L1108" i="8"/>
  <c r="L1107" i="8"/>
  <c r="L1106" i="8"/>
  <c r="L1105" i="8"/>
  <c r="L1104" i="8"/>
  <c r="L1103" i="8"/>
  <c r="L1102" i="8"/>
  <c r="L1101" i="8"/>
  <c r="L1100" i="8"/>
  <c r="L1099" i="8"/>
  <c r="L1098" i="8"/>
  <c r="L1097" i="8"/>
  <c r="L1096" i="8"/>
  <c r="L1095" i="8"/>
  <c r="L1094" i="8"/>
  <c r="L1093" i="8"/>
  <c r="L1092" i="8"/>
  <c r="L1091" i="8"/>
  <c r="L1090" i="8"/>
  <c r="L1089" i="8"/>
  <c r="L1088" i="8"/>
  <c r="L1087" i="8"/>
  <c r="L1086" i="8"/>
  <c r="L1085" i="8"/>
  <c r="L1084" i="8"/>
  <c r="L1083" i="8"/>
  <c r="L1082" i="8"/>
  <c r="L1081" i="8"/>
  <c r="L1080" i="8"/>
  <c r="L1079" i="8"/>
  <c r="L1078" i="8"/>
  <c r="L1077" i="8"/>
  <c r="L1076" i="8"/>
  <c r="L1075" i="8"/>
  <c r="L1074" i="8"/>
  <c r="L1073" i="8"/>
  <c r="L1072" i="8"/>
  <c r="L1071" i="8"/>
  <c r="L1070" i="8"/>
  <c r="L1069" i="8"/>
  <c r="L1068" i="8"/>
  <c r="L1067" i="8"/>
  <c r="L1066" i="8"/>
  <c r="L1065" i="8"/>
  <c r="L1064" i="8"/>
  <c r="L1063" i="8"/>
  <c r="L1062" i="8"/>
  <c r="L1061" i="8"/>
  <c r="L1060" i="8"/>
  <c r="L1059" i="8"/>
  <c r="L1058" i="8"/>
  <c r="L1057" i="8"/>
  <c r="L1056" i="8"/>
  <c r="L1055" i="8"/>
  <c r="L1054" i="8"/>
  <c r="L1053" i="8"/>
  <c r="L1052" i="8"/>
  <c r="L1051" i="8"/>
  <c r="L1050" i="8"/>
  <c r="L1049" i="8"/>
  <c r="L1048" i="8"/>
  <c r="L1047" i="8"/>
  <c r="L1046" i="8"/>
  <c r="L1045" i="8"/>
  <c r="L1044" i="8"/>
  <c r="L1043" i="8"/>
  <c r="L1042" i="8"/>
  <c r="L1041" i="8"/>
  <c r="L1040" i="8"/>
  <c r="L1039" i="8"/>
  <c r="L1038" i="8"/>
  <c r="L1037" i="8"/>
  <c r="L1036" i="8"/>
  <c r="L1035" i="8"/>
  <c r="L1034" i="8"/>
  <c r="L1033" i="8"/>
  <c r="L1032" i="8"/>
  <c r="L1031" i="8"/>
  <c r="L1030" i="8"/>
  <c r="L1029" i="8"/>
  <c r="L1028" i="8"/>
  <c r="L1027" i="8"/>
  <c r="L1026" i="8"/>
  <c r="L1025" i="8"/>
  <c r="L1024" i="8"/>
  <c r="L1023" i="8"/>
  <c r="L1022" i="8"/>
  <c r="L1021" i="8"/>
  <c r="L1020" i="8"/>
  <c r="L1019" i="8"/>
  <c r="L1018" i="8"/>
  <c r="L1017" i="8"/>
  <c r="L1016" i="8"/>
  <c r="L1015" i="8"/>
  <c r="L1014" i="8"/>
  <c r="L1013" i="8"/>
  <c r="L1012" i="8"/>
  <c r="L1011" i="8"/>
  <c r="L1010" i="8"/>
  <c r="L1009" i="8"/>
  <c r="L1008" i="8"/>
  <c r="L1007" i="8"/>
  <c r="L1006" i="8"/>
  <c r="L1005" i="8"/>
  <c r="L1004" i="8"/>
  <c r="L1003" i="8"/>
  <c r="L1002" i="8"/>
  <c r="L1001" i="8"/>
  <c r="L1000" i="8"/>
  <c r="L999" i="8"/>
  <c r="L998" i="8"/>
  <c r="L997" i="8"/>
  <c r="L996" i="8"/>
  <c r="L995" i="8"/>
  <c r="L994" i="8"/>
  <c r="L993" i="8"/>
  <c r="L992" i="8"/>
  <c r="L991" i="8"/>
  <c r="L990" i="8"/>
  <c r="L989" i="8"/>
  <c r="L988" i="8"/>
  <c r="L987" i="8"/>
  <c r="L986" i="8"/>
  <c r="L985" i="8"/>
  <c r="L984" i="8"/>
  <c r="L983" i="8"/>
  <c r="L982" i="8"/>
  <c r="L981" i="8"/>
  <c r="L980" i="8"/>
  <c r="L979" i="8"/>
  <c r="L978" i="8"/>
  <c r="L977" i="8"/>
  <c r="L976" i="8"/>
  <c r="L975" i="8"/>
  <c r="L974" i="8"/>
  <c r="L973" i="8"/>
  <c r="L972" i="8"/>
  <c r="L971" i="8"/>
  <c r="L970" i="8"/>
  <c r="L969" i="8"/>
  <c r="L968" i="8"/>
  <c r="L967" i="8"/>
  <c r="L966" i="8"/>
  <c r="L965" i="8"/>
  <c r="L964" i="8"/>
  <c r="L963" i="8"/>
  <c r="L962" i="8"/>
  <c r="L961" i="8"/>
  <c r="L960" i="8"/>
  <c r="L959" i="8"/>
  <c r="L958" i="8"/>
  <c r="L957" i="8"/>
  <c r="L956" i="8"/>
  <c r="L955" i="8"/>
  <c r="L954" i="8"/>
  <c r="L953" i="8"/>
  <c r="L952" i="8"/>
  <c r="L951" i="8"/>
  <c r="L950" i="8"/>
  <c r="L949" i="8"/>
  <c r="L948" i="8"/>
  <c r="L947" i="8"/>
  <c r="L946" i="8"/>
  <c r="L945" i="8"/>
  <c r="L944" i="8"/>
  <c r="L943" i="8"/>
  <c r="L942" i="8"/>
  <c r="L941" i="8"/>
  <c r="L940" i="8"/>
  <c r="L939" i="8"/>
  <c r="L938" i="8"/>
  <c r="L937" i="8"/>
  <c r="L936" i="8"/>
  <c r="L935" i="8"/>
  <c r="L934" i="8"/>
  <c r="L933" i="8"/>
  <c r="L932" i="8"/>
  <c r="L931" i="8"/>
  <c r="L930" i="8"/>
  <c r="L929" i="8"/>
  <c r="L928" i="8"/>
  <c r="L927" i="8"/>
  <c r="L926" i="8"/>
  <c r="L925" i="8"/>
  <c r="L924" i="8"/>
  <c r="L923" i="8"/>
  <c r="L922" i="8"/>
  <c r="L921" i="8"/>
  <c r="L920" i="8"/>
  <c r="L919" i="8"/>
  <c r="L918" i="8"/>
  <c r="L917" i="8"/>
  <c r="L916" i="8"/>
  <c r="L915" i="8"/>
  <c r="L914" i="8"/>
  <c r="L913" i="8"/>
  <c r="L912" i="8"/>
  <c r="L911" i="8"/>
  <c r="L910" i="8"/>
  <c r="L909" i="8"/>
  <c r="L908" i="8"/>
  <c r="L907" i="8"/>
  <c r="L906" i="8"/>
  <c r="L905" i="8"/>
  <c r="L904" i="8"/>
  <c r="L903" i="8"/>
  <c r="L902" i="8"/>
  <c r="L901" i="8"/>
  <c r="L900" i="8"/>
  <c r="L899" i="8"/>
  <c r="L898" i="8"/>
  <c r="L897" i="8"/>
  <c r="L896" i="8"/>
  <c r="L895" i="8"/>
  <c r="L894" i="8"/>
  <c r="L893" i="8"/>
  <c r="L892" i="8"/>
  <c r="L891" i="8"/>
  <c r="L890" i="8"/>
  <c r="L889" i="8"/>
  <c r="L888" i="8"/>
  <c r="L887" i="8"/>
  <c r="L886" i="8"/>
  <c r="L885" i="8"/>
  <c r="L884" i="8"/>
  <c r="L883" i="8"/>
  <c r="L882" i="8"/>
  <c r="L881" i="8"/>
  <c r="L880" i="8"/>
  <c r="L879" i="8"/>
  <c r="L878" i="8"/>
  <c r="L877" i="8"/>
  <c r="L876" i="8"/>
  <c r="L875" i="8"/>
  <c r="L874" i="8"/>
  <c r="L873" i="8"/>
  <c r="L872" i="8"/>
  <c r="L871" i="8"/>
  <c r="L870" i="8"/>
  <c r="L869" i="8"/>
  <c r="L868" i="8"/>
  <c r="L867" i="8"/>
  <c r="L866" i="8"/>
  <c r="L865" i="8"/>
  <c r="L864" i="8"/>
  <c r="L863" i="8"/>
  <c r="L862" i="8"/>
  <c r="L861" i="8"/>
  <c r="L860" i="8"/>
  <c r="L859" i="8"/>
  <c r="L858" i="8"/>
  <c r="L857" i="8"/>
  <c r="L856" i="8"/>
  <c r="L855" i="8"/>
  <c r="L854" i="8"/>
  <c r="L853" i="8"/>
  <c r="L852" i="8"/>
  <c r="L851" i="8"/>
  <c r="L850" i="8"/>
  <c r="L849" i="8"/>
  <c r="L848" i="8"/>
  <c r="L847" i="8"/>
  <c r="L846" i="8"/>
  <c r="L845" i="8"/>
  <c r="L844" i="8"/>
  <c r="L843" i="8"/>
  <c r="L842" i="8"/>
  <c r="L841" i="8"/>
  <c r="L840" i="8"/>
  <c r="L839" i="8"/>
  <c r="L838" i="8"/>
  <c r="L837" i="8"/>
  <c r="L836" i="8"/>
  <c r="L835" i="8"/>
  <c r="L834" i="8"/>
  <c r="L833" i="8"/>
  <c r="L832" i="8"/>
  <c r="L831" i="8"/>
  <c r="L830" i="8"/>
  <c r="L829" i="8"/>
  <c r="L828" i="8"/>
  <c r="L827" i="8"/>
  <c r="L826" i="8"/>
  <c r="L825" i="8"/>
  <c r="L824" i="8"/>
  <c r="L823" i="8"/>
  <c r="L822" i="8"/>
  <c r="L821" i="8"/>
  <c r="L820" i="8"/>
  <c r="L819" i="8"/>
  <c r="L818" i="8"/>
  <c r="L817" i="8"/>
  <c r="L816" i="8"/>
  <c r="L815" i="8"/>
  <c r="L814" i="8"/>
  <c r="L813" i="8"/>
  <c r="L812" i="8"/>
  <c r="L811" i="8"/>
  <c r="L810" i="8"/>
  <c r="L809" i="8"/>
  <c r="L808" i="8"/>
  <c r="L807" i="8"/>
  <c r="L806" i="8"/>
  <c r="L805" i="8"/>
  <c r="L804" i="8"/>
  <c r="L803" i="8"/>
  <c r="L802" i="8"/>
  <c r="L801" i="8"/>
  <c r="L800" i="8"/>
  <c r="L799" i="8"/>
  <c r="L798" i="8"/>
  <c r="L797" i="8"/>
  <c r="L796" i="8"/>
  <c r="L795" i="8"/>
  <c r="L794" i="8"/>
  <c r="L793" i="8"/>
  <c r="L792" i="8"/>
  <c r="L791" i="8"/>
  <c r="L790" i="8"/>
  <c r="L789" i="8"/>
  <c r="L788" i="8"/>
  <c r="L787" i="8"/>
  <c r="L786" i="8"/>
  <c r="L785" i="8"/>
  <c r="L784" i="8"/>
  <c r="L783" i="8"/>
  <c r="L782" i="8"/>
  <c r="L781" i="8"/>
  <c r="L780" i="8"/>
  <c r="L779" i="8"/>
  <c r="L778" i="8"/>
  <c r="L777" i="8"/>
  <c r="L776" i="8"/>
  <c r="L775" i="8"/>
  <c r="L774" i="8"/>
  <c r="L773" i="8"/>
  <c r="L772" i="8"/>
  <c r="L771" i="8"/>
  <c r="L770" i="8"/>
  <c r="L769" i="8"/>
  <c r="L768" i="8"/>
  <c r="L767" i="8"/>
  <c r="L766" i="8"/>
  <c r="L765" i="8"/>
  <c r="L764" i="8"/>
  <c r="L763" i="8"/>
  <c r="L762" i="8"/>
  <c r="L761" i="8"/>
  <c r="L760" i="8"/>
  <c r="L759" i="8"/>
  <c r="L758" i="8"/>
  <c r="L757" i="8"/>
  <c r="L756" i="8"/>
  <c r="L755" i="8"/>
  <c r="L754" i="8"/>
  <c r="L753" i="8"/>
  <c r="L752" i="8"/>
  <c r="L751" i="8"/>
  <c r="L750" i="8"/>
  <c r="L749" i="8"/>
  <c r="L748" i="8"/>
  <c r="L747" i="8"/>
  <c r="L746" i="8"/>
  <c r="L745" i="8"/>
  <c r="L744" i="8"/>
  <c r="L743" i="8"/>
  <c r="L742" i="8"/>
  <c r="L741" i="8"/>
  <c r="L740" i="8"/>
  <c r="L739" i="8"/>
  <c r="L738" i="8"/>
  <c r="L737" i="8"/>
  <c r="L736" i="8"/>
  <c r="L735" i="8"/>
  <c r="L734" i="8"/>
  <c r="L733" i="8"/>
  <c r="L732" i="8"/>
  <c r="L731" i="8"/>
  <c r="L730" i="8"/>
  <c r="L729" i="8"/>
  <c r="L728" i="8"/>
  <c r="L727" i="8"/>
  <c r="L726" i="8"/>
  <c r="L725" i="8"/>
  <c r="L724" i="8"/>
  <c r="L723" i="8"/>
  <c r="L722" i="8"/>
  <c r="L721" i="8"/>
  <c r="L720" i="8"/>
  <c r="L719" i="8"/>
  <c r="L718" i="8"/>
  <c r="L717" i="8"/>
  <c r="L716" i="8"/>
  <c r="L715" i="8"/>
  <c r="L714" i="8"/>
  <c r="L713" i="8"/>
  <c r="L712" i="8"/>
  <c r="L711" i="8"/>
  <c r="L710" i="8"/>
  <c r="L709" i="8"/>
  <c r="L708" i="8"/>
  <c r="L707" i="8"/>
  <c r="L706" i="8"/>
  <c r="L705" i="8"/>
  <c r="L704" i="8"/>
  <c r="L703" i="8"/>
  <c r="L702" i="8"/>
  <c r="L701" i="8"/>
  <c r="L700" i="8"/>
  <c r="L699" i="8"/>
  <c r="L698" i="8"/>
  <c r="L697" i="8"/>
  <c r="L696" i="8"/>
  <c r="L695" i="8"/>
  <c r="L694" i="8"/>
  <c r="L693" i="8"/>
  <c r="L692" i="8"/>
  <c r="L691" i="8"/>
  <c r="L690" i="8"/>
  <c r="L689" i="8"/>
  <c r="L688" i="8"/>
  <c r="L687" i="8"/>
  <c r="L686" i="8"/>
  <c r="L685" i="8"/>
  <c r="L684" i="8"/>
  <c r="L683" i="8"/>
  <c r="L682" i="8"/>
  <c r="L681" i="8"/>
  <c r="L680" i="8"/>
  <c r="L679" i="8"/>
  <c r="L678" i="8"/>
  <c r="L677" i="8"/>
  <c r="L676" i="8"/>
  <c r="L675" i="8"/>
  <c r="L674" i="8"/>
  <c r="L673" i="8"/>
  <c r="L672" i="8"/>
  <c r="L671" i="8"/>
  <c r="L670" i="8"/>
  <c r="L669" i="8"/>
  <c r="L668" i="8"/>
  <c r="L667" i="8"/>
  <c r="L666" i="8"/>
  <c r="L665" i="8"/>
  <c r="L664" i="8"/>
  <c r="L663" i="8"/>
  <c r="L662" i="8"/>
  <c r="L661" i="8"/>
  <c r="L660" i="8"/>
  <c r="L659" i="8"/>
  <c r="L658" i="8"/>
  <c r="L657" i="8"/>
  <c r="L656" i="8"/>
  <c r="L655" i="8"/>
  <c r="L654" i="8"/>
  <c r="L653" i="8"/>
  <c r="L652" i="8"/>
  <c r="L651" i="8"/>
  <c r="L650" i="8"/>
  <c r="L649" i="8"/>
  <c r="L648" i="8"/>
  <c r="L647" i="8"/>
  <c r="L646" i="8"/>
  <c r="L645" i="8"/>
  <c r="L644" i="8"/>
  <c r="L643" i="8"/>
  <c r="L642" i="8"/>
  <c r="L641" i="8"/>
  <c r="L640" i="8"/>
  <c r="L639" i="8"/>
  <c r="L638" i="8"/>
  <c r="L637" i="8"/>
  <c r="L636" i="8"/>
  <c r="L635" i="8"/>
  <c r="L634" i="8"/>
  <c r="L633" i="8"/>
  <c r="L632" i="8"/>
  <c r="L631" i="8"/>
  <c r="L630" i="8"/>
  <c r="L629" i="8"/>
  <c r="L628" i="8"/>
  <c r="L627" i="8"/>
  <c r="L626" i="8"/>
  <c r="L625" i="8"/>
  <c r="L624" i="8"/>
  <c r="L623" i="8"/>
  <c r="L622" i="8"/>
  <c r="L621" i="8"/>
  <c r="L620" i="8"/>
  <c r="L619" i="8"/>
  <c r="L618" i="8"/>
  <c r="L617" i="8"/>
  <c r="L616" i="8"/>
  <c r="L615" i="8"/>
  <c r="L614" i="8"/>
  <c r="L613" i="8"/>
  <c r="L612" i="8"/>
  <c r="L611" i="8"/>
  <c r="L610" i="8"/>
  <c r="L609" i="8"/>
  <c r="L608" i="8"/>
  <c r="L607" i="8"/>
  <c r="L606" i="8"/>
  <c r="L605" i="8"/>
  <c r="L604" i="8"/>
  <c r="L603" i="8"/>
  <c r="L602" i="8"/>
  <c r="L601" i="8"/>
  <c r="L600" i="8"/>
  <c r="L599" i="8"/>
  <c r="L598" i="8"/>
  <c r="L597" i="8"/>
  <c r="L596" i="8"/>
  <c r="L595" i="8"/>
  <c r="L594" i="8"/>
  <c r="L593" i="8"/>
  <c r="L592" i="8"/>
  <c r="L591" i="8"/>
  <c r="L590" i="8"/>
  <c r="L589" i="8"/>
  <c r="L588" i="8"/>
  <c r="L587" i="8"/>
  <c r="L586" i="8"/>
  <c r="L585" i="8"/>
  <c r="L584" i="8"/>
  <c r="L583" i="8"/>
  <c r="L582" i="8"/>
  <c r="L581" i="8"/>
  <c r="L580" i="8"/>
  <c r="L579" i="8"/>
  <c r="L578" i="8"/>
  <c r="L577" i="8"/>
  <c r="L576" i="8"/>
  <c r="L575" i="8"/>
  <c r="L574" i="8"/>
  <c r="L573" i="8"/>
  <c r="L572" i="8"/>
  <c r="L571" i="8"/>
  <c r="L570" i="8"/>
  <c r="L569" i="8"/>
  <c r="L568" i="8"/>
  <c r="L567" i="8"/>
  <c r="L566" i="8"/>
  <c r="L565" i="8"/>
  <c r="L564" i="8"/>
  <c r="L563" i="8"/>
  <c r="L562" i="8"/>
  <c r="L561" i="8"/>
  <c r="L560" i="8"/>
  <c r="L559" i="8"/>
  <c r="L558" i="8"/>
  <c r="L557" i="8"/>
  <c r="L556" i="8"/>
  <c r="L555" i="8"/>
  <c r="L554" i="8"/>
  <c r="L553" i="8"/>
  <c r="L552" i="8"/>
  <c r="L551" i="8"/>
  <c r="L550" i="8"/>
  <c r="L549" i="8"/>
  <c r="L548" i="8"/>
  <c r="L547" i="8"/>
  <c r="L546" i="8"/>
  <c r="L545" i="8"/>
  <c r="L544" i="8"/>
  <c r="L543" i="8"/>
  <c r="L542" i="8"/>
  <c r="L541" i="8"/>
  <c r="L540" i="8"/>
  <c r="L539" i="8"/>
  <c r="L538" i="8"/>
  <c r="L537" i="8"/>
  <c r="L536" i="8"/>
  <c r="L535" i="8"/>
  <c r="L534" i="8"/>
  <c r="L533" i="8"/>
  <c r="L532" i="8"/>
  <c r="L530" i="8"/>
  <c r="L529" i="8"/>
  <c r="L528" i="8"/>
  <c r="L527" i="8"/>
  <c r="L526" i="8"/>
  <c r="L525" i="8"/>
  <c r="L524" i="8"/>
  <c r="L523" i="8"/>
  <c r="L522" i="8"/>
  <c r="L521" i="8"/>
  <c r="L520" i="8"/>
  <c r="L519" i="8"/>
  <c r="L518" i="8"/>
  <c r="L517" i="8"/>
  <c r="L516" i="8"/>
  <c r="L515" i="8"/>
  <c r="L514" i="8"/>
  <c r="L513" i="8"/>
  <c r="L512" i="8"/>
  <c r="L511" i="8"/>
  <c r="L510" i="8"/>
  <c r="L509" i="8"/>
  <c r="L508" i="8"/>
  <c r="L507" i="8"/>
  <c r="L506" i="8"/>
  <c r="L505" i="8"/>
  <c r="L504" i="8"/>
  <c r="L503" i="8"/>
  <c r="L502" i="8"/>
  <c r="L501" i="8"/>
  <c r="L500" i="8"/>
  <c r="L499" i="8"/>
  <c r="L498" i="8"/>
  <c r="L497" i="8"/>
  <c r="L496" i="8"/>
  <c r="L495" i="8"/>
  <c r="L494" i="8"/>
  <c r="L493" i="8"/>
  <c r="L492" i="8"/>
  <c r="L491" i="8"/>
  <c r="L490" i="8"/>
  <c r="L489" i="8"/>
  <c r="L488" i="8"/>
  <c r="L487" i="8"/>
  <c r="L486" i="8"/>
  <c r="L485" i="8"/>
  <c r="L484" i="8"/>
  <c r="L483" i="8"/>
  <c r="L482" i="8"/>
  <c r="L481" i="8"/>
  <c r="L480" i="8"/>
  <c r="L479" i="8"/>
  <c r="L478" i="8"/>
  <c r="L477" i="8"/>
  <c r="L476" i="8"/>
  <c r="L475" i="8"/>
  <c r="L474" i="8"/>
  <c r="L473" i="8"/>
  <c r="L472" i="8"/>
  <c r="L471" i="8"/>
  <c r="L470" i="8"/>
  <c r="L469" i="8"/>
  <c r="L468" i="8"/>
  <c r="L467" i="8"/>
  <c r="L466" i="8"/>
  <c r="L465" i="8"/>
  <c r="L464" i="8"/>
  <c r="L463" i="8"/>
  <c r="L462" i="8"/>
  <c r="L461" i="8"/>
  <c r="L460" i="8"/>
  <c r="L459" i="8"/>
  <c r="L458" i="8"/>
  <c r="L457" i="8"/>
  <c r="L456" i="8"/>
  <c r="L455" i="8"/>
  <c r="L454" i="8"/>
  <c r="L453" i="8"/>
  <c r="L452" i="8"/>
  <c r="L451" i="8"/>
  <c r="L450" i="8"/>
  <c r="L449" i="8"/>
  <c r="L448" i="8"/>
  <c r="L447" i="8"/>
  <c r="L446" i="8"/>
  <c r="L445" i="8"/>
  <c r="L444" i="8"/>
  <c r="L443" i="8"/>
  <c r="L442" i="8"/>
  <c r="L441" i="8"/>
  <c r="L440" i="8"/>
  <c r="L439" i="8"/>
  <c r="L438" i="8"/>
  <c r="L437" i="8"/>
  <c r="L436" i="8"/>
  <c r="L435" i="8"/>
  <c r="L434" i="8"/>
  <c r="L433" i="8"/>
  <c r="L432" i="8"/>
  <c r="L431" i="8"/>
  <c r="L430" i="8"/>
  <c r="L429" i="8"/>
  <c r="L428" i="8"/>
  <c r="L427" i="8"/>
  <c r="L426" i="8"/>
  <c r="L425" i="8"/>
  <c r="L424" i="8"/>
  <c r="L423" i="8"/>
  <c r="L422" i="8"/>
  <c r="L421" i="8"/>
  <c r="L420" i="8"/>
  <c r="L419" i="8"/>
  <c r="L418" i="8"/>
  <c r="L417" i="8"/>
  <c r="L416" i="8"/>
  <c r="L415" i="8"/>
  <c r="L414" i="8"/>
  <c r="L411" i="8"/>
  <c r="L410" i="8"/>
  <c r="L409" i="8"/>
  <c r="L408" i="8"/>
  <c r="L407" i="8"/>
  <c r="L406" i="8"/>
  <c r="L405" i="8"/>
  <c r="L404" i="8"/>
  <c r="L403" i="8"/>
  <c r="L402" i="8"/>
  <c r="L401" i="8"/>
  <c r="L400" i="8"/>
  <c r="L399" i="8"/>
  <c r="L398" i="8"/>
  <c r="L397" i="8"/>
  <c r="L396" i="8"/>
  <c r="L395" i="8"/>
  <c r="L394" i="8"/>
  <c r="L393" i="8"/>
  <c r="L392" i="8"/>
  <c r="L391" i="8"/>
  <c r="L390" i="8"/>
  <c r="L389" i="8"/>
  <c r="L388" i="8"/>
  <c r="L387" i="8"/>
  <c r="L386" i="8"/>
  <c r="L385" i="8"/>
  <c r="L384" i="8"/>
  <c r="L383" i="8"/>
  <c r="L382" i="8"/>
  <c r="L381" i="8"/>
  <c r="L380" i="8"/>
  <c r="L379" i="8"/>
  <c r="L378" i="8"/>
  <c r="L377" i="8"/>
  <c r="L376" i="8"/>
  <c r="L375" i="8"/>
  <c r="L374" i="8"/>
  <c r="L373" i="8"/>
  <c r="L372" i="8"/>
  <c r="L371" i="8"/>
  <c r="L370" i="8"/>
  <c r="L369" i="8"/>
  <c r="L368" i="8"/>
  <c r="L367" i="8"/>
  <c r="L366" i="8"/>
  <c r="L365" i="8"/>
  <c r="L364" i="8"/>
  <c r="L363" i="8"/>
  <c r="L362" i="8"/>
  <c r="L361" i="8"/>
  <c r="L360" i="8"/>
  <c r="L359" i="8"/>
  <c r="L358" i="8"/>
  <c r="L357" i="8"/>
  <c r="L356" i="8"/>
  <c r="L355" i="8"/>
  <c r="L354" i="8"/>
  <c r="L353" i="8"/>
  <c r="L352" i="8"/>
  <c r="L351" i="8"/>
  <c r="L350" i="8"/>
  <c r="L349" i="8"/>
  <c r="L348" i="8"/>
  <c r="L347" i="8"/>
  <c r="L346" i="8"/>
  <c r="L345" i="8"/>
  <c r="L344" i="8"/>
  <c r="L343" i="8"/>
  <c r="L342" i="8"/>
  <c r="L341" i="8"/>
  <c r="L340" i="8"/>
  <c r="L339" i="8"/>
  <c r="L338" i="8"/>
  <c r="L337" i="8"/>
  <c r="L336" i="8"/>
  <c r="L335" i="8"/>
  <c r="L334" i="8"/>
  <c r="L333" i="8"/>
  <c r="L332" i="8"/>
  <c r="L331" i="8"/>
  <c r="L330" i="8"/>
  <c r="L329" i="8"/>
  <c r="L328" i="8"/>
  <c r="L327" i="8"/>
  <c r="L326" i="8"/>
  <c r="L325" i="8"/>
  <c r="L324" i="8"/>
  <c r="L323" i="8"/>
  <c r="L322" i="8"/>
  <c r="L321" i="8"/>
  <c r="L320" i="8"/>
  <c r="L319" i="8"/>
  <c r="L318" i="8"/>
  <c r="L317" i="8"/>
  <c r="L316" i="8"/>
  <c r="L315" i="8"/>
  <c r="L314" i="8"/>
  <c r="L313" i="8"/>
  <c r="L312" i="8"/>
  <c r="L311" i="8"/>
  <c r="L310" i="8"/>
  <c r="L309" i="8"/>
  <c r="L308" i="8"/>
  <c r="L307" i="8"/>
  <c r="L306" i="8"/>
  <c r="L305" i="8"/>
  <c r="L304" i="8"/>
  <c r="L303" i="8"/>
  <c r="L302" i="8"/>
  <c r="L301" i="8"/>
  <c r="L300" i="8"/>
  <c r="L299" i="8"/>
  <c r="L298" i="8"/>
  <c r="L297" i="8"/>
  <c r="L296" i="8"/>
  <c r="L295" i="8"/>
  <c r="L294" i="8"/>
  <c r="L293" i="8"/>
  <c r="L292" i="8"/>
  <c r="L291" i="8"/>
  <c r="L290" i="8"/>
  <c r="L289" i="8"/>
  <c r="L288" i="8"/>
  <c r="L287" i="8"/>
  <c r="L286" i="8"/>
  <c r="L285" i="8"/>
  <c r="L284" i="8"/>
  <c r="L283" i="8"/>
  <c r="L282" i="8"/>
  <c r="L281" i="8"/>
  <c r="L280" i="8"/>
  <c r="L279" i="8"/>
  <c r="L278" i="8"/>
  <c r="L277" i="8"/>
  <c r="L276" i="8"/>
  <c r="L275" i="8"/>
  <c r="L274" i="8"/>
  <c r="L273" i="8"/>
  <c r="L272" i="8"/>
  <c r="L271" i="8"/>
  <c r="L270" i="8"/>
  <c r="L269" i="8"/>
  <c r="L268" i="8"/>
  <c r="L267" i="8"/>
  <c r="L266" i="8"/>
  <c r="L265" i="8"/>
  <c r="L264" i="8"/>
  <c r="L263" i="8"/>
  <c r="L262" i="8"/>
  <c r="L261" i="8"/>
  <c r="L260" i="8"/>
  <c r="L259" i="8"/>
  <c r="L258" i="8"/>
  <c r="L257" i="8"/>
  <c r="L256" i="8"/>
  <c r="L255" i="8"/>
  <c r="L254" i="8"/>
  <c r="L253" i="8"/>
  <c r="L252" i="8"/>
  <c r="L251" i="8"/>
  <c r="L250" i="8"/>
  <c r="L249" i="8"/>
  <c r="L248" i="8"/>
  <c r="L247" i="8"/>
  <c r="L246" i="8"/>
  <c r="L245" i="8"/>
  <c r="L244" i="8"/>
  <c r="L243" i="8"/>
  <c r="L242" i="8"/>
  <c r="L241" i="8"/>
  <c r="L240" i="8"/>
  <c r="L239" i="8"/>
  <c r="L238" i="8"/>
  <c r="L237" i="8"/>
  <c r="L236" i="8"/>
  <c r="L235"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L2" i="8"/>
  <c r="O1000" i="8"/>
  <c r="P1000" i="8"/>
  <c r="Q1000" i="8"/>
  <c r="O1001" i="8"/>
  <c r="P1001" i="8"/>
  <c r="Q1001" i="8"/>
  <c r="D96" i="11"/>
  <c r="D95" i="11"/>
  <c r="D94" i="11"/>
  <c r="D93" i="11"/>
  <c r="D92" i="11"/>
  <c r="D91" i="11"/>
  <c r="D87" i="11"/>
  <c r="D86" i="11"/>
  <c r="D85" i="11"/>
  <c r="D84" i="11"/>
  <c r="D83" i="11"/>
  <c r="D82" i="11"/>
  <c r="D78" i="11"/>
  <c r="D77" i="11"/>
  <c r="D76" i="11"/>
  <c r="D75" i="11"/>
  <c r="D74" i="11"/>
  <c r="D73" i="11"/>
  <c r="D69" i="11"/>
  <c r="D68" i="11"/>
  <c r="D67" i="11"/>
  <c r="D66" i="11"/>
  <c r="D65" i="11"/>
  <c r="D64" i="11"/>
  <c r="D60" i="11"/>
  <c r="D59" i="11"/>
  <c r="D58" i="11"/>
  <c r="D57" i="11"/>
  <c r="D56" i="11"/>
  <c r="D55" i="11"/>
  <c r="D51" i="11"/>
  <c r="D50" i="11"/>
  <c r="D49" i="11"/>
  <c r="D48" i="11"/>
  <c r="D47" i="11"/>
  <c r="D46" i="11"/>
  <c r="D42" i="11"/>
  <c r="D41" i="11"/>
  <c r="D40" i="11"/>
  <c r="D39" i="11"/>
  <c r="D38" i="11"/>
  <c r="D37" i="11"/>
  <c r="D33" i="11"/>
  <c r="D32" i="11"/>
  <c r="D31" i="11"/>
  <c r="D30" i="11"/>
  <c r="D29" i="11"/>
  <c r="D28" i="11"/>
  <c r="L1074" i="12"/>
  <c r="H5" i="11"/>
  <c r="H6" i="11"/>
  <c r="H7" i="11"/>
  <c r="H8" i="11"/>
  <c r="H9" i="11"/>
  <c r="H10" i="11"/>
  <c r="H11" i="11"/>
  <c r="H12" i="11"/>
  <c r="H13" i="11"/>
  <c r="H14" i="11"/>
  <c r="H15" i="11"/>
  <c r="H16" i="11"/>
  <c r="H17" i="11"/>
  <c r="H18" i="11"/>
  <c r="H19" i="11"/>
  <c r="H4" i="11"/>
  <c r="G5" i="11"/>
  <c r="G6" i="11"/>
  <c r="G7" i="11"/>
  <c r="G8" i="11"/>
  <c r="G9" i="11"/>
  <c r="G10" i="11"/>
  <c r="G11" i="11"/>
  <c r="G12" i="11"/>
  <c r="G13" i="11"/>
  <c r="G14" i="11"/>
  <c r="G15" i="11"/>
  <c r="G16" i="11"/>
  <c r="G17" i="11"/>
  <c r="G18" i="11"/>
  <c r="G19" i="11"/>
  <c r="G4" i="11"/>
  <c r="F5" i="11"/>
  <c r="F6" i="11"/>
  <c r="F7" i="11"/>
  <c r="F8" i="11"/>
  <c r="F9" i="11"/>
  <c r="F10" i="11"/>
  <c r="F11" i="11"/>
  <c r="F12" i="11"/>
  <c r="F13" i="11"/>
  <c r="F14" i="11"/>
  <c r="F15" i="11"/>
  <c r="F16" i="11"/>
  <c r="F17" i="11"/>
  <c r="F18" i="11"/>
  <c r="F19" i="11"/>
  <c r="F4" i="11"/>
  <c r="E5" i="11"/>
  <c r="E6" i="11"/>
  <c r="E7" i="11"/>
  <c r="E8" i="11"/>
  <c r="E9" i="11"/>
  <c r="E10" i="11"/>
  <c r="E11" i="11"/>
  <c r="E12" i="11"/>
  <c r="E13" i="11"/>
  <c r="E14" i="11"/>
  <c r="E15" i="11"/>
  <c r="E16" i="11"/>
  <c r="E17" i="11"/>
  <c r="E18" i="11"/>
  <c r="E19" i="11"/>
  <c r="E4" i="11"/>
  <c r="D5" i="11"/>
  <c r="D6" i="11"/>
  <c r="D7" i="11"/>
  <c r="D8" i="11"/>
  <c r="D9" i="11"/>
  <c r="D10" i="11"/>
  <c r="D11" i="11"/>
  <c r="D12" i="11"/>
  <c r="D13" i="11"/>
  <c r="D14" i="11"/>
  <c r="D15" i="11"/>
  <c r="D16" i="11"/>
  <c r="D17" i="11"/>
  <c r="D18" i="11"/>
  <c r="D19" i="11"/>
  <c r="D4" i="11"/>
  <c r="C5" i="11"/>
  <c r="C6" i="11"/>
  <c r="C7" i="11"/>
  <c r="C8" i="11"/>
  <c r="C9" i="11"/>
  <c r="C10" i="11"/>
  <c r="C11" i="11"/>
  <c r="C12" i="11"/>
  <c r="C13" i="11"/>
  <c r="C14" i="11"/>
  <c r="C15" i="11"/>
  <c r="C16" i="11"/>
  <c r="C17" i="11"/>
  <c r="C18" i="11"/>
  <c r="C19" i="11"/>
  <c r="C4" i="11"/>
  <c r="L1001" i="12"/>
  <c r="L1000" i="12"/>
  <c r="O1000" i="12"/>
  <c r="P1000" i="12"/>
  <c r="Q1000" i="12"/>
  <c r="AE1000" i="12"/>
  <c r="AF1000" i="12" s="1"/>
  <c r="O1001" i="12"/>
  <c r="P1001" i="12"/>
  <c r="Q1001" i="12"/>
  <c r="AE1001" i="12"/>
  <c r="AF1001" i="12" s="1"/>
  <c r="O148" i="12"/>
  <c r="P148" i="12"/>
  <c r="Q148" i="12"/>
  <c r="C87" i="11"/>
  <c r="H87" i="11" s="1"/>
  <c r="C86" i="11"/>
  <c r="H86" i="11" s="1"/>
  <c r="C85" i="11"/>
  <c r="H85" i="11" s="1"/>
  <c r="C84" i="11"/>
  <c r="G84" i="11" s="1"/>
  <c r="C83" i="11"/>
  <c r="H83" i="11" s="1"/>
  <c r="C82" i="11"/>
  <c r="H82" i="11" s="1"/>
  <c r="C78" i="11"/>
  <c r="H78" i="11" s="1"/>
  <c r="C77" i="11"/>
  <c r="H77" i="11" s="1"/>
  <c r="C76" i="11"/>
  <c r="H76" i="11" s="1"/>
  <c r="C75" i="11"/>
  <c r="H75" i="11" s="1"/>
  <c r="C74" i="11"/>
  <c r="H74" i="11" s="1"/>
  <c r="C73" i="11"/>
  <c r="H73" i="11" s="1"/>
  <c r="C69" i="11"/>
  <c r="H69" i="11" s="1"/>
  <c r="C68" i="11"/>
  <c r="H68" i="11" s="1"/>
  <c r="C67" i="11"/>
  <c r="H67" i="11" s="1"/>
  <c r="C66" i="11"/>
  <c r="H66" i="11" s="1"/>
  <c r="C65" i="11"/>
  <c r="H65" i="11" s="1"/>
  <c r="C64" i="11"/>
  <c r="H64" i="11" s="1"/>
  <c r="C60" i="11"/>
  <c r="H60" i="11" s="1"/>
  <c r="C59" i="11"/>
  <c r="H59" i="11" s="1"/>
  <c r="C58" i="11"/>
  <c r="H58" i="11" s="1"/>
  <c r="C57" i="11"/>
  <c r="H57" i="11" s="1"/>
  <c r="C56" i="11"/>
  <c r="H56" i="11" s="1"/>
  <c r="C55" i="11"/>
  <c r="H55" i="11" s="1"/>
  <c r="C51" i="11"/>
  <c r="H51" i="11" s="1"/>
  <c r="C50" i="11"/>
  <c r="H50" i="11" s="1"/>
  <c r="C49" i="11"/>
  <c r="H49" i="11" s="1"/>
  <c r="C48" i="11"/>
  <c r="H48" i="11" s="1"/>
  <c r="C47" i="11"/>
  <c r="H47" i="11" s="1"/>
  <c r="C46" i="11"/>
  <c r="H46" i="11" s="1"/>
  <c r="C42" i="11"/>
  <c r="H42" i="11" s="1"/>
  <c r="C41" i="11"/>
  <c r="H41" i="11" s="1"/>
  <c r="C40" i="11"/>
  <c r="H40" i="11" s="1"/>
  <c r="C39" i="11"/>
  <c r="H39" i="11" s="1"/>
  <c r="C38" i="11"/>
  <c r="H38" i="11" s="1"/>
  <c r="C37" i="11"/>
  <c r="H37" i="11" s="1"/>
  <c r="C33" i="11"/>
  <c r="H33" i="11" s="1"/>
  <c r="C32" i="11"/>
  <c r="H32" i="11" s="1"/>
  <c r="C31" i="11"/>
  <c r="H31" i="11" s="1"/>
  <c r="C30" i="11"/>
  <c r="H30" i="11" s="1"/>
  <c r="C29" i="11"/>
  <c r="H29" i="11" s="1"/>
  <c r="C28" i="11"/>
  <c r="H28" i="11" s="1"/>
  <c r="B96" i="11"/>
  <c r="B95" i="11"/>
  <c r="B94" i="11"/>
  <c r="B93" i="11"/>
  <c r="B92" i="11"/>
  <c r="B91" i="11"/>
  <c r="B87" i="11"/>
  <c r="B86" i="11"/>
  <c r="B85" i="11"/>
  <c r="B84" i="11"/>
  <c r="B83" i="11"/>
  <c r="B82" i="11"/>
  <c r="B78" i="11"/>
  <c r="B77" i="11"/>
  <c r="B76" i="11"/>
  <c r="B75" i="11"/>
  <c r="B74" i="11"/>
  <c r="B73" i="11"/>
  <c r="B69" i="11"/>
  <c r="B68" i="11"/>
  <c r="B67" i="11"/>
  <c r="B66" i="11"/>
  <c r="B65" i="11"/>
  <c r="B64" i="11"/>
  <c r="B60" i="11"/>
  <c r="B59" i="11"/>
  <c r="B58" i="11"/>
  <c r="B57" i="11"/>
  <c r="B56" i="11"/>
  <c r="B55" i="11"/>
  <c r="B51" i="11"/>
  <c r="B50" i="11"/>
  <c r="B49" i="11"/>
  <c r="B48" i="11"/>
  <c r="B47" i="11"/>
  <c r="B46" i="11"/>
  <c r="B42" i="11"/>
  <c r="B41" i="11"/>
  <c r="B40" i="11"/>
  <c r="B39" i="11"/>
  <c r="B38" i="11"/>
  <c r="B37" i="11"/>
  <c r="B33" i="11"/>
  <c r="B32" i="11"/>
  <c r="B31" i="11"/>
  <c r="B30" i="11"/>
  <c r="B29" i="11"/>
  <c r="B28" i="11"/>
  <c r="AE1139" i="12"/>
  <c r="AF1139" i="12" s="1"/>
  <c r="Q1139" i="12"/>
  <c r="P1139" i="12"/>
  <c r="O1139" i="12"/>
  <c r="L1139" i="12"/>
  <c r="AE1138" i="12"/>
  <c r="AF1138" i="12" s="1"/>
  <c r="Q1138" i="12"/>
  <c r="P1138" i="12"/>
  <c r="O1138" i="12"/>
  <c r="L1138" i="12"/>
  <c r="AE1137" i="12"/>
  <c r="AF1137" i="12" s="1"/>
  <c r="Q1137" i="12"/>
  <c r="P1137" i="12"/>
  <c r="O1137" i="12"/>
  <c r="L1137" i="12"/>
  <c r="AE1136" i="12"/>
  <c r="AF1136" i="12" s="1"/>
  <c r="Q1136" i="12"/>
  <c r="P1136" i="12"/>
  <c r="O1136" i="12"/>
  <c r="L1136" i="12"/>
  <c r="AE1135" i="12"/>
  <c r="AF1135" i="12" s="1"/>
  <c r="Q1135" i="12"/>
  <c r="P1135" i="12"/>
  <c r="O1135" i="12"/>
  <c r="L1135" i="12"/>
  <c r="AE1134" i="12"/>
  <c r="AF1134" i="12" s="1"/>
  <c r="Q1134" i="12"/>
  <c r="P1134" i="12"/>
  <c r="O1134" i="12"/>
  <c r="L1134" i="12"/>
  <c r="AE1133" i="12"/>
  <c r="AF1133" i="12" s="1"/>
  <c r="Q1133" i="12"/>
  <c r="P1133" i="12"/>
  <c r="O1133" i="12"/>
  <c r="L1133" i="12"/>
  <c r="AE1132" i="12"/>
  <c r="AF1132" i="12" s="1"/>
  <c r="Q1132" i="12"/>
  <c r="P1132" i="12"/>
  <c r="O1132" i="12"/>
  <c r="L1132" i="12"/>
  <c r="L1131" i="12"/>
  <c r="AE1130" i="12"/>
  <c r="AF1130" i="12" s="1"/>
  <c r="Q1130" i="12"/>
  <c r="P1130" i="12"/>
  <c r="O1130" i="12"/>
  <c r="L1130" i="12"/>
  <c r="L1129" i="12"/>
  <c r="AE1128" i="12"/>
  <c r="AF1128" i="12" s="1"/>
  <c r="Q1128" i="12"/>
  <c r="P1128" i="12"/>
  <c r="O1128" i="12"/>
  <c r="L1128" i="12"/>
  <c r="L1127" i="12"/>
  <c r="L1126" i="12"/>
  <c r="L1125" i="12"/>
  <c r="L1124" i="12"/>
  <c r="L1123" i="12"/>
  <c r="AE1122" i="12"/>
  <c r="AF1122" i="12" s="1"/>
  <c r="Q1122" i="12"/>
  <c r="P1122" i="12"/>
  <c r="O1122" i="12"/>
  <c r="L1122" i="12"/>
  <c r="AE1121" i="12"/>
  <c r="AF1121" i="12" s="1"/>
  <c r="Q1121" i="12"/>
  <c r="P1121" i="12"/>
  <c r="O1121" i="12"/>
  <c r="L1121" i="12"/>
  <c r="AE1120" i="12"/>
  <c r="AF1120" i="12" s="1"/>
  <c r="Q1120" i="12"/>
  <c r="P1120" i="12"/>
  <c r="O1120" i="12"/>
  <c r="L1120" i="12"/>
  <c r="AE1119" i="12"/>
  <c r="AF1119" i="12" s="1"/>
  <c r="Q1119" i="12"/>
  <c r="P1119" i="12"/>
  <c r="O1119" i="12"/>
  <c r="L1119" i="12"/>
  <c r="L1118" i="12"/>
  <c r="AE1117" i="12"/>
  <c r="AF1117" i="12" s="1"/>
  <c r="Q1117" i="12"/>
  <c r="P1117" i="12"/>
  <c r="O1117" i="12"/>
  <c r="L1117" i="12"/>
  <c r="AE1116" i="12"/>
  <c r="AF1116" i="12" s="1"/>
  <c r="Q1116" i="12"/>
  <c r="P1116" i="12"/>
  <c r="O1116" i="12"/>
  <c r="L1116" i="12"/>
  <c r="L1115" i="12"/>
  <c r="L1114" i="12"/>
  <c r="AE1113" i="12"/>
  <c r="AF1113" i="12" s="1"/>
  <c r="Q1113" i="12"/>
  <c r="P1113" i="12"/>
  <c r="O1113" i="12"/>
  <c r="L1113" i="12"/>
  <c r="L1112" i="12"/>
  <c r="L1111" i="12"/>
  <c r="L1110" i="12"/>
  <c r="L1109" i="12"/>
  <c r="L1108" i="12"/>
  <c r="AE1107" i="12"/>
  <c r="AF1107" i="12" s="1"/>
  <c r="Q1107" i="12"/>
  <c r="P1107" i="12"/>
  <c r="O1107" i="12"/>
  <c r="L1107" i="12"/>
  <c r="AE1106" i="12"/>
  <c r="AF1106" i="12" s="1"/>
  <c r="Q1106" i="12"/>
  <c r="P1106" i="12"/>
  <c r="O1106" i="12"/>
  <c r="L1106" i="12"/>
  <c r="AE1105" i="12"/>
  <c r="AF1105" i="12" s="1"/>
  <c r="Q1105" i="12"/>
  <c r="P1105" i="12"/>
  <c r="O1105" i="12"/>
  <c r="L1105" i="12"/>
  <c r="AE1104" i="12"/>
  <c r="AF1104" i="12" s="1"/>
  <c r="Q1104" i="12"/>
  <c r="P1104" i="12"/>
  <c r="O1104" i="12"/>
  <c r="L1104" i="12"/>
  <c r="AE1103" i="12"/>
  <c r="AF1103" i="12" s="1"/>
  <c r="Q1103" i="12"/>
  <c r="P1103" i="12"/>
  <c r="O1103" i="12"/>
  <c r="L1103" i="12"/>
  <c r="L1102" i="12"/>
  <c r="L1101" i="12"/>
  <c r="L1100" i="12"/>
  <c r="L1099" i="12"/>
  <c r="AE1098" i="12"/>
  <c r="AF1098" i="12" s="1"/>
  <c r="Q1098" i="12"/>
  <c r="P1098" i="12"/>
  <c r="O1098" i="12"/>
  <c r="L1098" i="12"/>
  <c r="L1097" i="12"/>
  <c r="L1096" i="12"/>
  <c r="AE1095" i="12"/>
  <c r="AF1095" i="12" s="1"/>
  <c r="Q1095" i="12"/>
  <c r="P1095" i="12"/>
  <c r="O1095" i="12"/>
  <c r="L1095" i="12"/>
  <c r="AE1094" i="12"/>
  <c r="AF1094" i="12" s="1"/>
  <c r="Q1094" i="12"/>
  <c r="P1094" i="12"/>
  <c r="O1094" i="12"/>
  <c r="L1094" i="12"/>
  <c r="L1093" i="12"/>
  <c r="AE1092" i="12"/>
  <c r="AF1092" i="12" s="1"/>
  <c r="Q1092" i="12"/>
  <c r="P1092" i="12"/>
  <c r="O1092" i="12"/>
  <c r="L1092" i="12"/>
  <c r="L1091" i="12"/>
  <c r="L1090" i="12"/>
  <c r="AE1089" i="12"/>
  <c r="AF1089" i="12" s="1"/>
  <c r="Q1089" i="12"/>
  <c r="P1089" i="12"/>
  <c r="O1089" i="12"/>
  <c r="L1089" i="12"/>
  <c r="L1088" i="12"/>
  <c r="AE1087" i="12"/>
  <c r="AF1087" i="12" s="1"/>
  <c r="Q1087" i="12"/>
  <c r="P1087" i="12"/>
  <c r="O1087" i="12"/>
  <c r="L1087" i="12"/>
  <c r="AE1086" i="12"/>
  <c r="AF1086" i="12" s="1"/>
  <c r="Q1086" i="12"/>
  <c r="P1086" i="12"/>
  <c r="O1086" i="12"/>
  <c r="L1086" i="12"/>
  <c r="AE1085" i="12"/>
  <c r="AF1085" i="12" s="1"/>
  <c r="Q1085" i="12"/>
  <c r="P1085" i="12"/>
  <c r="O1085" i="12"/>
  <c r="L1085" i="12"/>
  <c r="L1084" i="12"/>
  <c r="L1083" i="12"/>
  <c r="L1082" i="12"/>
  <c r="L1081" i="12"/>
  <c r="L1080" i="12"/>
  <c r="L1079" i="12"/>
  <c r="L1078" i="12"/>
  <c r="L1077" i="12"/>
  <c r="L1076" i="12"/>
  <c r="L1075" i="12"/>
  <c r="AE1074" i="12"/>
  <c r="AF1074" i="12" s="1"/>
  <c r="Q1074" i="12"/>
  <c r="P1074" i="12"/>
  <c r="O1074" i="12"/>
  <c r="L1073" i="12"/>
  <c r="L1072" i="12"/>
  <c r="L1071" i="12"/>
  <c r="AE1070" i="12"/>
  <c r="AF1070" i="12" s="1"/>
  <c r="Q1070" i="12"/>
  <c r="P1070" i="12"/>
  <c r="O1070" i="12"/>
  <c r="L1070" i="12"/>
  <c r="L1069" i="12"/>
  <c r="L1068" i="12"/>
  <c r="AE1067" i="12"/>
  <c r="AF1067" i="12" s="1"/>
  <c r="Q1067" i="12"/>
  <c r="P1067" i="12"/>
  <c r="O1067" i="12"/>
  <c r="L1067" i="12"/>
  <c r="AE1066" i="12"/>
  <c r="AF1066" i="12" s="1"/>
  <c r="Q1066" i="12"/>
  <c r="P1066" i="12"/>
  <c r="O1066" i="12"/>
  <c r="L1066" i="12"/>
  <c r="L1065" i="12"/>
  <c r="L1064" i="12"/>
  <c r="L1063" i="12"/>
  <c r="AE1062" i="12"/>
  <c r="AF1062" i="12" s="1"/>
  <c r="Q1062" i="12"/>
  <c r="P1062" i="12"/>
  <c r="O1062" i="12"/>
  <c r="L1062" i="12"/>
  <c r="L1061" i="12"/>
  <c r="L1060" i="12"/>
  <c r="L1059" i="12"/>
  <c r="L1058" i="12"/>
  <c r="L1057" i="12"/>
  <c r="L1056" i="12"/>
  <c r="L1055" i="12"/>
  <c r="L1054" i="12"/>
  <c r="L1053" i="12"/>
  <c r="AE1052" i="12"/>
  <c r="AF1052" i="12" s="1"/>
  <c r="Q1052" i="12"/>
  <c r="P1052" i="12"/>
  <c r="O1052" i="12"/>
  <c r="L1052" i="12"/>
  <c r="L1051" i="12"/>
  <c r="AE1050" i="12"/>
  <c r="AF1050" i="12" s="1"/>
  <c r="Q1050" i="12"/>
  <c r="P1050" i="12"/>
  <c r="O1050" i="12"/>
  <c r="L1050" i="12"/>
  <c r="L1049" i="12"/>
  <c r="AE1048" i="12"/>
  <c r="AF1048" i="12" s="1"/>
  <c r="Q1048" i="12"/>
  <c r="P1048" i="12"/>
  <c r="O1048" i="12"/>
  <c r="L1048" i="12"/>
  <c r="L1047" i="12"/>
  <c r="AE1046" i="12"/>
  <c r="AF1046" i="12" s="1"/>
  <c r="Q1046" i="12"/>
  <c r="P1046" i="12"/>
  <c r="O1046" i="12"/>
  <c r="L1046" i="12"/>
  <c r="L1045" i="12"/>
  <c r="L1044" i="12"/>
  <c r="L1043" i="12"/>
  <c r="L1042" i="12"/>
  <c r="AE1041" i="12"/>
  <c r="AF1041" i="12" s="1"/>
  <c r="Q1041" i="12"/>
  <c r="P1041" i="12"/>
  <c r="O1041" i="12"/>
  <c r="L1041" i="12"/>
  <c r="AE1040" i="12"/>
  <c r="AF1040" i="12" s="1"/>
  <c r="Q1040" i="12"/>
  <c r="P1040" i="12"/>
  <c r="O1040" i="12"/>
  <c r="L1040" i="12"/>
  <c r="L1039" i="12"/>
  <c r="L1038" i="12"/>
  <c r="L1037" i="12"/>
  <c r="AE1036" i="12"/>
  <c r="AF1036" i="12" s="1"/>
  <c r="Q1036" i="12"/>
  <c r="P1036" i="12"/>
  <c r="O1036" i="12"/>
  <c r="L1036" i="12"/>
  <c r="AE1035" i="12"/>
  <c r="AF1035" i="12" s="1"/>
  <c r="Q1035" i="12"/>
  <c r="P1035" i="12"/>
  <c r="O1035" i="12"/>
  <c r="L1035" i="12"/>
  <c r="AE1034" i="12"/>
  <c r="AF1034" i="12" s="1"/>
  <c r="Q1034" i="12"/>
  <c r="P1034" i="12"/>
  <c r="O1034" i="12"/>
  <c r="L1034" i="12"/>
  <c r="L1033" i="12"/>
  <c r="L1032" i="12"/>
  <c r="L1031" i="12"/>
  <c r="L1030" i="12"/>
  <c r="L1029" i="12"/>
  <c r="L1028" i="12"/>
  <c r="L1027" i="12"/>
  <c r="L1026" i="12"/>
  <c r="L1025" i="12"/>
  <c r="L1024" i="12"/>
  <c r="L1023" i="12"/>
  <c r="AE1022" i="12"/>
  <c r="AF1022" i="12" s="1"/>
  <c r="Q1022" i="12"/>
  <c r="P1022" i="12"/>
  <c r="O1022" i="12"/>
  <c r="L1022" i="12"/>
  <c r="L1021" i="12"/>
  <c r="L1020" i="12"/>
  <c r="L1019" i="12"/>
  <c r="L1018" i="12"/>
  <c r="L1017" i="12"/>
  <c r="L1016" i="12"/>
  <c r="L1015" i="12"/>
  <c r="AE1014" i="12"/>
  <c r="AF1014" i="12" s="1"/>
  <c r="Q1014" i="12"/>
  <c r="P1014" i="12"/>
  <c r="O1014" i="12"/>
  <c r="L1014" i="12"/>
  <c r="L1013" i="12"/>
  <c r="L1012" i="12"/>
  <c r="L1011" i="12"/>
  <c r="L1010" i="12"/>
  <c r="AE1009" i="12"/>
  <c r="AF1009" i="12" s="1"/>
  <c r="Q1009" i="12"/>
  <c r="P1009" i="12"/>
  <c r="O1009" i="12"/>
  <c r="L1009" i="12"/>
  <c r="L1008" i="12"/>
  <c r="L1007" i="12"/>
  <c r="L1006" i="12"/>
  <c r="L1005" i="12"/>
  <c r="L1004" i="12"/>
  <c r="L1003" i="12"/>
  <c r="AE1002" i="12"/>
  <c r="AF1002" i="12" s="1"/>
  <c r="Q1002" i="12"/>
  <c r="P1002" i="12"/>
  <c r="O1002" i="12"/>
  <c r="L1002" i="12"/>
  <c r="AE999" i="12"/>
  <c r="AF999" i="12" s="1"/>
  <c r="Q999" i="12"/>
  <c r="P999" i="12"/>
  <c r="O999" i="12"/>
  <c r="L999" i="12"/>
  <c r="AE998" i="12"/>
  <c r="AF998" i="12" s="1"/>
  <c r="Q998" i="12"/>
  <c r="P998" i="12"/>
  <c r="O998" i="12"/>
  <c r="L998" i="12"/>
  <c r="AE997" i="12"/>
  <c r="AF997" i="12" s="1"/>
  <c r="Q997" i="12"/>
  <c r="P997" i="12"/>
  <c r="O997" i="12"/>
  <c r="L997" i="12"/>
  <c r="AE996" i="12"/>
  <c r="AF996" i="12" s="1"/>
  <c r="Q996" i="12"/>
  <c r="P996" i="12"/>
  <c r="O996" i="12"/>
  <c r="L996" i="12"/>
  <c r="AE995" i="12"/>
  <c r="AF995" i="12" s="1"/>
  <c r="Q995" i="12"/>
  <c r="P995" i="12"/>
  <c r="O995" i="12"/>
  <c r="L995" i="12"/>
  <c r="L994" i="12"/>
  <c r="L993" i="12"/>
  <c r="L992" i="12"/>
  <c r="L991" i="12"/>
  <c r="L990" i="12"/>
  <c r="L989" i="12"/>
  <c r="L988" i="12"/>
  <c r="AE987" i="12"/>
  <c r="AF987" i="12" s="1"/>
  <c r="Q987" i="12"/>
  <c r="P987" i="12"/>
  <c r="O987" i="12"/>
  <c r="L987" i="12"/>
  <c r="AE986" i="12"/>
  <c r="AF986" i="12" s="1"/>
  <c r="Q986" i="12"/>
  <c r="P986" i="12"/>
  <c r="O986" i="12"/>
  <c r="L986" i="12"/>
  <c r="L985" i="12"/>
  <c r="L984" i="12"/>
  <c r="L983" i="12"/>
  <c r="AE982" i="12"/>
  <c r="AF982" i="12" s="1"/>
  <c r="Q982" i="12"/>
  <c r="P982" i="12"/>
  <c r="O982" i="12"/>
  <c r="L982" i="12"/>
  <c r="L981" i="12"/>
  <c r="L980" i="12"/>
  <c r="L979" i="12"/>
  <c r="L978" i="12"/>
  <c r="L977" i="12"/>
  <c r="L976" i="12"/>
  <c r="L975" i="12"/>
  <c r="L974" i="12"/>
  <c r="L973" i="12"/>
  <c r="AE972" i="12"/>
  <c r="AF972" i="12" s="1"/>
  <c r="Q972" i="12"/>
  <c r="P972" i="12"/>
  <c r="O972" i="12"/>
  <c r="L972" i="12"/>
  <c r="L971" i="12"/>
  <c r="L970" i="12"/>
  <c r="L969" i="12"/>
  <c r="L968" i="12"/>
  <c r="L967" i="12"/>
  <c r="L966" i="12"/>
  <c r="L965" i="12"/>
  <c r="AE964" i="12"/>
  <c r="AF964" i="12" s="1"/>
  <c r="Q964" i="12"/>
  <c r="P964" i="12"/>
  <c r="O964" i="12"/>
  <c r="L964" i="12"/>
  <c r="L963" i="12"/>
  <c r="L962" i="12"/>
  <c r="L961" i="12"/>
  <c r="L960" i="12"/>
  <c r="L959" i="12"/>
  <c r="L958" i="12"/>
  <c r="AE957" i="12"/>
  <c r="AF957" i="12" s="1"/>
  <c r="Q957" i="12"/>
  <c r="P957" i="12"/>
  <c r="O957" i="12"/>
  <c r="L957" i="12"/>
  <c r="L956" i="12"/>
  <c r="L955" i="12"/>
  <c r="L954" i="12"/>
  <c r="AE953" i="12"/>
  <c r="AF953" i="12" s="1"/>
  <c r="Q953" i="12"/>
  <c r="P953" i="12"/>
  <c r="O953" i="12"/>
  <c r="L953" i="12"/>
  <c r="L952" i="12"/>
  <c r="L951" i="12"/>
  <c r="L950" i="12"/>
  <c r="L949" i="12"/>
  <c r="L948" i="12"/>
  <c r="L947" i="12"/>
  <c r="AE946" i="12"/>
  <c r="AF946" i="12" s="1"/>
  <c r="Q946" i="12"/>
  <c r="P946" i="12"/>
  <c r="O946" i="12"/>
  <c r="L946" i="12"/>
  <c r="L945" i="12"/>
  <c r="L944" i="12"/>
  <c r="L943" i="12"/>
  <c r="AE942" i="12"/>
  <c r="AF942" i="12" s="1"/>
  <c r="Q942" i="12"/>
  <c r="P942" i="12"/>
  <c r="O942" i="12"/>
  <c r="L942" i="12"/>
  <c r="L941" i="12"/>
  <c r="AE940" i="12"/>
  <c r="AF940" i="12" s="1"/>
  <c r="Q940" i="12"/>
  <c r="P940" i="12"/>
  <c r="O940" i="12"/>
  <c r="L940" i="12"/>
  <c r="L939" i="12"/>
  <c r="L938" i="12"/>
  <c r="L937" i="12"/>
  <c r="AE936" i="12"/>
  <c r="AF936" i="12" s="1"/>
  <c r="Q936" i="12"/>
  <c r="P936" i="12"/>
  <c r="O936" i="12"/>
  <c r="L936" i="12"/>
  <c r="L935" i="12"/>
  <c r="L934" i="12"/>
  <c r="L933" i="12"/>
  <c r="L932" i="12"/>
  <c r="L931" i="12"/>
  <c r="L930" i="12"/>
  <c r="L929" i="12"/>
  <c r="L928" i="12"/>
  <c r="L927" i="12"/>
  <c r="L926" i="12"/>
  <c r="AE925" i="12"/>
  <c r="AF925" i="12" s="1"/>
  <c r="Q925" i="12"/>
  <c r="P925" i="12"/>
  <c r="O925" i="12"/>
  <c r="L925" i="12"/>
  <c r="L924" i="12"/>
  <c r="L923" i="12"/>
  <c r="L922" i="12"/>
  <c r="AE921" i="12"/>
  <c r="AF921" i="12" s="1"/>
  <c r="Q921" i="12"/>
  <c r="P921" i="12"/>
  <c r="O921" i="12"/>
  <c r="L921" i="12"/>
  <c r="L920" i="12"/>
  <c r="L919" i="12"/>
  <c r="L918" i="12"/>
  <c r="AE917" i="12"/>
  <c r="AF917" i="12" s="1"/>
  <c r="Q917" i="12"/>
  <c r="P917" i="12"/>
  <c r="O917" i="12"/>
  <c r="L917" i="12"/>
  <c r="L916" i="12"/>
  <c r="L915" i="12"/>
  <c r="L914" i="12"/>
  <c r="L913" i="12"/>
  <c r="AE912" i="12"/>
  <c r="AF912" i="12" s="1"/>
  <c r="Q912" i="12"/>
  <c r="P912" i="12"/>
  <c r="O912" i="12"/>
  <c r="L912" i="12"/>
  <c r="L911" i="12"/>
  <c r="AE910" i="12"/>
  <c r="AF910" i="12" s="1"/>
  <c r="Q910" i="12"/>
  <c r="P910" i="12"/>
  <c r="O910" i="12"/>
  <c r="L910" i="12"/>
  <c r="L909" i="12"/>
  <c r="AE908" i="12"/>
  <c r="AF908" i="12" s="1"/>
  <c r="Q908" i="12"/>
  <c r="P908" i="12"/>
  <c r="O908" i="12"/>
  <c r="L908" i="12"/>
  <c r="L907" i="12"/>
  <c r="AE906" i="12"/>
  <c r="AF906" i="12" s="1"/>
  <c r="Q906" i="12"/>
  <c r="P906" i="12"/>
  <c r="O906" i="12"/>
  <c r="L906" i="12"/>
  <c r="AE905" i="12"/>
  <c r="AF905" i="12" s="1"/>
  <c r="Q905" i="12"/>
  <c r="P905" i="12"/>
  <c r="O905" i="12"/>
  <c r="L905" i="12"/>
  <c r="L904" i="12"/>
  <c r="AE903" i="12"/>
  <c r="AF903" i="12" s="1"/>
  <c r="Q903" i="12"/>
  <c r="P903" i="12"/>
  <c r="O903" i="12"/>
  <c r="L903" i="12"/>
  <c r="L902" i="12"/>
  <c r="L901" i="12"/>
  <c r="L900" i="12"/>
  <c r="L899" i="12"/>
  <c r="L898" i="12"/>
  <c r="AE897" i="12"/>
  <c r="AF897" i="12" s="1"/>
  <c r="Q897" i="12"/>
  <c r="P897" i="12"/>
  <c r="O897" i="12"/>
  <c r="L897" i="12"/>
  <c r="L896" i="12"/>
  <c r="L895" i="12"/>
  <c r="L894" i="12"/>
  <c r="L893" i="12"/>
  <c r="AE892" i="12"/>
  <c r="AF892" i="12" s="1"/>
  <c r="Q892" i="12"/>
  <c r="P892" i="12"/>
  <c r="O892" i="12"/>
  <c r="L892" i="12"/>
  <c r="AE891" i="12"/>
  <c r="AF891" i="12" s="1"/>
  <c r="Q891" i="12"/>
  <c r="P891" i="12"/>
  <c r="O891" i="12"/>
  <c r="L891" i="12"/>
  <c r="AE890" i="12"/>
  <c r="AF890" i="12" s="1"/>
  <c r="Q890" i="12"/>
  <c r="P890" i="12"/>
  <c r="O890" i="12"/>
  <c r="L890" i="12"/>
  <c r="L889" i="12"/>
  <c r="L888" i="12"/>
  <c r="AE887" i="12"/>
  <c r="AF887" i="12" s="1"/>
  <c r="Q887" i="12"/>
  <c r="P887" i="12"/>
  <c r="O887" i="12"/>
  <c r="L887" i="12"/>
  <c r="L886" i="12"/>
  <c r="AE885" i="12"/>
  <c r="AF885" i="12" s="1"/>
  <c r="Q885" i="12"/>
  <c r="P885" i="12"/>
  <c r="O885" i="12"/>
  <c r="L885" i="12"/>
  <c r="L884" i="12"/>
  <c r="L883" i="12"/>
  <c r="L882" i="12"/>
  <c r="L881" i="12"/>
  <c r="L880" i="12"/>
  <c r="L879" i="12"/>
  <c r="L878" i="12"/>
  <c r="L877" i="12"/>
  <c r="L876" i="12"/>
  <c r="L875" i="12"/>
  <c r="AE874" i="12"/>
  <c r="AF874" i="12" s="1"/>
  <c r="Q874" i="12"/>
  <c r="P874" i="12"/>
  <c r="O874" i="12"/>
  <c r="L874" i="12"/>
  <c r="AE873" i="12"/>
  <c r="AF873" i="12" s="1"/>
  <c r="Q873" i="12"/>
  <c r="P873" i="12"/>
  <c r="O873" i="12"/>
  <c r="L873" i="12"/>
  <c r="L872" i="12"/>
  <c r="L871" i="12"/>
  <c r="L870" i="12"/>
  <c r="L869" i="12"/>
  <c r="L868" i="12"/>
  <c r="AE867" i="12"/>
  <c r="AF867" i="12" s="1"/>
  <c r="Q867" i="12"/>
  <c r="P867" i="12"/>
  <c r="O867" i="12"/>
  <c r="L867" i="12"/>
  <c r="L866" i="12"/>
  <c r="AE865" i="12"/>
  <c r="AF865" i="12" s="1"/>
  <c r="Q865" i="12"/>
  <c r="P865" i="12"/>
  <c r="O865" i="12"/>
  <c r="L865" i="12"/>
  <c r="AE864" i="12"/>
  <c r="AF864" i="12" s="1"/>
  <c r="Q864" i="12"/>
  <c r="P864" i="12"/>
  <c r="O864" i="12"/>
  <c r="L864" i="12"/>
  <c r="L863" i="12"/>
  <c r="AE862" i="12"/>
  <c r="AF862" i="12" s="1"/>
  <c r="Q862" i="12"/>
  <c r="P862" i="12"/>
  <c r="O862" i="12"/>
  <c r="L862" i="12"/>
  <c r="AE861" i="12"/>
  <c r="AF861" i="12" s="1"/>
  <c r="Q861" i="12"/>
  <c r="P861" i="12"/>
  <c r="O861" i="12"/>
  <c r="L861" i="12"/>
  <c r="AE860" i="12"/>
  <c r="AF860" i="12" s="1"/>
  <c r="Q860" i="12"/>
  <c r="P860" i="12"/>
  <c r="O860" i="12"/>
  <c r="L860" i="12"/>
  <c r="L859" i="12"/>
  <c r="L858" i="12"/>
  <c r="L857" i="12"/>
  <c r="L856" i="12"/>
  <c r="L855" i="12"/>
  <c r="L854" i="12"/>
  <c r="L853" i="12"/>
  <c r="AE852" i="12"/>
  <c r="AF852" i="12" s="1"/>
  <c r="Q852" i="12"/>
  <c r="P852" i="12"/>
  <c r="O852" i="12"/>
  <c r="L852" i="12"/>
  <c r="L851" i="12"/>
  <c r="L850" i="12"/>
  <c r="L849" i="12"/>
  <c r="L848" i="12"/>
  <c r="L847" i="12"/>
  <c r="L846" i="12"/>
  <c r="L845" i="12"/>
  <c r="L844" i="12"/>
  <c r="L843" i="12"/>
  <c r="L842" i="12"/>
  <c r="L841" i="12"/>
  <c r="L840" i="12"/>
  <c r="L839" i="12"/>
  <c r="L838" i="12"/>
  <c r="L837" i="12"/>
  <c r="L836" i="12"/>
  <c r="L835" i="12"/>
  <c r="L834" i="12"/>
  <c r="L833" i="12"/>
  <c r="L832" i="12"/>
  <c r="L831" i="12"/>
  <c r="L830" i="12"/>
  <c r="L829" i="12"/>
  <c r="L828" i="12"/>
  <c r="L827" i="12"/>
  <c r="L826" i="12"/>
  <c r="L825" i="12"/>
  <c r="L824" i="12"/>
  <c r="L823" i="12"/>
  <c r="L822" i="12"/>
  <c r="L821" i="12"/>
  <c r="L820" i="12"/>
  <c r="AE819" i="12"/>
  <c r="AF819" i="12" s="1"/>
  <c r="Q819" i="12"/>
  <c r="P819" i="12"/>
  <c r="O819" i="12"/>
  <c r="L819" i="12"/>
  <c r="L818" i="12"/>
  <c r="L817" i="12"/>
  <c r="L816" i="12"/>
  <c r="L815" i="12"/>
  <c r="L814" i="12"/>
  <c r="L813" i="12"/>
  <c r="L812" i="12"/>
  <c r="L811" i="12"/>
  <c r="L810" i="12"/>
  <c r="L809" i="12"/>
  <c r="L808" i="12"/>
  <c r="L807" i="12"/>
  <c r="L806" i="12"/>
  <c r="AE805" i="12"/>
  <c r="AF805" i="12" s="1"/>
  <c r="Q805" i="12"/>
  <c r="P805" i="12"/>
  <c r="O805" i="12"/>
  <c r="L805" i="12"/>
  <c r="L804" i="12"/>
  <c r="L803" i="12"/>
  <c r="L802" i="12"/>
  <c r="L801" i="12"/>
  <c r="L800" i="12"/>
  <c r="AE799" i="12"/>
  <c r="AF799" i="12" s="1"/>
  <c r="Q799" i="12"/>
  <c r="P799" i="12"/>
  <c r="O799" i="12"/>
  <c r="L799" i="12"/>
  <c r="AE798" i="12"/>
  <c r="AF798" i="12" s="1"/>
  <c r="Q798" i="12"/>
  <c r="P798" i="12"/>
  <c r="O798" i="12"/>
  <c r="L798" i="12"/>
  <c r="L797" i="12"/>
  <c r="L796" i="12"/>
  <c r="AE795" i="12"/>
  <c r="AF795" i="12" s="1"/>
  <c r="Q795" i="12"/>
  <c r="P795" i="12"/>
  <c r="O795" i="12"/>
  <c r="L795" i="12"/>
  <c r="L794" i="12"/>
  <c r="L793" i="12"/>
  <c r="L792" i="12"/>
  <c r="AE791" i="12"/>
  <c r="AF791" i="12" s="1"/>
  <c r="Q791" i="12"/>
  <c r="P791" i="12"/>
  <c r="O791" i="12"/>
  <c r="L791" i="12"/>
  <c r="AE790" i="12"/>
  <c r="AF790" i="12" s="1"/>
  <c r="Q790" i="12"/>
  <c r="P790" i="12"/>
  <c r="O790" i="12"/>
  <c r="L790" i="12"/>
  <c r="L789" i="12"/>
  <c r="L788" i="12"/>
  <c r="L787" i="12"/>
  <c r="L786" i="12"/>
  <c r="L785" i="12"/>
  <c r="L784" i="12"/>
  <c r="L783" i="12"/>
  <c r="L782" i="12"/>
  <c r="L781" i="12"/>
  <c r="L780" i="12"/>
  <c r="L779" i="12"/>
  <c r="L778" i="12"/>
  <c r="L777" i="12"/>
  <c r="L776" i="12"/>
  <c r="L775" i="12"/>
  <c r="L774" i="12"/>
  <c r="L773" i="12"/>
  <c r="L772" i="12"/>
  <c r="L771" i="12"/>
  <c r="L770" i="12"/>
  <c r="L769" i="12"/>
  <c r="L768" i="12"/>
  <c r="AE767" i="12"/>
  <c r="AF767" i="12" s="1"/>
  <c r="Q767" i="12"/>
  <c r="P767" i="12"/>
  <c r="O767" i="12"/>
  <c r="L767" i="12"/>
  <c r="L766" i="12"/>
  <c r="L765" i="12"/>
  <c r="L764" i="12"/>
  <c r="AE763" i="12"/>
  <c r="AF763" i="12" s="1"/>
  <c r="Q763" i="12"/>
  <c r="P763" i="12"/>
  <c r="O763" i="12"/>
  <c r="L763" i="12"/>
  <c r="AE762" i="12"/>
  <c r="AF762" i="12" s="1"/>
  <c r="Q762" i="12"/>
  <c r="P762" i="12"/>
  <c r="O762" i="12"/>
  <c r="L762" i="12"/>
  <c r="L761" i="12"/>
  <c r="L760" i="12"/>
  <c r="L759" i="12"/>
  <c r="L758" i="12"/>
  <c r="L757" i="12"/>
  <c r="L756" i="12"/>
  <c r="L755" i="12"/>
  <c r="L754" i="12"/>
  <c r="L753" i="12"/>
  <c r="L752" i="12"/>
  <c r="L751" i="12"/>
  <c r="L750" i="12"/>
  <c r="L749" i="12"/>
  <c r="AE748" i="12"/>
  <c r="AF748" i="12" s="1"/>
  <c r="Q748" i="12"/>
  <c r="P748" i="12"/>
  <c r="O748" i="12"/>
  <c r="L748" i="12"/>
  <c r="L747" i="12"/>
  <c r="L746" i="12"/>
  <c r="L745" i="12"/>
  <c r="L744" i="12"/>
  <c r="AE743" i="12"/>
  <c r="AF743" i="12" s="1"/>
  <c r="Q743" i="12"/>
  <c r="P743" i="12"/>
  <c r="O743" i="12"/>
  <c r="L743" i="12"/>
  <c r="L742" i="12"/>
  <c r="L741" i="12"/>
  <c r="L740" i="12"/>
  <c r="AE739" i="12"/>
  <c r="AF739" i="12" s="1"/>
  <c r="Q739" i="12"/>
  <c r="P739" i="12"/>
  <c r="O739" i="12"/>
  <c r="L739" i="12"/>
  <c r="L738" i="12"/>
  <c r="L737" i="12"/>
  <c r="L736" i="12"/>
  <c r="L735" i="12"/>
  <c r="L734" i="12"/>
  <c r="L733" i="12"/>
  <c r="L732" i="12"/>
  <c r="L731" i="12"/>
  <c r="AE730" i="12"/>
  <c r="AF730" i="12" s="1"/>
  <c r="Q730" i="12"/>
  <c r="P730" i="12"/>
  <c r="O730" i="12"/>
  <c r="L730" i="12"/>
  <c r="AE729" i="12"/>
  <c r="AF729" i="12" s="1"/>
  <c r="Q729" i="12"/>
  <c r="P729" i="12"/>
  <c r="O729" i="12"/>
  <c r="L729" i="12"/>
  <c r="AE728" i="12"/>
  <c r="AF728" i="12" s="1"/>
  <c r="Q728" i="12"/>
  <c r="P728" i="12"/>
  <c r="O728" i="12"/>
  <c r="L728" i="12"/>
  <c r="AE727" i="12"/>
  <c r="AF727" i="12" s="1"/>
  <c r="Q727" i="12"/>
  <c r="P727" i="12"/>
  <c r="O727" i="12"/>
  <c r="L727" i="12"/>
  <c r="AE726" i="12"/>
  <c r="AF726" i="12" s="1"/>
  <c r="Q726" i="12"/>
  <c r="P726" i="12"/>
  <c r="O726" i="12"/>
  <c r="L726" i="12"/>
  <c r="AE725" i="12"/>
  <c r="AF725" i="12" s="1"/>
  <c r="Q725" i="12"/>
  <c r="P725" i="12"/>
  <c r="O725" i="12"/>
  <c r="L725" i="12"/>
  <c r="AE724" i="12"/>
  <c r="AF724" i="12" s="1"/>
  <c r="Q724" i="12"/>
  <c r="P724" i="12"/>
  <c r="O724" i="12"/>
  <c r="L724" i="12"/>
  <c r="AE723" i="12"/>
  <c r="AF723" i="12" s="1"/>
  <c r="Q723" i="12"/>
  <c r="P723" i="12"/>
  <c r="O723" i="12"/>
  <c r="L723" i="12"/>
  <c r="AE722" i="12"/>
  <c r="AF722" i="12" s="1"/>
  <c r="Q722" i="12"/>
  <c r="P722" i="12"/>
  <c r="O722" i="12"/>
  <c r="L722" i="12"/>
  <c r="AE721" i="12"/>
  <c r="AF721" i="12" s="1"/>
  <c r="Q721" i="12"/>
  <c r="P721" i="12"/>
  <c r="O721" i="12"/>
  <c r="L721" i="12"/>
  <c r="AE720" i="12"/>
  <c r="AF720" i="12" s="1"/>
  <c r="Q720" i="12"/>
  <c r="P720" i="12"/>
  <c r="O720" i="12"/>
  <c r="L720" i="12"/>
  <c r="AE719" i="12"/>
  <c r="AF719" i="12" s="1"/>
  <c r="Q719" i="12"/>
  <c r="P719" i="12"/>
  <c r="O719" i="12"/>
  <c r="L719" i="12"/>
  <c r="AE718" i="12"/>
  <c r="AF718" i="12" s="1"/>
  <c r="Q718" i="12"/>
  <c r="P718" i="12"/>
  <c r="O718" i="12"/>
  <c r="L718" i="12"/>
  <c r="AE717" i="12"/>
  <c r="AF717" i="12" s="1"/>
  <c r="Q717" i="12"/>
  <c r="P717" i="12"/>
  <c r="O717" i="12"/>
  <c r="L717" i="12"/>
  <c r="AE716" i="12"/>
  <c r="AF716" i="12" s="1"/>
  <c r="Q716" i="12"/>
  <c r="P716" i="12"/>
  <c r="O716" i="12"/>
  <c r="L716" i="12"/>
  <c r="AE715" i="12"/>
  <c r="AF715" i="12" s="1"/>
  <c r="Q715" i="12"/>
  <c r="P715" i="12"/>
  <c r="O715" i="12"/>
  <c r="L715" i="12"/>
  <c r="AE714" i="12"/>
  <c r="AF714" i="12" s="1"/>
  <c r="Q714" i="12"/>
  <c r="P714" i="12"/>
  <c r="O714" i="12"/>
  <c r="L714" i="12"/>
  <c r="AE713" i="12"/>
  <c r="AF713" i="12" s="1"/>
  <c r="Q713" i="12"/>
  <c r="P713" i="12"/>
  <c r="O713" i="12"/>
  <c r="L713" i="12"/>
  <c r="AE712" i="12"/>
  <c r="AF712" i="12" s="1"/>
  <c r="Q712" i="12"/>
  <c r="P712" i="12"/>
  <c r="O712" i="12"/>
  <c r="L712" i="12"/>
  <c r="AE711" i="12"/>
  <c r="AF711" i="12" s="1"/>
  <c r="Q711" i="12"/>
  <c r="P711" i="12"/>
  <c r="O711" i="12"/>
  <c r="L711" i="12"/>
  <c r="AE710" i="12"/>
  <c r="AF710" i="12" s="1"/>
  <c r="Q710" i="12"/>
  <c r="P710" i="12"/>
  <c r="O710" i="12"/>
  <c r="L710" i="12"/>
  <c r="AE709" i="12"/>
  <c r="AF709" i="12" s="1"/>
  <c r="Q709" i="12"/>
  <c r="P709" i="12"/>
  <c r="O709" i="12"/>
  <c r="L709" i="12"/>
  <c r="AE708" i="12"/>
  <c r="AF708" i="12" s="1"/>
  <c r="Q708" i="12"/>
  <c r="P708" i="12"/>
  <c r="O708" i="12"/>
  <c r="L708" i="12"/>
  <c r="AE707" i="12"/>
  <c r="AF707" i="12" s="1"/>
  <c r="Q707" i="12"/>
  <c r="P707" i="12"/>
  <c r="O707" i="12"/>
  <c r="L707" i="12"/>
  <c r="AE706" i="12"/>
  <c r="AF706" i="12" s="1"/>
  <c r="Q706" i="12"/>
  <c r="P706" i="12"/>
  <c r="O706" i="12"/>
  <c r="L706" i="12"/>
  <c r="AE705" i="12"/>
  <c r="AF705" i="12" s="1"/>
  <c r="Q705" i="12"/>
  <c r="P705" i="12"/>
  <c r="O705" i="12"/>
  <c r="L705" i="12"/>
  <c r="L704" i="12"/>
  <c r="L703" i="12"/>
  <c r="AE702" i="12"/>
  <c r="AF702" i="12" s="1"/>
  <c r="Q702" i="12"/>
  <c r="P702" i="12"/>
  <c r="O702" i="12"/>
  <c r="L702" i="12"/>
  <c r="L701" i="12"/>
  <c r="L700" i="12"/>
  <c r="AE699" i="12"/>
  <c r="AF699" i="12" s="1"/>
  <c r="Q699" i="12"/>
  <c r="P699" i="12"/>
  <c r="O699" i="12"/>
  <c r="L699" i="12"/>
  <c r="L698" i="12"/>
  <c r="L697" i="12"/>
  <c r="L696" i="12"/>
  <c r="L695" i="12"/>
  <c r="L694" i="12"/>
  <c r="L693" i="12"/>
  <c r="L692" i="12"/>
  <c r="L691" i="12"/>
  <c r="L690" i="12"/>
  <c r="L689" i="12"/>
  <c r="L688" i="12"/>
  <c r="L687" i="12"/>
  <c r="L686" i="12"/>
  <c r="L685" i="12"/>
  <c r="L684" i="12"/>
  <c r="L683" i="12"/>
  <c r="L682" i="12"/>
  <c r="L681" i="12"/>
  <c r="L680" i="12"/>
  <c r="L679" i="12"/>
  <c r="L678" i="12"/>
  <c r="L677" i="12"/>
  <c r="L676" i="12"/>
  <c r="L675" i="12"/>
  <c r="L674" i="12"/>
  <c r="L673" i="12"/>
  <c r="L672" i="12"/>
  <c r="L671" i="12"/>
  <c r="AE670" i="12"/>
  <c r="AF670" i="12" s="1"/>
  <c r="Q670" i="12"/>
  <c r="P670" i="12"/>
  <c r="O670" i="12"/>
  <c r="L670" i="12"/>
  <c r="L669" i="12"/>
  <c r="L668" i="12"/>
  <c r="AE667" i="12"/>
  <c r="AF667" i="12" s="1"/>
  <c r="Q667" i="12"/>
  <c r="P667" i="12"/>
  <c r="O667" i="12"/>
  <c r="L667" i="12"/>
  <c r="L666" i="12"/>
  <c r="L665" i="12"/>
  <c r="AE664" i="12"/>
  <c r="AF664" i="12" s="1"/>
  <c r="Q664" i="12"/>
  <c r="P664" i="12"/>
  <c r="O664" i="12"/>
  <c r="L664" i="12"/>
  <c r="L663" i="12"/>
  <c r="L662" i="12"/>
  <c r="L661" i="12"/>
  <c r="L660" i="12"/>
  <c r="AE659" i="12"/>
  <c r="AF659" i="12" s="1"/>
  <c r="Q659" i="12"/>
  <c r="P659" i="12"/>
  <c r="O659" i="12"/>
  <c r="L659" i="12"/>
  <c r="L658" i="12"/>
  <c r="L657" i="12"/>
  <c r="L656" i="12"/>
  <c r="L655" i="12"/>
  <c r="L654" i="12"/>
  <c r="L653" i="12"/>
  <c r="L652" i="12"/>
  <c r="AE651" i="12"/>
  <c r="AF651" i="12" s="1"/>
  <c r="Q651" i="12"/>
  <c r="P651" i="12"/>
  <c r="O651" i="12"/>
  <c r="L651" i="12"/>
  <c r="L650" i="12"/>
  <c r="L649" i="12"/>
  <c r="L648" i="12"/>
  <c r="L647" i="12"/>
  <c r="L646" i="12"/>
  <c r="L645" i="12"/>
  <c r="L644" i="12"/>
  <c r="L643" i="12"/>
  <c r="L642" i="12"/>
  <c r="L641" i="12"/>
  <c r="L640" i="12"/>
  <c r="L639" i="12"/>
  <c r="L638" i="12"/>
  <c r="L637" i="12"/>
  <c r="L636" i="12"/>
  <c r="L635" i="12"/>
  <c r="L634" i="12"/>
  <c r="L633" i="12"/>
  <c r="L632" i="12"/>
  <c r="L631" i="12"/>
  <c r="L630" i="12"/>
  <c r="L629" i="12"/>
  <c r="L628" i="12"/>
  <c r="L627" i="12"/>
  <c r="L626" i="12"/>
  <c r="L625" i="12"/>
  <c r="L624" i="12"/>
  <c r="L623" i="12"/>
  <c r="L622" i="12"/>
  <c r="L621" i="12"/>
  <c r="L620" i="12"/>
  <c r="L619" i="12"/>
  <c r="AE618" i="12"/>
  <c r="AF618" i="12" s="1"/>
  <c r="Q618" i="12"/>
  <c r="P618" i="12"/>
  <c r="O618" i="12"/>
  <c r="L618" i="12"/>
  <c r="L617" i="12"/>
  <c r="L616" i="12"/>
  <c r="L615" i="12"/>
  <c r="L614" i="12"/>
  <c r="L613" i="12"/>
  <c r="L612" i="12"/>
  <c r="L611" i="12"/>
  <c r="L610" i="12"/>
  <c r="L609" i="12"/>
  <c r="L608" i="12"/>
  <c r="L607" i="12"/>
  <c r="L606" i="12"/>
  <c r="L605" i="12"/>
  <c r="L604" i="12"/>
  <c r="L603" i="12"/>
  <c r="L602" i="12"/>
  <c r="L601" i="12"/>
  <c r="L600" i="12"/>
  <c r="AE599" i="12"/>
  <c r="AF599" i="12" s="1"/>
  <c r="Q599" i="12"/>
  <c r="P599" i="12"/>
  <c r="O599" i="12"/>
  <c r="L599" i="12"/>
  <c r="L598" i="12"/>
  <c r="L597" i="12"/>
  <c r="L596" i="12"/>
  <c r="L595" i="12"/>
  <c r="L594" i="12"/>
  <c r="L593" i="12"/>
  <c r="L592" i="12"/>
  <c r="L591" i="12"/>
  <c r="L590" i="12"/>
  <c r="L589" i="12"/>
  <c r="L588" i="12"/>
  <c r="L587" i="12"/>
  <c r="L586" i="12"/>
  <c r="L585" i="12"/>
  <c r="L584" i="12"/>
  <c r="L583" i="12"/>
  <c r="L582" i="12"/>
  <c r="L581" i="12"/>
  <c r="L580" i="12"/>
  <c r="L579" i="12"/>
  <c r="L578" i="12"/>
  <c r="L577" i="12"/>
  <c r="L576" i="12"/>
  <c r="L575" i="12"/>
  <c r="L574" i="12"/>
  <c r="L573" i="12"/>
  <c r="L572" i="12"/>
  <c r="L571" i="12"/>
  <c r="L570" i="12"/>
  <c r="L569" i="12"/>
  <c r="L568" i="12"/>
  <c r="L567" i="12"/>
  <c r="L566" i="12"/>
  <c r="L565" i="12"/>
  <c r="L564" i="12"/>
  <c r="L563" i="12"/>
  <c r="L562" i="12"/>
  <c r="L561" i="12"/>
  <c r="L560" i="12"/>
  <c r="L559" i="12"/>
  <c r="L558" i="12"/>
  <c r="L557" i="12"/>
  <c r="L556" i="12"/>
  <c r="L555" i="12"/>
  <c r="L554" i="12"/>
  <c r="L553" i="12"/>
  <c r="L552" i="12"/>
  <c r="L551" i="12"/>
  <c r="L550" i="12"/>
  <c r="L549" i="12"/>
  <c r="L548" i="12"/>
  <c r="L547" i="12"/>
  <c r="L546" i="12"/>
  <c r="L545" i="12"/>
  <c r="L544" i="12"/>
  <c r="L543" i="12"/>
  <c r="L542" i="12"/>
  <c r="L541" i="12"/>
  <c r="AE540" i="12"/>
  <c r="AF540" i="12" s="1"/>
  <c r="Q540" i="12"/>
  <c r="P540" i="12"/>
  <c r="O540" i="12"/>
  <c r="L540" i="12"/>
  <c r="AE539" i="12"/>
  <c r="AF539" i="12" s="1"/>
  <c r="Q539" i="12"/>
  <c r="P539" i="12"/>
  <c r="O539" i="12"/>
  <c r="L539" i="12"/>
  <c r="AE538" i="12"/>
  <c r="AF538" i="12" s="1"/>
  <c r="Q538" i="12"/>
  <c r="P538" i="12"/>
  <c r="O538" i="12"/>
  <c r="L538" i="12"/>
  <c r="AE537" i="12"/>
  <c r="AF537" i="12" s="1"/>
  <c r="Q537" i="12"/>
  <c r="P537" i="12"/>
  <c r="O537" i="12"/>
  <c r="L537" i="12"/>
  <c r="AE536" i="12"/>
  <c r="AF536" i="12" s="1"/>
  <c r="Q536" i="12"/>
  <c r="P536" i="12"/>
  <c r="O536" i="12"/>
  <c r="L536" i="12"/>
  <c r="AE535" i="12"/>
  <c r="AF535" i="12" s="1"/>
  <c r="Q535" i="12"/>
  <c r="P535" i="12"/>
  <c r="O535" i="12"/>
  <c r="L535" i="12"/>
  <c r="AE534" i="12"/>
  <c r="AF534" i="12" s="1"/>
  <c r="Q534" i="12"/>
  <c r="P534" i="12"/>
  <c r="O534" i="12"/>
  <c r="L534" i="12"/>
  <c r="AE533" i="12"/>
  <c r="AF533" i="12" s="1"/>
  <c r="Q533" i="12"/>
  <c r="P533" i="12"/>
  <c r="O533" i="12"/>
  <c r="L533" i="12"/>
  <c r="AE532" i="12"/>
  <c r="AF532" i="12" s="1"/>
  <c r="Q532" i="12"/>
  <c r="P532" i="12"/>
  <c r="O532" i="12"/>
  <c r="L532" i="12"/>
  <c r="AE530" i="12"/>
  <c r="AF530" i="12" s="1"/>
  <c r="Q530" i="12"/>
  <c r="P530" i="12"/>
  <c r="O530" i="12"/>
  <c r="L530" i="12"/>
  <c r="AE529" i="12"/>
  <c r="AF529" i="12" s="1"/>
  <c r="Q529" i="12"/>
  <c r="P529" i="12"/>
  <c r="O529" i="12"/>
  <c r="L529" i="12"/>
  <c r="AE528" i="12"/>
  <c r="AF528" i="12" s="1"/>
  <c r="Q528" i="12"/>
  <c r="P528" i="12"/>
  <c r="O528" i="12"/>
  <c r="L528" i="12"/>
  <c r="AE527" i="12"/>
  <c r="AF527" i="12" s="1"/>
  <c r="Q527" i="12"/>
  <c r="P527" i="12"/>
  <c r="O527" i="12"/>
  <c r="L527" i="12"/>
  <c r="AE526" i="12"/>
  <c r="AF526" i="12" s="1"/>
  <c r="Q526" i="12"/>
  <c r="P526" i="12"/>
  <c r="O526" i="12"/>
  <c r="L526" i="12"/>
  <c r="AE525" i="12"/>
  <c r="AF525" i="12" s="1"/>
  <c r="Q525" i="12"/>
  <c r="P525" i="12"/>
  <c r="O525" i="12"/>
  <c r="L525" i="12"/>
  <c r="L524" i="12"/>
  <c r="AE523" i="12"/>
  <c r="AF523" i="12" s="1"/>
  <c r="Q523" i="12"/>
  <c r="P523" i="12"/>
  <c r="O523" i="12"/>
  <c r="L523" i="12"/>
  <c r="L522" i="12"/>
  <c r="L521" i="12"/>
  <c r="L520" i="12"/>
  <c r="J18" i="11"/>
  <c r="L519" i="12"/>
  <c r="L518" i="12"/>
  <c r="L517" i="12"/>
  <c r="AE516" i="12"/>
  <c r="AF516" i="12" s="1"/>
  <c r="Q516" i="12"/>
  <c r="P516" i="12"/>
  <c r="O516" i="12"/>
  <c r="L516" i="12"/>
  <c r="AE515" i="12"/>
  <c r="AF515" i="12" s="1"/>
  <c r="Q515" i="12"/>
  <c r="P515" i="12"/>
  <c r="O515" i="12"/>
  <c r="L515" i="12"/>
  <c r="AE514" i="12"/>
  <c r="AF514" i="12" s="1"/>
  <c r="Q514" i="12"/>
  <c r="P514" i="12"/>
  <c r="O514" i="12"/>
  <c r="L514" i="12"/>
  <c r="L513" i="12"/>
  <c r="J16" i="11"/>
  <c r="L512" i="12"/>
  <c r="AE511" i="12"/>
  <c r="AF511" i="12" s="1"/>
  <c r="Q511" i="12"/>
  <c r="P511" i="12"/>
  <c r="O511" i="12"/>
  <c r="L511" i="12"/>
  <c r="AE510" i="12"/>
  <c r="AF510" i="12" s="1"/>
  <c r="Q510" i="12"/>
  <c r="P510" i="12"/>
  <c r="O510" i="12"/>
  <c r="L510" i="12"/>
  <c r="AE509" i="12"/>
  <c r="AF509" i="12" s="1"/>
  <c r="Q509" i="12"/>
  <c r="P509" i="12"/>
  <c r="O509" i="12"/>
  <c r="L509" i="12"/>
  <c r="L508" i="12"/>
  <c r="L507" i="12"/>
  <c r="L506" i="12"/>
  <c r="L505" i="12"/>
  <c r="AE504" i="12"/>
  <c r="AF504" i="12" s="1"/>
  <c r="Q504" i="12"/>
  <c r="P504" i="12"/>
  <c r="O504" i="12"/>
  <c r="L504" i="12"/>
  <c r="AE503" i="12"/>
  <c r="AF503" i="12" s="1"/>
  <c r="Q503" i="12"/>
  <c r="P503" i="12"/>
  <c r="O503" i="12"/>
  <c r="L503" i="12"/>
  <c r="L502" i="12"/>
  <c r="AE501" i="12"/>
  <c r="AF501" i="12" s="1"/>
  <c r="Q501" i="12"/>
  <c r="P501" i="12"/>
  <c r="O501" i="12"/>
  <c r="L501" i="12"/>
  <c r="L500" i="12"/>
  <c r="AE499" i="12"/>
  <c r="AF499" i="12" s="1"/>
  <c r="Q499" i="12"/>
  <c r="P499" i="12"/>
  <c r="O499" i="12"/>
  <c r="L499" i="12"/>
  <c r="L498" i="12"/>
  <c r="AE497" i="12"/>
  <c r="AF497" i="12" s="1"/>
  <c r="Q497" i="12"/>
  <c r="P497" i="12"/>
  <c r="O497" i="12"/>
  <c r="L497" i="12"/>
  <c r="L496" i="12"/>
  <c r="AE495" i="12"/>
  <c r="AF495" i="12" s="1"/>
  <c r="Q495" i="12"/>
  <c r="P495" i="12"/>
  <c r="O495" i="12"/>
  <c r="L495" i="12"/>
  <c r="AE494" i="12"/>
  <c r="AF494" i="12" s="1"/>
  <c r="Q494" i="12"/>
  <c r="P494" i="12"/>
  <c r="O494" i="12"/>
  <c r="L494" i="12"/>
  <c r="AE493" i="12"/>
  <c r="AF493" i="12" s="1"/>
  <c r="Q493" i="12"/>
  <c r="P493" i="12"/>
  <c r="O493" i="12"/>
  <c r="L493" i="12"/>
  <c r="AE492" i="12"/>
  <c r="AF492" i="12" s="1"/>
  <c r="Q492" i="12"/>
  <c r="P492" i="12"/>
  <c r="O492" i="12"/>
  <c r="L492" i="12"/>
  <c r="AE491" i="12"/>
  <c r="AF491" i="12" s="1"/>
  <c r="Q491" i="12"/>
  <c r="P491" i="12"/>
  <c r="O491" i="12"/>
  <c r="L491" i="12"/>
  <c r="L490" i="12"/>
  <c r="L489" i="12"/>
  <c r="L488" i="12"/>
  <c r="AE487" i="12"/>
  <c r="AF487" i="12" s="1"/>
  <c r="Q487" i="12"/>
  <c r="P487" i="12"/>
  <c r="O487" i="12"/>
  <c r="L487" i="12"/>
  <c r="L486" i="12"/>
  <c r="L485" i="12"/>
  <c r="L484" i="12"/>
  <c r="AE483" i="12"/>
  <c r="AF483" i="12" s="1"/>
  <c r="Q483" i="12"/>
  <c r="P483" i="12"/>
  <c r="O483" i="12"/>
  <c r="L483" i="12"/>
  <c r="L482" i="12"/>
  <c r="L481" i="12"/>
  <c r="AE480" i="12"/>
  <c r="AF480" i="12" s="1"/>
  <c r="Q480" i="12"/>
  <c r="P480" i="12"/>
  <c r="O480" i="12"/>
  <c r="L480" i="12"/>
  <c r="L479" i="12"/>
  <c r="AE478" i="12"/>
  <c r="AF478" i="12" s="1"/>
  <c r="Q478" i="12"/>
  <c r="P478" i="12"/>
  <c r="O478" i="12"/>
  <c r="L478" i="12"/>
  <c r="AE477" i="12"/>
  <c r="AF477" i="12" s="1"/>
  <c r="Q477" i="12"/>
  <c r="P477" i="12"/>
  <c r="O477" i="12"/>
  <c r="L477" i="12"/>
  <c r="L476" i="12"/>
  <c r="L475" i="12"/>
  <c r="L474" i="12"/>
  <c r="AE473" i="12"/>
  <c r="AF473" i="12" s="1"/>
  <c r="Q473" i="12"/>
  <c r="P473" i="12"/>
  <c r="O473" i="12"/>
  <c r="L473" i="12"/>
  <c r="AE472" i="12"/>
  <c r="AF472" i="12" s="1"/>
  <c r="Q472" i="12"/>
  <c r="P472" i="12"/>
  <c r="O472" i="12"/>
  <c r="L472" i="12"/>
  <c r="L471" i="12"/>
  <c r="L470" i="12"/>
  <c r="AE469" i="12"/>
  <c r="AF469" i="12" s="1"/>
  <c r="Q469" i="12"/>
  <c r="P469" i="12"/>
  <c r="O469" i="12"/>
  <c r="L469" i="12"/>
  <c r="AE468" i="12"/>
  <c r="AF468" i="12" s="1"/>
  <c r="Q468" i="12"/>
  <c r="P468" i="12"/>
  <c r="O468" i="12"/>
  <c r="L468" i="12"/>
  <c r="AE467" i="12"/>
  <c r="AF467" i="12" s="1"/>
  <c r="Q467" i="12"/>
  <c r="P467" i="12"/>
  <c r="O467" i="12"/>
  <c r="L467" i="12"/>
  <c r="AE466" i="12"/>
  <c r="AF466" i="12" s="1"/>
  <c r="Q466" i="12"/>
  <c r="P466" i="12"/>
  <c r="O466" i="12"/>
  <c r="L466" i="12"/>
  <c r="L465" i="12"/>
  <c r="AE464" i="12"/>
  <c r="AF464" i="12" s="1"/>
  <c r="Q464" i="12"/>
  <c r="P464" i="12"/>
  <c r="O464" i="12"/>
  <c r="L464" i="12"/>
  <c r="AE463" i="12"/>
  <c r="AF463" i="12" s="1"/>
  <c r="Q463" i="12"/>
  <c r="P463" i="12"/>
  <c r="O463" i="12"/>
  <c r="L463" i="12"/>
  <c r="L462" i="12"/>
  <c r="L461" i="12"/>
  <c r="L460" i="12"/>
  <c r="L459" i="12"/>
  <c r="AE458" i="12"/>
  <c r="AF458" i="12" s="1"/>
  <c r="Q458" i="12"/>
  <c r="P458" i="12"/>
  <c r="O458" i="12"/>
  <c r="L458" i="12"/>
  <c r="L457" i="12"/>
  <c r="L456" i="12"/>
  <c r="L455" i="12"/>
  <c r="L454" i="12"/>
  <c r="L453" i="12"/>
  <c r="AE452" i="12"/>
  <c r="AF452" i="12" s="1"/>
  <c r="Q452" i="12"/>
  <c r="P452" i="12"/>
  <c r="O452" i="12"/>
  <c r="L452" i="12"/>
  <c r="AE451" i="12"/>
  <c r="AF451" i="12" s="1"/>
  <c r="Q451" i="12"/>
  <c r="P451" i="12"/>
  <c r="O451" i="12"/>
  <c r="L451" i="12"/>
  <c r="AE450" i="12"/>
  <c r="AF450" i="12" s="1"/>
  <c r="Q450" i="12"/>
  <c r="P450" i="12"/>
  <c r="O450" i="12"/>
  <c r="L450" i="12"/>
  <c r="AE449" i="12"/>
  <c r="AF449" i="12" s="1"/>
  <c r="Q449" i="12"/>
  <c r="P449" i="12"/>
  <c r="O449" i="12"/>
  <c r="L449" i="12"/>
  <c r="AE448" i="12"/>
  <c r="AF448" i="12" s="1"/>
  <c r="Q448" i="12"/>
  <c r="P448" i="12"/>
  <c r="O448" i="12"/>
  <c r="L448" i="12"/>
  <c r="AE447" i="12"/>
  <c r="AF447" i="12" s="1"/>
  <c r="Q447" i="12"/>
  <c r="P447" i="12"/>
  <c r="O447" i="12"/>
  <c r="L447" i="12"/>
  <c r="AE446" i="12"/>
  <c r="AF446" i="12" s="1"/>
  <c r="Q446" i="12"/>
  <c r="P446" i="12"/>
  <c r="O446" i="12"/>
  <c r="L446" i="12"/>
  <c r="AE445" i="12"/>
  <c r="AF445" i="12" s="1"/>
  <c r="Q445" i="12"/>
  <c r="P445" i="12"/>
  <c r="O445" i="12"/>
  <c r="L445" i="12"/>
  <c r="AE444" i="12"/>
  <c r="AF444" i="12" s="1"/>
  <c r="Q444" i="12"/>
  <c r="P444" i="12"/>
  <c r="O444" i="12"/>
  <c r="L444" i="12"/>
  <c r="AE443" i="12"/>
  <c r="AF443" i="12" s="1"/>
  <c r="Q443" i="12"/>
  <c r="P443" i="12"/>
  <c r="O443" i="12"/>
  <c r="L443" i="12"/>
  <c r="AE442" i="12"/>
  <c r="AF442" i="12" s="1"/>
  <c r="Q442" i="12"/>
  <c r="P442" i="12"/>
  <c r="O442" i="12"/>
  <c r="L442" i="12"/>
  <c r="AE441" i="12"/>
  <c r="AF441" i="12" s="1"/>
  <c r="Q441" i="12"/>
  <c r="P441" i="12"/>
  <c r="O441" i="12"/>
  <c r="L441" i="12"/>
  <c r="AE440" i="12"/>
  <c r="AF440" i="12" s="1"/>
  <c r="Q440" i="12"/>
  <c r="P440" i="12"/>
  <c r="O440" i="12"/>
  <c r="L440" i="12"/>
  <c r="AE439" i="12"/>
  <c r="AF439" i="12" s="1"/>
  <c r="Q439" i="12"/>
  <c r="P439" i="12"/>
  <c r="O439" i="12"/>
  <c r="L439" i="12"/>
  <c r="AE438" i="12"/>
  <c r="AF438" i="12" s="1"/>
  <c r="Q438" i="12"/>
  <c r="P438" i="12"/>
  <c r="O438" i="12"/>
  <c r="L438" i="12"/>
  <c r="AE437" i="12"/>
  <c r="AF437" i="12" s="1"/>
  <c r="Q437" i="12"/>
  <c r="P437" i="12"/>
  <c r="O437" i="12"/>
  <c r="L437" i="12"/>
  <c r="AE436" i="12"/>
  <c r="AF436" i="12" s="1"/>
  <c r="Q436" i="12"/>
  <c r="P436" i="12"/>
  <c r="O436" i="12"/>
  <c r="L436" i="12"/>
  <c r="AE435" i="12"/>
  <c r="AF435" i="12" s="1"/>
  <c r="Q435" i="12"/>
  <c r="P435" i="12"/>
  <c r="O435" i="12"/>
  <c r="L435" i="12"/>
  <c r="L434" i="12"/>
  <c r="AE433" i="12"/>
  <c r="AF433" i="12" s="1"/>
  <c r="Q433" i="12"/>
  <c r="P433" i="12"/>
  <c r="O433" i="12"/>
  <c r="L433" i="12"/>
  <c r="L432" i="12"/>
  <c r="L431" i="12"/>
  <c r="AE430" i="12"/>
  <c r="AF430" i="12" s="1"/>
  <c r="Q430" i="12"/>
  <c r="P430" i="12"/>
  <c r="O430" i="12"/>
  <c r="L430" i="12"/>
  <c r="L429" i="12"/>
  <c r="AE428" i="12"/>
  <c r="AF428" i="12" s="1"/>
  <c r="Q428" i="12"/>
  <c r="P428" i="12"/>
  <c r="O428" i="12"/>
  <c r="L428" i="12"/>
  <c r="L427" i="12"/>
  <c r="L426" i="12"/>
  <c r="L425" i="12"/>
  <c r="L424" i="12"/>
  <c r="L423" i="12"/>
  <c r="AE422" i="12"/>
  <c r="AF422" i="12" s="1"/>
  <c r="Q422" i="12"/>
  <c r="P422" i="12"/>
  <c r="O422" i="12"/>
  <c r="L422" i="12"/>
  <c r="L421" i="12"/>
  <c r="AE420" i="12"/>
  <c r="AF420" i="12" s="1"/>
  <c r="Q420" i="12"/>
  <c r="P420" i="12"/>
  <c r="O420" i="12"/>
  <c r="L420" i="12"/>
  <c r="AE419" i="12"/>
  <c r="AF419" i="12" s="1"/>
  <c r="Q419" i="12"/>
  <c r="P419" i="12"/>
  <c r="O419" i="12"/>
  <c r="L419" i="12"/>
  <c r="L418" i="12"/>
  <c r="AE417" i="12"/>
  <c r="AF417" i="12" s="1"/>
  <c r="Q417" i="12"/>
  <c r="P417" i="12"/>
  <c r="O417" i="12"/>
  <c r="L417" i="12"/>
  <c r="L416" i="12"/>
  <c r="AE415" i="12"/>
  <c r="AF415" i="12" s="1"/>
  <c r="Q415" i="12"/>
  <c r="P415" i="12"/>
  <c r="O415" i="12"/>
  <c r="L415" i="12"/>
  <c r="AE414" i="12"/>
  <c r="AF414" i="12" s="1"/>
  <c r="Q414" i="12"/>
  <c r="P414" i="12"/>
  <c r="O414" i="12"/>
  <c r="L414" i="12"/>
  <c r="L411" i="12"/>
  <c r="L410" i="12"/>
  <c r="L409" i="12"/>
  <c r="L408" i="12"/>
  <c r="AE407" i="12"/>
  <c r="AF407" i="12" s="1"/>
  <c r="Q407" i="12"/>
  <c r="P407" i="12"/>
  <c r="O407" i="12"/>
  <c r="L407" i="12"/>
  <c r="AE406" i="12"/>
  <c r="AF406" i="12" s="1"/>
  <c r="Q406" i="12"/>
  <c r="P406" i="12"/>
  <c r="O406" i="12"/>
  <c r="L406" i="12"/>
  <c r="L405" i="12"/>
  <c r="AE404" i="12"/>
  <c r="AF404" i="12" s="1"/>
  <c r="Q404" i="12"/>
  <c r="P404" i="12"/>
  <c r="O404" i="12"/>
  <c r="L404" i="12"/>
  <c r="AE403" i="12"/>
  <c r="W203" i="11" s="1"/>
  <c r="Q403" i="12"/>
  <c r="P403" i="12"/>
  <c r="O403" i="12"/>
  <c r="L403" i="12"/>
  <c r="L402" i="12"/>
  <c r="L401" i="12"/>
  <c r="L400" i="12"/>
  <c r="AE399" i="12"/>
  <c r="AF399" i="12" s="1"/>
  <c r="Q399" i="12"/>
  <c r="P399" i="12"/>
  <c r="O399" i="12"/>
  <c r="L399" i="12"/>
  <c r="AE398" i="12"/>
  <c r="AF398" i="12" s="1"/>
  <c r="Q398" i="12"/>
  <c r="P398" i="12"/>
  <c r="O398" i="12"/>
  <c r="L398" i="12"/>
  <c r="L397" i="12"/>
  <c r="L396" i="12"/>
  <c r="L395" i="12"/>
  <c r="L394" i="12"/>
  <c r="L393" i="12"/>
  <c r="L392" i="12"/>
  <c r="L391" i="12"/>
  <c r="AE390" i="12"/>
  <c r="AF390" i="12" s="1"/>
  <c r="Q390" i="12"/>
  <c r="P390" i="12"/>
  <c r="O390" i="12"/>
  <c r="L390" i="12"/>
  <c r="AE389" i="12"/>
  <c r="AF389" i="12" s="1"/>
  <c r="Q389" i="12"/>
  <c r="P389" i="12"/>
  <c r="O389" i="12"/>
  <c r="L389" i="12"/>
  <c r="AE388" i="12"/>
  <c r="AF388" i="12" s="1"/>
  <c r="Q388" i="12"/>
  <c r="P388" i="12"/>
  <c r="O388" i="12"/>
  <c r="L388" i="12"/>
  <c r="L387" i="12"/>
  <c r="L386" i="12"/>
  <c r="AE385" i="12"/>
  <c r="AF385" i="12" s="1"/>
  <c r="Q385" i="12"/>
  <c r="P385" i="12"/>
  <c r="O385" i="12"/>
  <c r="L385" i="12"/>
  <c r="L384" i="12"/>
  <c r="L383" i="12"/>
  <c r="L382" i="12"/>
  <c r="AE381" i="12"/>
  <c r="AF381" i="12" s="1"/>
  <c r="Q381" i="12"/>
  <c r="P381" i="12"/>
  <c r="O381" i="12"/>
  <c r="L381" i="12"/>
  <c r="L380" i="12"/>
  <c r="AE379" i="12"/>
  <c r="W195" i="11" s="1"/>
  <c r="Q379" i="12"/>
  <c r="P379" i="12"/>
  <c r="O379" i="12"/>
  <c r="L379" i="12"/>
  <c r="AE378" i="12"/>
  <c r="AF378" i="12" s="1"/>
  <c r="Q378" i="12"/>
  <c r="P378" i="12"/>
  <c r="O378" i="12"/>
  <c r="L378" i="12"/>
  <c r="AE377" i="12"/>
  <c r="AF377" i="12" s="1"/>
  <c r="Q377" i="12"/>
  <c r="P377" i="12"/>
  <c r="O377" i="12"/>
  <c r="L377" i="12"/>
  <c r="L376" i="12"/>
  <c r="L375" i="12"/>
  <c r="AE374" i="12"/>
  <c r="AF374" i="12" s="1"/>
  <c r="Q374" i="12"/>
  <c r="P374" i="12"/>
  <c r="O374" i="12"/>
  <c r="L374" i="12"/>
  <c r="L373" i="12"/>
  <c r="AE372" i="12"/>
  <c r="AF372" i="12" s="1"/>
  <c r="Q372" i="12"/>
  <c r="P372" i="12"/>
  <c r="O372" i="12"/>
  <c r="L372" i="12"/>
  <c r="AE371" i="12"/>
  <c r="W190" i="11" s="1"/>
  <c r="Q371" i="12"/>
  <c r="P371" i="12"/>
  <c r="O371" i="12"/>
  <c r="L371" i="12"/>
  <c r="L370" i="12"/>
  <c r="AE369" i="12"/>
  <c r="AF369" i="12" s="1"/>
  <c r="Q369" i="12"/>
  <c r="P369" i="12"/>
  <c r="O369" i="12"/>
  <c r="L369" i="12"/>
  <c r="AE368" i="12"/>
  <c r="AF368" i="12" s="1"/>
  <c r="Q368" i="12"/>
  <c r="P368" i="12"/>
  <c r="O368" i="12"/>
  <c r="L368" i="12"/>
  <c r="L367" i="12"/>
  <c r="L366" i="12"/>
  <c r="AE365" i="12"/>
  <c r="AF365" i="12" s="1"/>
  <c r="Q365" i="12"/>
  <c r="P365" i="12"/>
  <c r="O365" i="12"/>
  <c r="L365" i="12"/>
  <c r="L364" i="12"/>
  <c r="AE363" i="12"/>
  <c r="W186" i="11" s="1"/>
  <c r="Q363" i="12"/>
  <c r="P363" i="12"/>
  <c r="O363" i="12"/>
  <c r="L363" i="12"/>
  <c r="AE362" i="12"/>
  <c r="AF362" i="12" s="1"/>
  <c r="Q362" i="12"/>
  <c r="P362" i="12"/>
  <c r="O362" i="12"/>
  <c r="L362" i="12"/>
  <c r="L361" i="12"/>
  <c r="AE360" i="12"/>
  <c r="AF360" i="12" s="1"/>
  <c r="Q360" i="12"/>
  <c r="P360" i="12"/>
  <c r="O360" i="12"/>
  <c r="L360" i="12"/>
  <c r="AE359" i="12"/>
  <c r="AF359" i="12" s="1"/>
  <c r="Q359" i="12"/>
  <c r="P359" i="12"/>
  <c r="O359" i="12"/>
  <c r="L359" i="12"/>
  <c r="AE358" i="12"/>
  <c r="AF358" i="12" s="1"/>
  <c r="Q358" i="12"/>
  <c r="P358" i="12"/>
  <c r="O358" i="12"/>
  <c r="L358" i="12"/>
  <c r="L357" i="12"/>
  <c r="AE356" i="12"/>
  <c r="AF356" i="12" s="1"/>
  <c r="Q356" i="12"/>
  <c r="P356" i="12"/>
  <c r="O356" i="12"/>
  <c r="L356" i="12"/>
  <c r="AE355" i="12"/>
  <c r="W180" i="11" s="1"/>
  <c r="Q355" i="12"/>
  <c r="P355" i="12"/>
  <c r="O355" i="12"/>
  <c r="AE354" i="12"/>
  <c r="AF354" i="12" s="1"/>
  <c r="Q354" i="12"/>
  <c r="P354" i="12"/>
  <c r="O354" i="12"/>
  <c r="L354" i="12"/>
  <c r="AE353" i="12"/>
  <c r="AF353" i="12" s="1"/>
  <c r="Q353" i="12"/>
  <c r="P353" i="12"/>
  <c r="O353" i="12"/>
  <c r="L353" i="12"/>
  <c r="AE352" i="12"/>
  <c r="AF352" i="12" s="1"/>
  <c r="Q352" i="12"/>
  <c r="P352" i="12"/>
  <c r="O352" i="12"/>
  <c r="L352" i="12"/>
  <c r="AE351" i="12"/>
  <c r="AF351" i="12" s="1"/>
  <c r="Q351" i="12"/>
  <c r="P351" i="12"/>
  <c r="O351" i="12"/>
  <c r="L351" i="12"/>
  <c r="L350" i="12"/>
  <c r="L349" i="12"/>
  <c r="L348" i="12"/>
  <c r="AE347" i="12"/>
  <c r="W175" i="11" s="1"/>
  <c r="Q347" i="12"/>
  <c r="P347" i="12"/>
  <c r="O347" i="12"/>
  <c r="L347" i="12"/>
  <c r="L346" i="12"/>
  <c r="AE345" i="12"/>
  <c r="AF345" i="12" s="1"/>
  <c r="Q345" i="12"/>
  <c r="P345" i="12"/>
  <c r="O345" i="12"/>
  <c r="L345" i="12"/>
  <c r="AE344" i="12"/>
  <c r="AF344" i="12" s="1"/>
  <c r="Q344" i="12"/>
  <c r="P344" i="12"/>
  <c r="O344" i="12"/>
  <c r="L344" i="12"/>
  <c r="L343" i="12"/>
  <c r="AE342" i="12"/>
  <c r="AF342" i="12" s="1"/>
  <c r="Q342" i="12"/>
  <c r="P342" i="12"/>
  <c r="O342" i="12"/>
  <c r="L342" i="12"/>
  <c r="L341" i="12"/>
  <c r="AE340" i="12"/>
  <c r="AF340" i="12" s="1"/>
  <c r="Q340" i="12"/>
  <c r="P340" i="12"/>
  <c r="O340" i="12"/>
  <c r="L340" i="12"/>
  <c r="L339" i="12"/>
  <c r="AE338" i="12"/>
  <c r="AF338" i="12" s="1"/>
  <c r="Q338" i="12"/>
  <c r="P338" i="12"/>
  <c r="O338" i="12"/>
  <c r="L338" i="12"/>
  <c r="L337" i="12"/>
  <c r="L336" i="12"/>
  <c r="L335" i="12"/>
  <c r="L334" i="12"/>
  <c r="L333" i="12"/>
  <c r="L332" i="12"/>
  <c r="L331" i="12"/>
  <c r="L330" i="12"/>
  <c r="L329" i="12"/>
  <c r="L328" i="12"/>
  <c r="AE327" i="12"/>
  <c r="AF327" i="12" s="1"/>
  <c r="Q327" i="12"/>
  <c r="P327" i="12"/>
  <c r="O327" i="12"/>
  <c r="L327" i="12"/>
  <c r="AE326" i="12"/>
  <c r="AF326" i="12" s="1"/>
  <c r="Q326" i="12"/>
  <c r="P326" i="12"/>
  <c r="O326" i="12"/>
  <c r="L326" i="12"/>
  <c r="AE325" i="12"/>
  <c r="AF325" i="12" s="1"/>
  <c r="Q325" i="12"/>
  <c r="P325" i="12"/>
  <c r="O325" i="12"/>
  <c r="L325" i="12"/>
  <c r="AE324" i="12"/>
  <c r="AF324" i="12" s="1"/>
  <c r="Q324" i="12"/>
  <c r="P324" i="12"/>
  <c r="O324" i="12"/>
  <c r="L324" i="12"/>
  <c r="L323" i="12"/>
  <c r="L322" i="12"/>
  <c r="L321" i="12"/>
  <c r="L320" i="12"/>
  <c r="AE319" i="12"/>
  <c r="AF319" i="12" s="1"/>
  <c r="Q319" i="12"/>
  <c r="P319" i="12"/>
  <c r="O319" i="12"/>
  <c r="L319" i="12"/>
  <c r="L318" i="12"/>
  <c r="L317" i="12"/>
  <c r="L316" i="12"/>
  <c r="L315" i="12"/>
  <c r="L314" i="12"/>
  <c r="L313" i="12"/>
  <c r="L312" i="12"/>
  <c r="L311" i="12"/>
  <c r="L310" i="12"/>
  <c r="L309" i="12"/>
  <c r="L308" i="12"/>
  <c r="L307" i="12"/>
  <c r="L306" i="12"/>
  <c r="AE305" i="12"/>
  <c r="AF305" i="12" s="1"/>
  <c r="Q305" i="12"/>
  <c r="P305" i="12"/>
  <c r="O305" i="12"/>
  <c r="L305" i="12"/>
  <c r="L304" i="12"/>
  <c r="L303" i="12"/>
  <c r="L302" i="12"/>
  <c r="L301" i="12"/>
  <c r="L300" i="12"/>
  <c r="L299" i="12"/>
  <c r="L298" i="12"/>
  <c r="L297" i="12"/>
  <c r="L296" i="12"/>
  <c r="L295" i="12"/>
  <c r="L294" i="12"/>
  <c r="L293" i="12"/>
  <c r="L292" i="12"/>
  <c r="L291" i="12"/>
  <c r="L290" i="12"/>
  <c r="L289" i="12"/>
  <c r="L288" i="12"/>
  <c r="L287" i="12"/>
  <c r="L286" i="12"/>
  <c r="L285" i="12"/>
  <c r="L284" i="12"/>
  <c r="L283" i="12"/>
  <c r="L282" i="12"/>
  <c r="L281" i="12"/>
  <c r="AE280" i="12"/>
  <c r="AF280" i="12" s="1"/>
  <c r="Q280" i="12"/>
  <c r="P280" i="12"/>
  <c r="O280" i="12"/>
  <c r="L280" i="12"/>
  <c r="L279" i="12"/>
  <c r="AE278" i="12"/>
  <c r="AF278" i="12" s="1"/>
  <c r="Q278" i="12"/>
  <c r="P278" i="12"/>
  <c r="O278" i="12"/>
  <c r="L278" i="12"/>
  <c r="L277" i="12"/>
  <c r="AE276" i="12"/>
  <c r="AF276" i="12" s="1"/>
  <c r="Q276" i="12"/>
  <c r="P276" i="12"/>
  <c r="O276" i="12"/>
  <c r="L276" i="12"/>
  <c r="L275" i="12"/>
  <c r="AE274" i="12"/>
  <c r="AF274" i="12" s="1"/>
  <c r="Q274" i="12"/>
  <c r="P274" i="12"/>
  <c r="O274" i="12"/>
  <c r="L274" i="12"/>
  <c r="AE273" i="12"/>
  <c r="AF273" i="12" s="1"/>
  <c r="Q273" i="12"/>
  <c r="P273" i="12"/>
  <c r="O273" i="12"/>
  <c r="L273" i="12"/>
  <c r="AE272" i="12"/>
  <c r="AF272" i="12" s="1"/>
  <c r="Q272" i="12"/>
  <c r="P272" i="12"/>
  <c r="O272" i="12"/>
  <c r="L272" i="12"/>
  <c r="AE271" i="12"/>
  <c r="AF271" i="12" s="1"/>
  <c r="Q271" i="12"/>
  <c r="P271" i="12"/>
  <c r="O271" i="12"/>
  <c r="L271" i="12"/>
  <c r="AE270" i="12"/>
  <c r="AF270" i="12" s="1"/>
  <c r="Q270" i="12"/>
  <c r="P270" i="12"/>
  <c r="O270" i="12"/>
  <c r="L270" i="12"/>
  <c r="AE269" i="12"/>
  <c r="AF269" i="12" s="1"/>
  <c r="Q269" i="12"/>
  <c r="P269" i="12"/>
  <c r="O269" i="12"/>
  <c r="L269" i="12"/>
  <c r="L268" i="12"/>
  <c r="L267" i="12"/>
  <c r="L266" i="12"/>
  <c r="L265" i="12"/>
  <c r="L264" i="12"/>
  <c r="L263" i="12"/>
  <c r="L262" i="12"/>
  <c r="L261" i="12"/>
  <c r="L260" i="12"/>
  <c r="L259" i="12"/>
  <c r="AE258" i="12"/>
  <c r="AF258" i="12" s="1"/>
  <c r="Q258" i="12"/>
  <c r="P258" i="12"/>
  <c r="O258" i="12"/>
  <c r="L258" i="12"/>
  <c r="L257" i="12"/>
  <c r="L256" i="12"/>
  <c r="L255" i="12"/>
  <c r="AE254" i="12"/>
  <c r="AF254" i="12" s="1"/>
  <c r="Q254" i="12"/>
  <c r="P254" i="12"/>
  <c r="O254" i="12"/>
  <c r="L254" i="12"/>
  <c r="L253" i="12"/>
  <c r="L252" i="12"/>
  <c r="L251" i="12"/>
  <c r="AE250" i="12"/>
  <c r="AF250" i="12" s="1"/>
  <c r="Q250" i="12"/>
  <c r="P250" i="12"/>
  <c r="O250" i="12"/>
  <c r="L250" i="12"/>
  <c r="L249" i="12"/>
  <c r="AE248" i="12"/>
  <c r="AF248" i="12" s="1"/>
  <c r="Q248" i="12"/>
  <c r="P248" i="12"/>
  <c r="O248" i="12"/>
  <c r="L248" i="12"/>
  <c r="L247" i="12"/>
  <c r="AE246" i="12"/>
  <c r="AF246" i="12" s="1"/>
  <c r="Q246" i="12"/>
  <c r="P246" i="12"/>
  <c r="O246" i="12"/>
  <c r="L246" i="12"/>
  <c r="AE245" i="12"/>
  <c r="AF245" i="12" s="1"/>
  <c r="Q245" i="12"/>
  <c r="P245" i="12"/>
  <c r="O245" i="12"/>
  <c r="L245" i="12"/>
  <c r="L244" i="12"/>
  <c r="AE243" i="12"/>
  <c r="W148" i="11" s="1"/>
  <c r="Q243" i="12"/>
  <c r="P243" i="12"/>
  <c r="O243" i="12"/>
  <c r="L243" i="12"/>
  <c r="AE242" i="12"/>
  <c r="AF242" i="12" s="1"/>
  <c r="Q242" i="12"/>
  <c r="P242" i="12"/>
  <c r="O242" i="12"/>
  <c r="L242" i="12"/>
  <c r="L241" i="12"/>
  <c r="AE240" i="12"/>
  <c r="AF240" i="12" s="1"/>
  <c r="Q240" i="12"/>
  <c r="P240" i="12"/>
  <c r="O240" i="12"/>
  <c r="L240" i="12"/>
  <c r="L239" i="12"/>
  <c r="AE238" i="12"/>
  <c r="AF238" i="12" s="1"/>
  <c r="Q238" i="12"/>
  <c r="P238" i="12"/>
  <c r="O238" i="12"/>
  <c r="L238" i="12"/>
  <c r="L237" i="12"/>
  <c r="AE236" i="12"/>
  <c r="AF236" i="12" s="1"/>
  <c r="Q236" i="12"/>
  <c r="P236" i="12"/>
  <c r="O236" i="12"/>
  <c r="L236" i="12"/>
  <c r="AE235" i="12"/>
  <c r="W143" i="11" s="1"/>
  <c r="Q235" i="12"/>
  <c r="P235" i="12"/>
  <c r="O235" i="12"/>
  <c r="L235" i="12"/>
  <c r="L234" i="12"/>
  <c r="L233" i="12"/>
  <c r="AE232" i="12"/>
  <c r="AF232" i="12" s="1"/>
  <c r="Q232" i="12"/>
  <c r="P232" i="12"/>
  <c r="O232" i="12"/>
  <c r="L232" i="12"/>
  <c r="L231" i="12"/>
  <c r="AE230" i="12"/>
  <c r="AF230" i="12" s="1"/>
  <c r="Q230" i="12"/>
  <c r="P230" i="12"/>
  <c r="O230" i="12"/>
  <c r="L230" i="12"/>
  <c r="AE229" i="12"/>
  <c r="AF229" i="12" s="1"/>
  <c r="Q229" i="12"/>
  <c r="P229" i="12"/>
  <c r="O229" i="12"/>
  <c r="L229" i="12"/>
  <c r="AE228" i="12"/>
  <c r="AF228" i="12" s="1"/>
  <c r="Q228" i="12"/>
  <c r="P228" i="12"/>
  <c r="O228" i="12"/>
  <c r="L228" i="12"/>
  <c r="AE227" i="12"/>
  <c r="W138" i="11" s="1"/>
  <c r="Q227" i="12"/>
  <c r="P227" i="12"/>
  <c r="O227" i="12"/>
  <c r="L227" i="12"/>
  <c r="L226" i="12"/>
  <c r="AE225" i="12"/>
  <c r="AF225" i="12" s="1"/>
  <c r="Q225" i="12"/>
  <c r="P225" i="12"/>
  <c r="O225" i="12"/>
  <c r="L225" i="12"/>
  <c r="AE224" i="12"/>
  <c r="AF224" i="12" s="1"/>
  <c r="Q224" i="12"/>
  <c r="P224" i="12"/>
  <c r="O224" i="12"/>
  <c r="L224" i="12"/>
  <c r="L223" i="12"/>
  <c r="AE222" i="12"/>
  <c r="AF222" i="12" s="1"/>
  <c r="Q222" i="12"/>
  <c r="P222" i="12"/>
  <c r="O222" i="12"/>
  <c r="L222" i="12"/>
  <c r="AE221" i="12"/>
  <c r="AF221" i="12" s="1"/>
  <c r="Q221" i="12"/>
  <c r="P221" i="12"/>
  <c r="O221" i="12"/>
  <c r="L221" i="12"/>
  <c r="AE220" i="12"/>
  <c r="AF220" i="12" s="1"/>
  <c r="Q220" i="12"/>
  <c r="P220" i="12"/>
  <c r="O220" i="12"/>
  <c r="L220" i="12"/>
  <c r="AE219" i="12"/>
  <c r="W132" i="11" s="1"/>
  <c r="Q219" i="12"/>
  <c r="P219" i="12"/>
  <c r="O219" i="12"/>
  <c r="L219" i="12"/>
  <c r="AE218" i="12"/>
  <c r="AF218" i="12" s="1"/>
  <c r="Q218" i="12"/>
  <c r="P218" i="12"/>
  <c r="O218" i="12"/>
  <c r="L218" i="12"/>
  <c r="AE217" i="12"/>
  <c r="AF217" i="12" s="1"/>
  <c r="Q217" i="12"/>
  <c r="P217" i="12"/>
  <c r="O217" i="12"/>
  <c r="L217" i="12"/>
  <c r="AE216" i="12"/>
  <c r="AF216" i="12" s="1"/>
  <c r="Q216" i="12"/>
  <c r="P216" i="12"/>
  <c r="O216" i="12"/>
  <c r="L216" i="12"/>
  <c r="AE215" i="12"/>
  <c r="AF215" i="12" s="1"/>
  <c r="Q215" i="12"/>
  <c r="P215" i="12"/>
  <c r="O215" i="12"/>
  <c r="L215" i="12"/>
  <c r="AE214" i="12"/>
  <c r="AF214" i="12" s="1"/>
  <c r="Q214" i="12"/>
  <c r="P214" i="12"/>
  <c r="O214" i="12"/>
  <c r="L214" i="12"/>
  <c r="AE213" i="12"/>
  <c r="AF213" i="12" s="1"/>
  <c r="Q213" i="12"/>
  <c r="P213" i="12"/>
  <c r="O213" i="12"/>
  <c r="L213" i="12"/>
  <c r="L212" i="12"/>
  <c r="L211" i="12"/>
  <c r="L210" i="12"/>
  <c r="AE209" i="12"/>
  <c r="AF209" i="12" s="1"/>
  <c r="Q209" i="12"/>
  <c r="P209" i="12"/>
  <c r="O209" i="12"/>
  <c r="L209" i="12"/>
  <c r="L208" i="12"/>
  <c r="L207" i="12"/>
  <c r="L206" i="12"/>
  <c r="L205" i="12"/>
  <c r="L204" i="12"/>
  <c r="L203" i="12"/>
  <c r="AE202" i="12"/>
  <c r="AF202" i="12" s="1"/>
  <c r="Q202" i="12"/>
  <c r="P202" i="12"/>
  <c r="O202" i="12"/>
  <c r="L202" i="12"/>
  <c r="L201" i="12"/>
  <c r="L200" i="12"/>
  <c r="L199" i="12"/>
  <c r="L198" i="12"/>
  <c r="L197" i="12"/>
  <c r="L196" i="12"/>
  <c r="AE195" i="12"/>
  <c r="W123" i="11" s="1"/>
  <c r="Q195" i="12"/>
  <c r="P195" i="12"/>
  <c r="O195" i="12"/>
  <c r="L195" i="12"/>
  <c r="L194" i="12"/>
  <c r="L193" i="12"/>
  <c r="AE192" i="12"/>
  <c r="AF192" i="12" s="1"/>
  <c r="Q192" i="12"/>
  <c r="P192" i="12"/>
  <c r="O192" i="12"/>
  <c r="L192" i="12"/>
  <c r="AE191" i="12"/>
  <c r="AF191" i="12" s="1"/>
  <c r="Q191" i="12"/>
  <c r="P191" i="12"/>
  <c r="O191" i="12"/>
  <c r="L191" i="12"/>
  <c r="L190" i="12"/>
  <c r="L189" i="12"/>
  <c r="L188" i="12"/>
  <c r="AE187" i="12"/>
  <c r="W120" i="11" s="1"/>
  <c r="Q187" i="12"/>
  <c r="P187" i="12"/>
  <c r="O187" i="12"/>
  <c r="L187" i="12"/>
  <c r="L186" i="12"/>
  <c r="AE185" i="12"/>
  <c r="AF185" i="12" s="1"/>
  <c r="Q185" i="12"/>
  <c r="P185" i="12"/>
  <c r="O185" i="12"/>
  <c r="L185" i="12"/>
  <c r="AE184" i="12"/>
  <c r="AF184" i="12" s="1"/>
  <c r="Q184" i="12"/>
  <c r="P184" i="12"/>
  <c r="O184" i="12"/>
  <c r="L184" i="12"/>
  <c r="AE183" i="12"/>
  <c r="AF183" i="12" s="1"/>
  <c r="Q183" i="12"/>
  <c r="P183" i="12"/>
  <c r="O183" i="12"/>
  <c r="L183" i="12"/>
  <c r="L182" i="12"/>
  <c r="L181" i="12"/>
  <c r="L180" i="12"/>
  <c r="AE179" i="12"/>
  <c r="W116" i="11" s="1"/>
  <c r="Q179" i="12"/>
  <c r="P179" i="12"/>
  <c r="O179" i="12"/>
  <c r="L179" i="12"/>
  <c r="AE178" i="12"/>
  <c r="AF178" i="12" s="1"/>
  <c r="Q178" i="12"/>
  <c r="P178" i="12"/>
  <c r="O178" i="12"/>
  <c r="L178" i="12"/>
  <c r="L177" i="12"/>
  <c r="L176" i="12"/>
  <c r="AE175" i="12"/>
  <c r="AF175" i="12" s="1"/>
  <c r="Q175" i="12"/>
  <c r="P175" i="12"/>
  <c r="O175" i="12"/>
  <c r="L175" i="12"/>
  <c r="L174" i="12"/>
  <c r="AE173" i="12"/>
  <c r="AF173" i="12" s="1"/>
  <c r="Q173" i="12"/>
  <c r="P173" i="12"/>
  <c r="O173" i="12"/>
  <c r="L173" i="12"/>
  <c r="AE172" i="12"/>
  <c r="AF172" i="12" s="1"/>
  <c r="Q172" i="12"/>
  <c r="P172" i="12"/>
  <c r="O172" i="12"/>
  <c r="L172" i="12"/>
  <c r="L171" i="12"/>
  <c r="L170" i="12"/>
  <c r="L169" i="12"/>
  <c r="AE168" i="12"/>
  <c r="AF168" i="12" s="1"/>
  <c r="Q168" i="12"/>
  <c r="P168" i="12"/>
  <c r="O168" i="12"/>
  <c r="L168" i="12"/>
  <c r="AE167" i="12"/>
  <c r="AF167" i="12" s="1"/>
  <c r="Q167" i="12"/>
  <c r="P167" i="12"/>
  <c r="O167" i="12"/>
  <c r="L167" i="12"/>
  <c r="AE166" i="12"/>
  <c r="AF166" i="12" s="1"/>
  <c r="Q166" i="12"/>
  <c r="P166" i="12"/>
  <c r="O166" i="12"/>
  <c r="L166" i="12"/>
  <c r="L165" i="12"/>
  <c r="L164" i="12"/>
  <c r="AE163" i="12"/>
  <c r="W108" i="11" s="1"/>
  <c r="Q163" i="12"/>
  <c r="P163" i="12"/>
  <c r="O163" i="12"/>
  <c r="L163" i="12"/>
  <c r="AE162" i="12"/>
  <c r="AF162" i="12" s="1"/>
  <c r="Q162" i="12"/>
  <c r="P162" i="12"/>
  <c r="O162" i="12"/>
  <c r="L162" i="12"/>
  <c r="L161" i="12"/>
  <c r="L160" i="12"/>
  <c r="AE159" i="12"/>
  <c r="AF159" i="12" s="1"/>
  <c r="Q159" i="12"/>
  <c r="P159" i="12"/>
  <c r="O159" i="12"/>
  <c r="L159" i="12"/>
  <c r="L158" i="12"/>
  <c r="L157" i="12"/>
  <c r="L156" i="12"/>
  <c r="AE155" i="12"/>
  <c r="W105" i="11" s="1"/>
  <c r="Q155" i="12"/>
  <c r="P155" i="12"/>
  <c r="O155" i="12"/>
  <c r="L155" i="12"/>
  <c r="AE154" i="12"/>
  <c r="AF154" i="12" s="1"/>
  <c r="Q154" i="12"/>
  <c r="P154" i="12"/>
  <c r="O154" i="12"/>
  <c r="L154" i="12"/>
  <c r="AE153" i="12"/>
  <c r="AF153" i="12" s="1"/>
  <c r="Q153" i="12"/>
  <c r="P153" i="12"/>
  <c r="O153" i="12"/>
  <c r="L153" i="12"/>
  <c r="L152" i="12"/>
  <c r="AE151" i="12"/>
  <c r="AF151" i="12" s="1"/>
  <c r="Q151" i="12"/>
  <c r="P151" i="12"/>
  <c r="O151" i="12"/>
  <c r="L151" i="12"/>
  <c r="AE150" i="12"/>
  <c r="AF150" i="12" s="1"/>
  <c r="Q150" i="12"/>
  <c r="P150" i="12"/>
  <c r="O150" i="12"/>
  <c r="L150" i="12"/>
  <c r="L149" i="12"/>
  <c r="AE148" i="12"/>
  <c r="AF148" i="12" s="1"/>
  <c r="L148" i="12"/>
  <c r="L147" i="12"/>
  <c r="L146" i="12"/>
  <c r="AE145" i="12"/>
  <c r="AF145" i="12" s="1"/>
  <c r="Q145" i="12"/>
  <c r="P145" i="12"/>
  <c r="O145" i="12"/>
  <c r="L145" i="12"/>
  <c r="AE144" i="12"/>
  <c r="AF144" i="12" s="1"/>
  <c r="Q144" i="12"/>
  <c r="P144" i="12"/>
  <c r="O144" i="12"/>
  <c r="L144" i="12"/>
  <c r="L143" i="12"/>
  <c r="L142" i="12"/>
  <c r="AE141" i="12"/>
  <c r="AF141" i="12" s="1"/>
  <c r="Q141" i="12"/>
  <c r="P141" i="12"/>
  <c r="O141" i="12"/>
  <c r="L141" i="12"/>
  <c r="AE140" i="12"/>
  <c r="AF140" i="12" s="1"/>
  <c r="Q140" i="12"/>
  <c r="P140" i="12"/>
  <c r="O140" i="12"/>
  <c r="L140" i="12"/>
  <c r="AE139" i="12"/>
  <c r="W95" i="11" s="1"/>
  <c r="Q139" i="12"/>
  <c r="P139" i="12"/>
  <c r="O139" i="12"/>
  <c r="L139" i="12"/>
  <c r="AE138" i="12"/>
  <c r="AF138" i="12" s="1"/>
  <c r="Q138" i="12"/>
  <c r="P138" i="12"/>
  <c r="O138" i="12"/>
  <c r="L138" i="12"/>
  <c r="AE137" i="12"/>
  <c r="AF137" i="12" s="1"/>
  <c r="Q137" i="12"/>
  <c r="P137" i="12"/>
  <c r="O137" i="12"/>
  <c r="L137" i="12"/>
  <c r="AE136" i="12"/>
  <c r="AF136" i="12" s="1"/>
  <c r="Q136" i="12"/>
  <c r="P136" i="12"/>
  <c r="O136" i="12"/>
  <c r="L136" i="12"/>
  <c r="AE135" i="12"/>
  <c r="AF135" i="12" s="1"/>
  <c r="Q135" i="12"/>
  <c r="P135" i="12"/>
  <c r="O135" i="12"/>
  <c r="L135" i="12"/>
  <c r="L134" i="12"/>
  <c r="AE133" i="12"/>
  <c r="AF133" i="12" s="1"/>
  <c r="Q133" i="12"/>
  <c r="P133" i="12"/>
  <c r="O133" i="12"/>
  <c r="L133" i="12"/>
  <c r="AE132" i="12"/>
  <c r="AF132" i="12" s="1"/>
  <c r="Q132" i="12"/>
  <c r="P132" i="12"/>
  <c r="O132" i="12"/>
  <c r="L132" i="12"/>
  <c r="AE131" i="12"/>
  <c r="W88" i="11" s="1"/>
  <c r="Q131" i="12"/>
  <c r="P131" i="12"/>
  <c r="O131" i="12"/>
  <c r="L131" i="12"/>
  <c r="AE130" i="12"/>
  <c r="AF130" i="12" s="1"/>
  <c r="Q130" i="12"/>
  <c r="P130" i="12"/>
  <c r="O130" i="12"/>
  <c r="L130" i="12"/>
  <c r="L129" i="12"/>
  <c r="AE128" i="12"/>
  <c r="AF128" i="12" s="1"/>
  <c r="Q128" i="12"/>
  <c r="P128" i="12"/>
  <c r="O128" i="12"/>
  <c r="L128" i="12"/>
  <c r="L127" i="12"/>
  <c r="L126" i="12"/>
  <c r="AE125" i="12"/>
  <c r="Q125" i="12"/>
  <c r="P125" i="12"/>
  <c r="O125" i="12"/>
  <c r="L125" i="12"/>
  <c r="AE124" i="12"/>
  <c r="AF124" i="12" s="1"/>
  <c r="Q124" i="12"/>
  <c r="P124" i="12"/>
  <c r="O124" i="12"/>
  <c r="L124" i="12"/>
  <c r="AE123" i="12"/>
  <c r="W83" i="11" s="1"/>
  <c r="Q123" i="12"/>
  <c r="P123" i="12"/>
  <c r="O123" i="12"/>
  <c r="L123" i="12"/>
  <c r="AE122" i="12"/>
  <c r="AF122" i="12" s="1"/>
  <c r="Q122" i="12"/>
  <c r="P122" i="12"/>
  <c r="O122" i="12"/>
  <c r="L122" i="12"/>
  <c r="L121" i="12"/>
  <c r="AE120" i="12"/>
  <c r="Q120" i="12"/>
  <c r="P120" i="12"/>
  <c r="O120" i="12"/>
  <c r="L120" i="12"/>
  <c r="AE119" i="12"/>
  <c r="Q119" i="12"/>
  <c r="P119" i="12"/>
  <c r="O119" i="12"/>
  <c r="L119" i="12"/>
  <c r="L118" i="12"/>
  <c r="AE117" i="12"/>
  <c r="Q117" i="12"/>
  <c r="P117" i="12"/>
  <c r="O117" i="12"/>
  <c r="L117" i="12"/>
  <c r="L116" i="12"/>
  <c r="L115" i="12"/>
  <c r="AE114" i="12"/>
  <c r="AF114" i="12" s="1"/>
  <c r="Q114" i="12"/>
  <c r="P114" i="12"/>
  <c r="O114" i="12"/>
  <c r="L114" i="12"/>
  <c r="AE113" i="12"/>
  <c r="Q113" i="12"/>
  <c r="P113" i="12"/>
  <c r="O113" i="12"/>
  <c r="L113" i="12"/>
  <c r="L112" i="12"/>
  <c r="AE111" i="12"/>
  <c r="Q111" i="12"/>
  <c r="P111" i="12"/>
  <c r="O111" i="12"/>
  <c r="L111" i="12"/>
  <c r="L110" i="12"/>
  <c r="AE109" i="12"/>
  <c r="AF109" i="12" s="1"/>
  <c r="Q109" i="12"/>
  <c r="P109" i="12"/>
  <c r="O109" i="12"/>
  <c r="L109" i="12"/>
  <c r="L108" i="12"/>
  <c r="AE107" i="12"/>
  <c r="W74" i="11" s="1"/>
  <c r="Q107" i="12"/>
  <c r="P107" i="12"/>
  <c r="O107" i="12"/>
  <c r="L107" i="12"/>
  <c r="L106" i="12"/>
  <c r="AE105" i="12"/>
  <c r="Q105" i="12"/>
  <c r="P105" i="12"/>
  <c r="O105" i="12"/>
  <c r="L105" i="12"/>
  <c r="L104" i="12"/>
  <c r="AE103" i="12"/>
  <c r="Q103" i="12"/>
  <c r="P103" i="12"/>
  <c r="O103" i="12"/>
  <c r="L103" i="12"/>
  <c r="AE102" i="12"/>
  <c r="AF102" i="12" s="1"/>
  <c r="Q102" i="12"/>
  <c r="P102" i="12"/>
  <c r="O102" i="12"/>
  <c r="L102" i="12"/>
  <c r="AE101" i="12"/>
  <c r="AF101" i="12" s="1"/>
  <c r="Q101" i="12"/>
  <c r="P101" i="12"/>
  <c r="O101" i="12"/>
  <c r="L101" i="12"/>
  <c r="AE100" i="12"/>
  <c r="AF100" i="12" s="1"/>
  <c r="Q100" i="12"/>
  <c r="P100" i="12"/>
  <c r="O100" i="12"/>
  <c r="L100" i="12"/>
  <c r="AE99" i="12"/>
  <c r="W68" i="11" s="1"/>
  <c r="Q99" i="12"/>
  <c r="P99" i="12"/>
  <c r="O99" i="12"/>
  <c r="L99" i="12"/>
  <c r="AE98" i="12"/>
  <c r="AF98" i="12" s="1"/>
  <c r="Q98" i="12"/>
  <c r="P98" i="12"/>
  <c r="O98" i="12"/>
  <c r="L98" i="12"/>
  <c r="L97" i="12"/>
  <c r="AE96" i="12"/>
  <c r="Q96" i="12"/>
  <c r="P96" i="12"/>
  <c r="O96" i="12"/>
  <c r="L96" i="12"/>
  <c r="AE95" i="12"/>
  <c r="Q95" i="12"/>
  <c r="P95" i="12"/>
  <c r="O95" i="12"/>
  <c r="L95" i="12"/>
  <c r="L94" i="12"/>
  <c r="L93" i="12"/>
  <c r="L92" i="12"/>
  <c r="L91" i="12"/>
  <c r="L90" i="12"/>
  <c r="AE89" i="12"/>
  <c r="Q89" i="12"/>
  <c r="P89" i="12"/>
  <c r="O89" i="12"/>
  <c r="L89" i="12"/>
  <c r="AE88" i="12"/>
  <c r="AF88" i="12" s="1"/>
  <c r="Q88" i="12"/>
  <c r="P88" i="12"/>
  <c r="O88" i="12"/>
  <c r="L88" i="12"/>
  <c r="AE87" i="12"/>
  <c r="AF87" i="12" s="1"/>
  <c r="Q87" i="12"/>
  <c r="P87" i="12"/>
  <c r="O87" i="12"/>
  <c r="L87" i="12"/>
  <c r="L86" i="12"/>
  <c r="AE85" i="12"/>
  <c r="Q85" i="12"/>
  <c r="P85" i="12"/>
  <c r="O85" i="12"/>
  <c r="L85" i="12"/>
  <c r="L84" i="12"/>
  <c r="L83" i="12"/>
  <c r="AE82" i="12"/>
  <c r="AF82" i="12" s="1"/>
  <c r="Q82" i="12"/>
  <c r="P82" i="12"/>
  <c r="O82" i="12"/>
  <c r="L82" i="12"/>
  <c r="AE81" i="12"/>
  <c r="Q81" i="12"/>
  <c r="P81" i="12"/>
  <c r="O81" i="12"/>
  <c r="L81" i="12"/>
  <c r="AE80" i="12"/>
  <c r="Q80" i="12"/>
  <c r="P80" i="12"/>
  <c r="O80" i="12"/>
  <c r="L80" i="12"/>
  <c r="AE79" i="12"/>
  <c r="Q79" i="12"/>
  <c r="P79" i="12"/>
  <c r="O79" i="12"/>
  <c r="L79" i="12"/>
  <c r="L78" i="12"/>
  <c r="AE77" i="12"/>
  <c r="AF77" i="12" s="1"/>
  <c r="Q77" i="12"/>
  <c r="P77" i="12"/>
  <c r="O77" i="12"/>
  <c r="L77" i="12"/>
  <c r="AE76" i="12"/>
  <c r="AF76" i="12" s="1"/>
  <c r="Q76" i="12"/>
  <c r="P76" i="12"/>
  <c r="O76" i="12"/>
  <c r="L76" i="12"/>
  <c r="AE75" i="12"/>
  <c r="W54" i="11" s="1"/>
  <c r="Q75" i="12"/>
  <c r="P75" i="12"/>
  <c r="O75" i="12"/>
  <c r="L75" i="12"/>
  <c r="L74" i="12"/>
  <c r="AE73" i="12"/>
  <c r="Q73" i="12"/>
  <c r="P73" i="12"/>
  <c r="O73" i="12"/>
  <c r="L73" i="12"/>
  <c r="AE72" i="12"/>
  <c r="Q72" i="12"/>
  <c r="P72" i="12"/>
  <c r="O72" i="12"/>
  <c r="L72" i="12"/>
  <c r="AE71" i="12"/>
  <c r="AF71" i="12" s="1"/>
  <c r="Q71" i="12"/>
  <c r="P71" i="12"/>
  <c r="O71" i="12"/>
  <c r="L71" i="12"/>
  <c r="L70" i="12"/>
  <c r="AE69" i="12"/>
  <c r="AF69" i="12" s="1"/>
  <c r="Q69" i="12"/>
  <c r="P69" i="12"/>
  <c r="O69" i="12"/>
  <c r="L69" i="12"/>
  <c r="AE68" i="12"/>
  <c r="Q68" i="12"/>
  <c r="P68" i="12"/>
  <c r="O68" i="12"/>
  <c r="L68" i="12"/>
  <c r="AE67" i="12"/>
  <c r="W48" i="11" s="1"/>
  <c r="Q67" i="12"/>
  <c r="P67" i="12"/>
  <c r="O67" i="12"/>
  <c r="L67" i="12"/>
  <c r="AE66" i="12"/>
  <c r="AF66" i="12" s="1"/>
  <c r="Q66" i="12"/>
  <c r="P66" i="12"/>
  <c r="O66" i="12"/>
  <c r="L66" i="12"/>
  <c r="AE65" i="12"/>
  <c r="Q65" i="12"/>
  <c r="P65" i="12"/>
  <c r="O65" i="12"/>
  <c r="L65" i="12"/>
  <c r="AE64" i="12"/>
  <c r="Q64" i="12"/>
  <c r="P64" i="12"/>
  <c r="O64" i="12"/>
  <c r="L64" i="12"/>
  <c r="L63" i="12"/>
  <c r="AE62" i="12"/>
  <c r="Q62" i="12"/>
  <c r="P62" i="12"/>
  <c r="O62" i="12"/>
  <c r="L62" i="12"/>
  <c r="AE61" i="12"/>
  <c r="AF61" i="12" s="1"/>
  <c r="Q61" i="12"/>
  <c r="P61" i="12"/>
  <c r="O61" i="12"/>
  <c r="L61" i="12"/>
  <c r="L60" i="12"/>
  <c r="L59" i="12"/>
  <c r="L58" i="12"/>
  <c r="AE57" i="12"/>
  <c r="Q57" i="12"/>
  <c r="P57" i="12"/>
  <c r="O57" i="12"/>
  <c r="L57" i="12"/>
  <c r="L56" i="12"/>
  <c r="AE55" i="12"/>
  <c r="Q55" i="12"/>
  <c r="P55" i="12"/>
  <c r="O55" i="12"/>
  <c r="L55" i="12"/>
  <c r="AE54" i="12"/>
  <c r="Q54" i="12"/>
  <c r="P54" i="12"/>
  <c r="O54" i="12"/>
  <c r="L54" i="12"/>
  <c r="L53" i="12"/>
  <c r="L52" i="12"/>
  <c r="L51" i="12"/>
  <c r="L50" i="12"/>
  <c r="L49" i="12"/>
  <c r="L48" i="12"/>
  <c r="AE47" i="12"/>
  <c r="Q47" i="12"/>
  <c r="P47" i="12"/>
  <c r="O47" i="12"/>
  <c r="L47" i="12"/>
  <c r="AE46" i="12"/>
  <c r="AF46" i="12" s="1"/>
  <c r="Q46" i="12"/>
  <c r="P46" i="12"/>
  <c r="O46" i="12"/>
  <c r="L46" i="12"/>
  <c r="L45" i="12"/>
  <c r="AE44" i="12"/>
  <c r="AF44" i="12" s="1"/>
  <c r="Q44" i="12"/>
  <c r="P44" i="12"/>
  <c r="O44" i="12"/>
  <c r="L44" i="12"/>
  <c r="AE43" i="12"/>
  <c r="W36" i="11" s="1"/>
  <c r="Q43" i="12"/>
  <c r="P43" i="12"/>
  <c r="O43" i="12"/>
  <c r="L43" i="12"/>
  <c r="L42" i="12"/>
  <c r="AE41" i="12"/>
  <c r="Q41" i="12"/>
  <c r="P41" i="12"/>
  <c r="O41" i="12"/>
  <c r="L41" i="12"/>
  <c r="AE40" i="12"/>
  <c r="Q40" i="12"/>
  <c r="P40" i="12"/>
  <c r="O40" i="12"/>
  <c r="L40" i="12"/>
  <c r="AE39" i="12"/>
  <c r="Q39" i="12"/>
  <c r="P39" i="12"/>
  <c r="O39" i="12"/>
  <c r="L39" i="12"/>
  <c r="AE38" i="12"/>
  <c r="Q38" i="12"/>
  <c r="P38" i="12"/>
  <c r="O38" i="12"/>
  <c r="L38" i="12"/>
  <c r="AE37" i="12"/>
  <c r="Q37" i="12"/>
  <c r="P37" i="12"/>
  <c r="O37" i="12"/>
  <c r="L37" i="12"/>
  <c r="AE36" i="12"/>
  <c r="AF36" i="12" s="1"/>
  <c r="Q36" i="12"/>
  <c r="P36" i="12"/>
  <c r="O36" i="12"/>
  <c r="L36" i="12"/>
  <c r="AE35" i="12"/>
  <c r="W29" i="11" s="1"/>
  <c r="Q35" i="12"/>
  <c r="P35" i="12"/>
  <c r="O35" i="12"/>
  <c r="L35" i="12"/>
  <c r="L34" i="12"/>
  <c r="L33" i="12"/>
  <c r="L32" i="12"/>
  <c r="L31" i="12"/>
  <c r="AE30" i="12"/>
  <c r="Q30" i="12"/>
  <c r="P30" i="12"/>
  <c r="O30" i="12"/>
  <c r="L30" i="12"/>
  <c r="AE29" i="12"/>
  <c r="AF29" i="12" s="1"/>
  <c r="Q29" i="12"/>
  <c r="P29" i="12"/>
  <c r="O29" i="12"/>
  <c r="L29" i="12"/>
  <c r="AE28" i="12"/>
  <c r="AF28" i="12" s="1"/>
  <c r="Q28" i="12"/>
  <c r="P28" i="12"/>
  <c r="O28" i="12"/>
  <c r="L28" i="12"/>
  <c r="L27" i="12"/>
  <c r="AE26" i="12"/>
  <c r="AF26" i="12" s="1"/>
  <c r="Q26" i="12"/>
  <c r="P26" i="12"/>
  <c r="O26" i="12"/>
  <c r="L26" i="12"/>
  <c r="L25" i="12"/>
  <c r="AE24" i="12"/>
  <c r="Q24" i="12"/>
  <c r="P24" i="12"/>
  <c r="O24" i="12"/>
  <c r="L24" i="12"/>
  <c r="AE23" i="12"/>
  <c r="Q23" i="12"/>
  <c r="P23" i="12"/>
  <c r="O23" i="12"/>
  <c r="L23" i="12"/>
  <c r="AE22" i="12"/>
  <c r="AF22" i="12" s="1"/>
  <c r="Q22" i="12"/>
  <c r="P22" i="12"/>
  <c r="O22" i="12"/>
  <c r="L22" i="12"/>
  <c r="AE21" i="12"/>
  <c r="Q21" i="12"/>
  <c r="P21" i="12"/>
  <c r="O21" i="12"/>
  <c r="L21" i="12"/>
  <c r="AE20" i="12"/>
  <c r="AF20" i="12" s="1"/>
  <c r="Q20" i="12"/>
  <c r="P20" i="12"/>
  <c r="O20" i="12"/>
  <c r="L20" i="12"/>
  <c r="L19" i="12"/>
  <c r="AE18" i="12"/>
  <c r="AF18" i="12" s="1"/>
  <c r="Q18" i="12"/>
  <c r="P18" i="12"/>
  <c r="O18" i="12"/>
  <c r="L18" i="12"/>
  <c r="AE17" i="12"/>
  <c r="Q17" i="12"/>
  <c r="P17" i="12"/>
  <c r="O17" i="12"/>
  <c r="L17" i="12"/>
  <c r="AE16" i="12"/>
  <c r="Q16" i="12"/>
  <c r="P16" i="12"/>
  <c r="O16" i="12"/>
  <c r="L16" i="12"/>
  <c r="AE15" i="12"/>
  <c r="Q15" i="12"/>
  <c r="P15" i="12"/>
  <c r="O15" i="12"/>
  <c r="L15" i="12"/>
  <c r="AE14" i="12"/>
  <c r="AF14" i="12" s="1"/>
  <c r="Q14" i="12"/>
  <c r="P14" i="12"/>
  <c r="O14" i="12"/>
  <c r="L14" i="12"/>
  <c r="AE13" i="12"/>
  <c r="AF13" i="12" s="1"/>
  <c r="Q13" i="12"/>
  <c r="P13" i="12"/>
  <c r="O13" i="12"/>
  <c r="L13" i="12"/>
  <c r="AE12" i="12"/>
  <c r="AF12" i="12" s="1"/>
  <c r="Q12" i="12"/>
  <c r="P12" i="12"/>
  <c r="O12" i="12"/>
  <c r="L12" i="12"/>
  <c r="AE11" i="12"/>
  <c r="W12" i="11" s="1"/>
  <c r="Q11" i="12"/>
  <c r="P11" i="12"/>
  <c r="O11" i="12"/>
  <c r="L11" i="12"/>
  <c r="AE10" i="12"/>
  <c r="AF10" i="12" s="1"/>
  <c r="Q10" i="12"/>
  <c r="P10" i="12"/>
  <c r="O10" i="12"/>
  <c r="L10" i="12"/>
  <c r="AE9" i="12"/>
  <c r="Q9" i="12"/>
  <c r="P9" i="12"/>
  <c r="O9" i="12"/>
  <c r="L9" i="12"/>
  <c r="AE8" i="12"/>
  <c r="Q8" i="12"/>
  <c r="P8" i="12"/>
  <c r="O8" i="12"/>
  <c r="L8" i="12"/>
  <c r="AE7" i="12"/>
  <c r="Q7" i="12"/>
  <c r="P7" i="12"/>
  <c r="O7" i="12"/>
  <c r="L7" i="12"/>
  <c r="AE6" i="12"/>
  <c r="AF6" i="12" s="1"/>
  <c r="Q6" i="12"/>
  <c r="P6" i="12"/>
  <c r="O6" i="12"/>
  <c r="L6" i="12"/>
  <c r="AE5" i="12"/>
  <c r="Q5" i="12"/>
  <c r="P5" i="12"/>
  <c r="O5" i="12"/>
  <c r="L5" i="12"/>
  <c r="AE4" i="12"/>
  <c r="AF4" i="12" s="1"/>
  <c r="Q4" i="12"/>
  <c r="P4" i="12"/>
  <c r="O4" i="12"/>
  <c r="L4" i="12"/>
  <c r="AE3" i="12"/>
  <c r="W4" i="11" s="1"/>
  <c r="Q3" i="12"/>
  <c r="P3" i="12"/>
  <c r="O3" i="12"/>
  <c r="L3" i="12"/>
  <c r="AE2" i="12"/>
  <c r="AF2" i="12" s="1"/>
  <c r="Q2" i="12"/>
  <c r="P2" i="12"/>
  <c r="O2" i="12"/>
  <c r="L2" i="12"/>
  <c r="O1066" i="8"/>
  <c r="P1066" i="8"/>
  <c r="Q1066" i="8"/>
  <c r="AE1066" i="8"/>
  <c r="X385" i="11" s="1"/>
  <c r="AE4" i="8"/>
  <c r="X5" i="11" s="1"/>
  <c r="AE5" i="8"/>
  <c r="X6" i="11" s="1"/>
  <c r="AE6" i="8"/>
  <c r="X7" i="11" s="1"/>
  <c r="AE7" i="8"/>
  <c r="X8" i="11" s="1"/>
  <c r="AE8" i="8"/>
  <c r="X9" i="11" s="1"/>
  <c r="AE9" i="8"/>
  <c r="X10" i="11" s="1"/>
  <c r="AE12" i="8"/>
  <c r="X13" i="11" s="1"/>
  <c r="AE13" i="8"/>
  <c r="X14" i="11" s="1"/>
  <c r="AE14" i="8"/>
  <c r="X15" i="11" s="1"/>
  <c r="AE16" i="8"/>
  <c r="X17" i="11" s="1"/>
  <c r="AE17" i="8"/>
  <c r="X18" i="11" s="1"/>
  <c r="AE20" i="8"/>
  <c r="X20" i="11" s="1"/>
  <c r="AE21" i="8"/>
  <c r="X21" i="11" s="1"/>
  <c r="AE22" i="8"/>
  <c r="X22" i="11" s="1"/>
  <c r="AE23" i="8"/>
  <c r="X23" i="11" s="1"/>
  <c r="AE28" i="8"/>
  <c r="X26" i="11" s="1"/>
  <c r="AE29" i="8"/>
  <c r="X27" i="11" s="1"/>
  <c r="AE30" i="8"/>
  <c r="X28" i="11" s="1"/>
  <c r="AE38" i="8"/>
  <c r="X32" i="11" s="1"/>
  <c r="AE39" i="8"/>
  <c r="X33" i="11" s="1"/>
  <c r="AE40" i="8"/>
  <c r="X34" i="11" s="1"/>
  <c r="AE41" i="8"/>
  <c r="X35" i="11" s="1"/>
  <c r="AE44" i="8"/>
  <c r="X37" i="11" s="1"/>
  <c r="AE46" i="8"/>
  <c r="X38" i="11" s="1"/>
  <c r="AE47" i="8"/>
  <c r="X39" i="11" s="1"/>
  <c r="AE54" i="8"/>
  <c r="X40" i="11" s="1"/>
  <c r="AE55" i="8"/>
  <c r="X41" i="11" s="1"/>
  <c r="AE61" i="8"/>
  <c r="X43" i="11" s="1"/>
  <c r="AE62" i="8"/>
  <c r="X44" i="11" s="1"/>
  <c r="X45" i="11"/>
  <c r="AE65" i="8"/>
  <c r="X46" i="11" s="1"/>
  <c r="AE68" i="8"/>
  <c r="X49" i="11" s="1"/>
  <c r="AE69" i="8"/>
  <c r="X50" i="11" s="1"/>
  <c r="AE71" i="8"/>
  <c r="X51" i="11" s="1"/>
  <c r="AE72" i="8"/>
  <c r="X52" i="11" s="1"/>
  <c r="AE77" i="8"/>
  <c r="X56" i="11" s="1"/>
  <c r="AE79" i="8"/>
  <c r="X57" i="11" s="1"/>
  <c r="AE80" i="8"/>
  <c r="X58" i="11" s="1"/>
  <c r="AE81" i="8"/>
  <c r="X59" i="11" s="1"/>
  <c r="AE85" i="8"/>
  <c r="X61" i="11" s="1"/>
  <c r="AE87" i="8"/>
  <c r="X62" i="11" s="1"/>
  <c r="AE88" i="8"/>
  <c r="X63" i="11" s="1"/>
  <c r="AE89" i="8"/>
  <c r="X64" i="11" s="1"/>
  <c r="AE95" i="8"/>
  <c r="X65" i="11" s="1"/>
  <c r="AE96" i="8"/>
  <c r="X66" i="11" s="1"/>
  <c r="AE99" i="8"/>
  <c r="X68" i="11" s="1"/>
  <c r="AE100" i="8"/>
  <c r="X69" i="11" s="1"/>
  <c r="AE101" i="8"/>
  <c r="X70" i="11" s="1"/>
  <c r="AE102" i="8"/>
  <c r="X71" i="11" s="1"/>
  <c r="AE103" i="8"/>
  <c r="X72" i="11" s="1"/>
  <c r="AE105" i="8"/>
  <c r="X73" i="11" s="1"/>
  <c r="AE109" i="8"/>
  <c r="X75" i="11" s="1"/>
  <c r="AE111" i="8"/>
  <c r="X76" i="11" s="1"/>
  <c r="AE113" i="8"/>
  <c r="X77" i="11" s="1"/>
  <c r="AE117" i="8"/>
  <c r="X79" i="11" s="1"/>
  <c r="AE119" i="8"/>
  <c r="X80" i="11" s="1"/>
  <c r="AE120" i="8"/>
  <c r="X81" i="11" s="1"/>
  <c r="AE124" i="8"/>
  <c r="X84" i="11" s="1"/>
  <c r="AE125" i="8"/>
  <c r="X85" i="11" s="1"/>
  <c r="AE128" i="8"/>
  <c r="X86" i="11" s="1"/>
  <c r="AE132" i="8"/>
  <c r="X89" i="11" s="1"/>
  <c r="AE133" i="8"/>
  <c r="X90" i="11" s="1"/>
  <c r="AE135" i="8"/>
  <c r="X91" i="11" s="1"/>
  <c r="AE136" i="8"/>
  <c r="X92" i="11" s="1"/>
  <c r="AE137" i="8"/>
  <c r="X93" i="11" s="1"/>
  <c r="AE139" i="8"/>
  <c r="X95" i="11" s="1"/>
  <c r="AE140" i="8"/>
  <c r="X96" i="11" s="1"/>
  <c r="AE141" i="8"/>
  <c r="X97" i="11" s="1"/>
  <c r="AE144" i="8"/>
  <c r="X98" i="11" s="1"/>
  <c r="AE145" i="8"/>
  <c r="X99" i="11" s="1"/>
  <c r="AE148" i="8"/>
  <c r="X100" i="11" s="1"/>
  <c r="AE150" i="8"/>
  <c r="X101" i="11" s="1"/>
  <c r="AE151" i="8"/>
  <c r="X102" i="11" s="1"/>
  <c r="AE153" i="8"/>
  <c r="X103" i="11" s="1"/>
  <c r="AE155" i="8"/>
  <c r="X105" i="11" s="1"/>
  <c r="AE166" i="8"/>
  <c r="X109" i="11" s="1"/>
  <c r="AE167" i="8"/>
  <c r="X110" i="11" s="1"/>
  <c r="AE168" i="8"/>
  <c r="X111" i="11" s="1"/>
  <c r="AE172" i="8"/>
  <c r="X112" i="11" s="1"/>
  <c r="AE173" i="8"/>
  <c r="X113" i="11" s="1"/>
  <c r="AE175" i="8"/>
  <c r="X114" i="11" s="1"/>
  <c r="AE184" i="8"/>
  <c r="X118" i="11" s="1"/>
  <c r="AE191" i="8"/>
  <c r="X121" i="11" s="1"/>
  <c r="AE192" i="8"/>
  <c r="X122" i="11" s="1"/>
  <c r="AE195" i="8"/>
  <c r="X123" i="11" s="1"/>
  <c r="AE209" i="8"/>
  <c r="X125" i="11" s="1"/>
  <c r="AE213" i="8"/>
  <c r="X126" i="11" s="1"/>
  <c r="AE214" i="8"/>
  <c r="X127" i="11" s="1"/>
  <c r="AE215" i="8"/>
  <c r="X128" i="11" s="1"/>
  <c r="AE216" i="8"/>
  <c r="X129" i="11" s="1"/>
  <c r="AE217" i="8"/>
  <c r="X130" i="11" s="1"/>
  <c r="AE219" i="8"/>
  <c r="X132" i="11" s="1"/>
  <c r="AE220" i="8"/>
  <c r="X133" i="11" s="1"/>
  <c r="AE221" i="8"/>
  <c r="X134" i="11" s="1"/>
  <c r="AE222" i="8"/>
  <c r="X135" i="11" s="1"/>
  <c r="AE224" i="8"/>
  <c r="X136" i="11" s="1"/>
  <c r="AE225" i="8"/>
  <c r="X137" i="11" s="1"/>
  <c r="AE228" i="8"/>
  <c r="X139" i="11" s="1"/>
  <c r="AE229" i="8"/>
  <c r="X140" i="11" s="1"/>
  <c r="AE230" i="8"/>
  <c r="X141" i="11" s="1"/>
  <c r="AE232" i="8"/>
  <c r="X142" i="11" s="1"/>
  <c r="AE236" i="8"/>
  <c r="X144" i="11" s="1"/>
  <c r="AE238" i="8"/>
  <c r="X145" i="11" s="1"/>
  <c r="AE240" i="8"/>
  <c r="X146" i="11" s="1"/>
  <c r="AE245" i="8"/>
  <c r="X149" i="11" s="1"/>
  <c r="AE246" i="8"/>
  <c r="X150" i="11" s="1"/>
  <c r="AE248" i="8"/>
  <c r="X151" i="11" s="1"/>
  <c r="AE254" i="8"/>
  <c r="X153" i="11" s="1"/>
  <c r="AE269" i="8"/>
  <c r="X155" i="11" s="1"/>
  <c r="AE270" i="8"/>
  <c r="X156" i="11" s="1"/>
  <c r="AE271" i="8"/>
  <c r="X157" i="11" s="1"/>
  <c r="AE272" i="8"/>
  <c r="X158" i="11" s="1"/>
  <c r="AE273" i="8"/>
  <c r="X159" i="11" s="1"/>
  <c r="AE276" i="8"/>
  <c r="X161" i="11" s="1"/>
  <c r="AE278" i="8"/>
  <c r="X162" i="11" s="1"/>
  <c r="AE280" i="8"/>
  <c r="X163" i="11" s="1"/>
  <c r="AE305" i="8"/>
  <c r="X164" i="11" s="1"/>
  <c r="AE319" i="8"/>
  <c r="X165" i="11" s="1"/>
  <c r="AE324" i="8"/>
  <c r="X166" i="11" s="1"/>
  <c r="AE325" i="8"/>
  <c r="X167" i="11" s="1"/>
  <c r="AE326" i="8"/>
  <c r="X168" i="11" s="1"/>
  <c r="AE327" i="8"/>
  <c r="X169" i="11" s="1"/>
  <c r="AE342" i="8"/>
  <c r="X172" i="11" s="1"/>
  <c r="AE344" i="8"/>
  <c r="X173" i="11" s="1"/>
  <c r="AE345" i="8"/>
  <c r="X174" i="11" s="1"/>
  <c r="AE351" i="8"/>
  <c r="X176" i="11" s="1"/>
  <c r="AE352" i="8"/>
  <c r="X177" i="11" s="1"/>
  <c r="AE353" i="8"/>
  <c r="X178" i="11" s="1"/>
  <c r="AE356" i="8"/>
  <c r="X181" i="11" s="1"/>
  <c r="AE358" i="8"/>
  <c r="X182" i="11" s="1"/>
  <c r="AE359" i="8"/>
  <c r="X183" i="11" s="1"/>
  <c r="AE360" i="8"/>
  <c r="X184" i="11" s="1"/>
  <c r="AE365" i="8"/>
  <c r="X187" i="11" s="1"/>
  <c r="AE368" i="8"/>
  <c r="X188" i="11" s="1"/>
  <c r="AE369" i="8"/>
  <c r="X189" i="11" s="1"/>
  <c r="AE372" i="8"/>
  <c r="X191" i="11" s="1"/>
  <c r="AE374" i="8"/>
  <c r="X192" i="11" s="1"/>
  <c r="AE377" i="8"/>
  <c r="X193" i="11" s="1"/>
  <c r="AE381" i="8"/>
  <c r="X196" i="11" s="1"/>
  <c r="AE385" i="8"/>
  <c r="X197" i="11" s="1"/>
  <c r="AE388" i="8"/>
  <c r="X198" i="11" s="1"/>
  <c r="AE389" i="8"/>
  <c r="X199" i="11" s="1"/>
  <c r="AE390" i="8"/>
  <c r="X200" i="11" s="1"/>
  <c r="AE398" i="8"/>
  <c r="X201" i="11" s="1"/>
  <c r="AE399" i="8"/>
  <c r="X202" i="11" s="1"/>
  <c r="AE404" i="8"/>
  <c r="X204" i="11" s="1"/>
  <c r="AE406" i="8"/>
  <c r="X205" i="11" s="1"/>
  <c r="AE407" i="8"/>
  <c r="X206" i="11" s="1"/>
  <c r="AE414" i="8"/>
  <c r="X207" i="11" s="1"/>
  <c r="AE415" i="8"/>
  <c r="X208" i="11" s="1"/>
  <c r="AE417" i="8"/>
  <c r="X209" i="11" s="1"/>
  <c r="AE419" i="8"/>
  <c r="X210" i="11" s="1"/>
  <c r="AE422" i="8"/>
  <c r="X212" i="11" s="1"/>
  <c r="AE430" i="8"/>
  <c r="X214" i="11" s="1"/>
  <c r="AE433" i="8"/>
  <c r="X215" i="11" s="1"/>
  <c r="AE438" i="8"/>
  <c r="X219" i="11" s="1"/>
  <c r="AE439" i="8"/>
  <c r="X220" i="11" s="1"/>
  <c r="AE440" i="8"/>
  <c r="X221" i="11" s="1"/>
  <c r="AE441" i="8"/>
  <c r="X222" i="11" s="1"/>
  <c r="AE442" i="8"/>
  <c r="X223" i="11" s="1"/>
  <c r="AE443" i="8"/>
  <c r="X224" i="11" s="1"/>
  <c r="AE446" i="8"/>
  <c r="X227" i="11" s="1"/>
  <c r="AE447" i="8"/>
  <c r="X228" i="11" s="1"/>
  <c r="AE448" i="8"/>
  <c r="X229" i="11" s="1"/>
  <c r="AE449" i="8"/>
  <c r="X230" i="11" s="1"/>
  <c r="AE450" i="8"/>
  <c r="X231" i="11" s="1"/>
  <c r="AE451" i="8"/>
  <c r="X232" i="11" s="1"/>
  <c r="AE458" i="8"/>
  <c r="X234" i="11" s="1"/>
  <c r="AE463" i="8"/>
  <c r="X235" i="11" s="1"/>
  <c r="AE464" i="8"/>
  <c r="X236" i="11" s="1"/>
  <c r="AE466" i="8"/>
  <c r="X237" i="11" s="1"/>
  <c r="AE467" i="8"/>
  <c r="X238" i="11" s="1"/>
  <c r="AE469" i="8"/>
  <c r="X240" i="11" s="1"/>
  <c r="AE472" i="8"/>
  <c r="X241" i="11" s="1"/>
  <c r="AE473" i="8"/>
  <c r="X242" i="11" s="1"/>
  <c r="AE477" i="8"/>
  <c r="X243" i="11" s="1"/>
  <c r="AE478" i="8"/>
  <c r="X244" i="11" s="1"/>
  <c r="AE480" i="8"/>
  <c r="X245" i="11" s="1"/>
  <c r="AE483" i="8"/>
  <c r="X246" i="11" s="1"/>
  <c r="AE487" i="8"/>
  <c r="X247" i="11" s="1"/>
  <c r="AE491" i="8"/>
  <c r="X248" i="11" s="1"/>
  <c r="AE494" i="8"/>
  <c r="X251" i="11" s="1"/>
  <c r="AE495" i="8"/>
  <c r="X252" i="11" s="1"/>
  <c r="AE497" i="8"/>
  <c r="X253" i="11" s="1"/>
  <c r="AE499" i="8"/>
  <c r="X254" i="11" s="1"/>
  <c r="AE503" i="8"/>
  <c r="X256" i="11" s="1"/>
  <c r="AE504" i="8"/>
  <c r="X257" i="11" s="1"/>
  <c r="AE510" i="8"/>
  <c r="X259" i="11" s="1"/>
  <c r="AE511" i="8"/>
  <c r="X260" i="11" s="1"/>
  <c r="K16" i="11"/>
  <c r="AE514" i="8"/>
  <c r="X261" i="11" s="1"/>
  <c r="AE515" i="8"/>
  <c r="X262" i="11" s="1"/>
  <c r="K17" i="11"/>
  <c r="K18" i="11"/>
  <c r="AE523" i="8"/>
  <c r="X264" i="11" s="1"/>
  <c r="AE525" i="8"/>
  <c r="X265" i="11" s="1"/>
  <c r="AE526" i="8"/>
  <c r="X266" i="11" s="1"/>
  <c r="AE527" i="8"/>
  <c r="X267" i="11" s="1"/>
  <c r="AE529" i="8"/>
  <c r="X269" i="11" s="1"/>
  <c r="AE530" i="8"/>
  <c r="X270" i="11" s="1"/>
  <c r="AE532" i="8"/>
  <c r="X271" i="11" s="1"/>
  <c r="AE534" i="8"/>
  <c r="X273" i="11" s="1"/>
  <c r="AE535" i="8"/>
  <c r="X274" i="11" s="1"/>
  <c r="AE536" i="8"/>
  <c r="X275" i="11" s="1"/>
  <c r="AE537" i="8"/>
  <c r="X276" i="11" s="1"/>
  <c r="AE538" i="8"/>
  <c r="X277" i="11" s="1"/>
  <c r="AE539" i="8"/>
  <c r="X278" i="11" s="1"/>
  <c r="AE540" i="8"/>
  <c r="X279" i="11" s="1"/>
  <c r="AE599" i="8"/>
  <c r="X280" i="11" s="1"/>
  <c r="AE618" i="8"/>
  <c r="X281" i="11" s="1"/>
  <c r="AE651" i="8"/>
  <c r="X282" i="11" s="1"/>
  <c r="AE659" i="8"/>
  <c r="X283" i="11" s="1"/>
  <c r="AE664" i="8"/>
  <c r="X284" i="11" s="1"/>
  <c r="AE667" i="8"/>
  <c r="X285" i="11" s="1"/>
  <c r="AE699" i="8"/>
  <c r="X288" i="11" s="1"/>
  <c r="AE702" i="8"/>
  <c r="X289" i="11" s="1"/>
  <c r="AE705" i="8"/>
  <c r="X290" i="11" s="1"/>
  <c r="AE706" i="8"/>
  <c r="X291" i="11" s="1"/>
  <c r="AE707" i="8"/>
  <c r="X292" i="11" s="1"/>
  <c r="AE708" i="8"/>
  <c r="X293" i="11" s="1"/>
  <c r="AE711" i="8"/>
  <c r="X296" i="11" s="1"/>
  <c r="AE712" i="8"/>
  <c r="X297" i="11" s="1"/>
  <c r="AE713" i="8"/>
  <c r="X298" i="11" s="1"/>
  <c r="AE714" i="8"/>
  <c r="X299" i="11" s="1"/>
  <c r="AE715" i="8"/>
  <c r="X300" i="11" s="1"/>
  <c r="AE716" i="8"/>
  <c r="X301" i="11" s="1"/>
  <c r="AE718" i="8"/>
  <c r="X303" i="11" s="1"/>
  <c r="AE719" i="8"/>
  <c r="X304" i="11" s="1"/>
  <c r="AE720" i="8"/>
  <c r="X305" i="11" s="1"/>
  <c r="AE721" i="8"/>
  <c r="X306" i="11" s="1"/>
  <c r="AE722" i="8"/>
  <c r="X307" i="11" s="1"/>
  <c r="AE723" i="8"/>
  <c r="X308" i="11" s="1"/>
  <c r="AE724" i="8"/>
  <c r="X309" i="11" s="1"/>
  <c r="AE726" i="8"/>
  <c r="X311" i="11" s="1"/>
  <c r="AE727" i="8"/>
  <c r="X312" i="11" s="1"/>
  <c r="AE728" i="8"/>
  <c r="X313" i="11" s="1"/>
  <c r="AE729" i="8"/>
  <c r="X314" i="11" s="1"/>
  <c r="AE730" i="8"/>
  <c r="X315" i="11" s="1"/>
  <c r="AE743" i="8"/>
  <c r="X317" i="11" s="1"/>
  <c r="AE748" i="8"/>
  <c r="X318" i="11" s="1"/>
  <c r="AE762" i="8"/>
  <c r="X319" i="11" s="1"/>
  <c r="AE763" i="8"/>
  <c r="X320" i="11" s="1"/>
  <c r="AE767" i="8"/>
  <c r="X321" i="11" s="1"/>
  <c r="AE791" i="8"/>
  <c r="X323" i="11" s="1"/>
  <c r="AE795" i="8"/>
  <c r="X324" i="11" s="1"/>
  <c r="AE798" i="8"/>
  <c r="X325" i="11" s="1"/>
  <c r="AE799" i="8"/>
  <c r="X326" i="11" s="1"/>
  <c r="AE819" i="8"/>
  <c r="X328" i="11" s="1"/>
  <c r="AE852" i="8"/>
  <c r="X329" i="11" s="1"/>
  <c r="AE860" i="8"/>
  <c r="X330" i="11" s="1"/>
  <c r="AE864" i="8"/>
  <c r="X333" i="11" s="1"/>
  <c r="AE865" i="8"/>
  <c r="X334" i="11" s="1"/>
  <c r="AE867" i="8"/>
  <c r="X335" i="11" s="1"/>
  <c r="AE873" i="8"/>
  <c r="X336" i="11" s="1"/>
  <c r="AE874" i="8"/>
  <c r="X337" i="11" s="1"/>
  <c r="AE887" i="8"/>
  <c r="X339" i="11" s="1"/>
  <c r="AE890" i="8"/>
  <c r="X340" i="11" s="1"/>
  <c r="AE891" i="8"/>
  <c r="X341" i="11" s="1"/>
  <c r="AE892" i="8"/>
  <c r="X342" i="11" s="1"/>
  <c r="AE897" i="8"/>
  <c r="X343" i="11" s="1"/>
  <c r="AE903" i="8"/>
  <c r="X344" i="11" s="1"/>
  <c r="AE905" i="8"/>
  <c r="X345" i="11" s="1"/>
  <c r="AE906" i="8"/>
  <c r="X346" i="11" s="1"/>
  <c r="AE908" i="8"/>
  <c r="X347" i="11" s="1"/>
  <c r="AE912" i="8"/>
  <c r="X349" i="11" s="1"/>
  <c r="AE921" i="8"/>
  <c r="X351" i="11" s="1"/>
  <c r="AE936" i="8"/>
  <c r="X353" i="11" s="1"/>
  <c r="AE940" i="8"/>
  <c r="X354" i="11" s="1"/>
  <c r="AE942" i="8"/>
  <c r="X355" i="11" s="1"/>
  <c r="AE946" i="8"/>
  <c r="X356" i="11" s="1"/>
  <c r="AE953" i="8"/>
  <c r="X357" i="11" s="1"/>
  <c r="AE964" i="8"/>
  <c r="X359" i="11" s="1"/>
  <c r="AE972" i="8"/>
  <c r="X360" i="11" s="1"/>
  <c r="AE982" i="8"/>
  <c r="X361" i="11" s="1"/>
  <c r="AE986" i="8"/>
  <c r="X362" i="11" s="1"/>
  <c r="AE987" i="8"/>
  <c r="X363" i="11" s="1"/>
  <c r="AE995" i="8"/>
  <c r="X364" i="11" s="1"/>
  <c r="AE996" i="8"/>
  <c r="X365" i="11" s="1"/>
  <c r="AE997" i="8"/>
  <c r="X366" i="11" s="1"/>
  <c r="AE998" i="8"/>
  <c r="X367" i="11" s="1"/>
  <c r="AE999" i="8"/>
  <c r="X368" i="11" s="1"/>
  <c r="AE1002" i="8"/>
  <c r="X371" i="11" s="1"/>
  <c r="AE1009" i="8"/>
  <c r="X372" i="11" s="1"/>
  <c r="AE1014" i="8"/>
  <c r="X373" i="11" s="1"/>
  <c r="AE1022" i="8"/>
  <c r="X374" i="11" s="1"/>
  <c r="AE1034" i="8"/>
  <c r="X375" i="11" s="1"/>
  <c r="AE1035" i="8"/>
  <c r="X376" i="11" s="1"/>
  <c r="AE1036" i="8"/>
  <c r="X377" i="11" s="1"/>
  <c r="AE1040" i="8"/>
  <c r="X378" i="11" s="1"/>
  <c r="AE1041" i="8"/>
  <c r="X379" i="11" s="1"/>
  <c r="AE1046" i="8"/>
  <c r="X380" i="11" s="1"/>
  <c r="AE1048" i="8"/>
  <c r="X381" i="11" s="1"/>
  <c r="AE1050" i="8"/>
  <c r="X382" i="11" s="1"/>
  <c r="AE1052" i="8"/>
  <c r="X383" i="11" s="1"/>
  <c r="AE1062" i="8"/>
  <c r="X384" i="11" s="1"/>
  <c r="AE1067" i="8"/>
  <c r="X386" i="11" s="1"/>
  <c r="AE1070" i="8"/>
  <c r="X387" i="11" s="1"/>
  <c r="AE1074" i="8"/>
  <c r="X388" i="11" s="1"/>
  <c r="AE1086" i="8"/>
  <c r="X390" i="11" s="1"/>
  <c r="AE1087" i="8"/>
  <c r="X391" i="11" s="1"/>
  <c r="AE1089" i="8"/>
  <c r="X392" i="11" s="1"/>
  <c r="AE1092" i="8"/>
  <c r="X393" i="11" s="1"/>
  <c r="AE1094" i="8"/>
  <c r="X394" i="11" s="1"/>
  <c r="AE1095" i="8"/>
  <c r="X395" i="11" s="1"/>
  <c r="AE1098" i="8"/>
  <c r="X396" i="11" s="1"/>
  <c r="AE1103" i="8"/>
  <c r="X397" i="11" s="1"/>
  <c r="AE1104" i="8"/>
  <c r="X398" i="11" s="1"/>
  <c r="AE1105" i="8"/>
  <c r="X399" i="11" s="1"/>
  <c r="AE1106" i="8"/>
  <c r="X400" i="11" s="1"/>
  <c r="AE1107" i="8"/>
  <c r="X401" i="11" s="1"/>
  <c r="AE1113" i="8"/>
  <c r="X402" i="11" s="1"/>
  <c r="AE1116" i="8"/>
  <c r="X403" i="11" s="1"/>
  <c r="AE1119" i="8"/>
  <c r="X405" i="11" s="1"/>
  <c r="AE1120" i="8"/>
  <c r="X406" i="11" s="1"/>
  <c r="AE1121" i="8"/>
  <c r="X407" i="11" s="1"/>
  <c r="AE1122" i="8"/>
  <c r="X408" i="11" s="1"/>
  <c r="AE1128" i="8"/>
  <c r="X409" i="11" s="1"/>
  <c r="AE1130" i="8"/>
  <c r="X410" i="11" s="1"/>
  <c r="AE1132" i="8"/>
  <c r="X411" i="11" s="1"/>
  <c r="AE1134" i="8"/>
  <c r="X413" i="11" s="1"/>
  <c r="AE1135" i="8"/>
  <c r="X414" i="11" s="1"/>
  <c r="AE1136" i="8"/>
  <c r="X415" i="11" s="1"/>
  <c r="AE1138" i="8"/>
  <c r="X417" i="11" s="1"/>
  <c r="AE1139" i="8"/>
  <c r="X418" i="11" s="1"/>
  <c r="AE2" i="8"/>
  <c r="X3" i="11" s="1"/>
  <c r="O995" i="8"/>
  <c r="O996" i="8"/>
  <c r="O997" i="8"/>
  <c r="O998" i="8"/>
  <c r="O999" i="8"/>
  <c r="O1002" i="8"/>
  <c r="O1009" i="8"/>
  <c r="O1014" i="8"/>
  <c r="O1022" i="8"/>
  <c r="O1034" i="8"/>
  <c r="O1035" i="8"/>
  <c r="O1036" i="8"/>
  <c r="O1040" i="8"/>
  <c r="O1041" i="8"/>
  <c r="O1046" i="8"/>
  <c r="O1048" i="8"/>
  <c r="O1050" i="8"/>
  <c r="O1052" i="8"/>
  <c r="O1062" i="8"/>
  <c r="O1067" i="8"/>
  <c r="O1070" i="8"/>
  <c r="O1074" i="8"/>
  <c r="O1085" i="8"/>
  <c r="O1086" i="8"/>
  <c r="O1087" i="8"/>
  <c r="O1089" i="8"/>
  <c r="O1092" i="8"/>
  <c r="O1094" i="8"/>
  <c r="O1095" i="8"/>
  <c r="O1098" i="8"/>
  <c r="O1103" i="8"/>
  <c r="O1104" i="8"/>
  <c r="O1105" i="8"/>
  <c r="O1106" i="8"/>
  <c r="O1107" i="8"/>
  <c r="O1113" i="8"/>
  <c r="O1116" i="8"/>
  <c r="O1117" i="8"/>
  <c r="O1119" i="8"/>
  <c r="O1120" i="8"/>
  <c r="O1121" i="8"/>
  <c r="O1122" i="8"/>
  <c r="O1128" i="8"/>
  <c r="O1130" i="8"/>
  <c r="O1132" i="8"/>
  <c r="O1133" i="8"/>
  <c r="O1134" i="8"/>
  <c r="O1135" i="8"/>
  <c r="O1136" i="8"/>
  <c r="O1137" i="8"/>
  <c r="O1138" i="8"/>
  <c r="O1139" i="8"/>
  <c r="P995" i="8"/>
  <c r="P996" i="8"/>
  <c r="P997" i="8"/>
  <c r="P998" i="8"/>
  <c r="P999" i="8"/>
  <c r="P1002" i="8"/>
  <c r="P1009" i="8"/>
  <c r="P1014" i="8"/>
  <c r="P1022" i="8"/>
  <c r="P1034" i="8"/>
  <c r="P1035" i="8"/>
  <c r="P1036" i="8"/>
  <c r="P1040" i="8"/>
  <c r="P1041" i="8"/>
  <c r="P1046" i="8"/>
  <c r="P1048" i="8"/>
  <c r="P1050" i="8"/>
  <c r="P1052" i="8"/>
  <c r="P1062" i="8"/>
  <c r="P1067" i="8"/>
  <c r="P1070" i="8"/>
  <c r="P1074" i="8"/>
  <c r="P1085" i="8"/>
  <c r="P1086" i="8"/>
  <c r="P1087" i="8"/>
  <c r="P1089" i="8"/>
  <c r="P1092" i="8"/>
  <c r="P1094" i="8"/>
  <c r="P1095" i="8"/>
  <c r="P1098" i="8"/>
  <c r="P1103" i="8"/>
  <c r="P1104" i="8"/>
  <c r="P1105" i="8"/>
  <c r="P1106" i="8"/>
  <c r="P1107" i="8"/>
  <c r="P1113" i="8"/>
  <c r="P1116" i="8"/>
  <c r="P1117" i="8"/>
  <c r="P1119" i="8"/>
  <c r="P1120" i="8"/>
  <c r="P1121" i="8"/>
  <c r="P1122" i="8"/>
  <c r="P1128" i="8"/>
  <c r="P1130" i="8"/>
  <c r="P1132" i="8"/>
  <c r="P1133" i="8"/>
  <c r="P1134" i="8"/>
  <c r="P1135" i="8"/>
  <c r="P1136" i="8"/>
  <c r="P1137" i="8"/>
  <c r="P1138" i="8"/>
  <c r="P1139" i="8"/>
  <c r="Q995" i="8"/>
  <c r="Q996" i="8"/>
  <c r="Q997" i="8"/>
  <c r="Q998" i="8"/>
  <c r="Q999" i="8"/>
  <c r="Q1002" i="8"/>
  <c r="Q1009" i="8"/>
  <c r="Q1014" i="8"/>
  <c r="Q1022" i="8"/>
  <c r="Q1034" i="8"/>
  <c r="Q1035" i="8"/>
  <c r="Q1036" i="8"/>
  <c r="Q1040" i="8"/>
  <c r="Q1041" i="8"/>
  <c r="Q1046" i="8"/>
  <c r="Q1048" i="8"/>
  <c r="Q1050" i="8"/>
  <c r="Q1052" i="8"/>
  <c r="Q1062" i="8"/>
  <c r="Q1067" i="8"/>
  <c r="Q1070" i="8"/>
  <c r="Q1074" i="8"/>
  <c r="Q1085" i="8"/>
  <c r="Q1086" i="8"/>
  <c r="Q1087" i="8"/>
  <c r="Q1089" i="8"/>
  <c r="Q1092" i="8"/>
  <c r="Q1094" i="8"/>
  <c r="Q1095" i="8"/>
  <c r="Q1098" i="8"/>
  <c r="Q1103" i="8"/>
  <c r="Q1104" i="8"/>
  <c r="Q1105" i="8"/>
  <c r="Q1106" i="8"/>
  <c r="Q1107" i="8"/>
  <c r="Q1113" i="8"/>
  <c r="Q1116" i="8"/>
  <c r="Q1117" i="8"/>
  <c r="Q1119" i="8"/>
  <c r="Q1120" i="8"/>
  <c r="Q1121" i="8"/>
  <c r="Q1122" i="8"/>
  <c r="Q1128" i="8"/>
  <c r="Q1130" i="8"/>
  <c r="Q1132" i="8"/>
  <c r="Q1133" i="8"/>
  <c r="Q1134" i="8"/>
  <c r="Q1135" i="8"/>
  <c r="Q1136" i="8"/>
  <c r="Q1137" i="8"/>
  <c r="Q1138" i="8"/>
  <c r="Q1139" i="8"/>
  <c r="O903" i="8"/>
  <c r="O905" i="8"/>
  <c r="O906" i="8"/>
  <c r="O908" i="8"/>
  <c r="O910" i="8"/>
  <c r="O912" i="8"/>
  <c r="O917" i="8"/>
  <c r="O921" i="8"/>
  <c r="O925" i="8"/>
  <c r="O936" i="8"/>
  <c r="O940" i="8"/>
  <c r="O942" i="8"/>
  <c r="O946" i="8"/>
  <c r="O953" i="8"/>
  <c r="O957" i="8"/>
  <c r="O964" i="8"/>
  <c r="O972" i="8"/>
  <c r="O982" i="8"/>
  <c r="O986" i="8"/>
  <c r="O987" i="8"/>
  <c r="P903" i="8"/>
  <c r="P905" i="8"/>
  <c r="P906" i="8"/>
  <c r="P908" i="8"/>
  <c r="P910" i="8"/>
  <c r="P912" i="8"/>
  <c r="P917" i="8"/>
  <c r="P921" i="8"/>
  <c r="P925" i="8"/>
  <c r="P936" i="8"/>
  <c r="P940" i="8"/>
  <c r="P942" i="8"/>
  <c r="P946" i="8"/>
  <c r="P953" i="8"/>
  <c r="P957" i="8"/>
  <c r="P964" i="8"/>
  <c r="P972" i="8"/>
  <c r="P982" i="8"/>
  <c r="P986" i="8"/>
  <c r="P987" i="8"/>
  <c r="Q903" i="8"/>
  <c r="Q905" i="8"/>
  <c r="Q906" i="8"/>
  <c r="Q908" i="8"/>
  <c r="Q910" i="8"/>
  <c r="Q912" i="8"/>
  <c r="Q917" i="8"/>
  <c r="Q921" i="8"/>
  <c r="Q925" i="8"/>
  <c r="Q936" i="8"/>
  <c r="Q940" i="8"/>
  <c r="Q942" i="8"/>
  <c r="Q946" i="8"/>
  <c r="Q953" i="8"/>
  <c r="Q957" i="8"/>
  <c r="Q964" i="8"/>
  <c r="Q972" i="8"/>
  <c r="Q982" i="8"/>
  <c r="Q986" i="8"/>
  <c r="Q987" i="8"/>
  <c r="O725" i="8"/>
  <c r="P725" i="8"/>
  <c r="Q725" i="8"/>
  <c r="O861" i="8"/>
  <c r="P861" i="8"/>
  <c r="Q861" i="8"/>
  <c r="O715" i="8"/>
  <c r="P715" i="8"/>
  <c r="Q715" i="8"/>
  <c r="O722" i="8"/>
  <c r="P722" i="8"/>
  <c r="Q722" i="8"/>
  <c r="O534" i="8"/>
  <c r="P534" i="8"/>
  <c r="Q534" i="8"/>
  <c r="O537" i="8"/>
  <c r="P537" i="8"/>
  <c r="Q537" i="8"/>
  <c r="O526" i="8"/>
  <c r="P526" i="8"/>
  <c r="Q526" i="8"/>
  <c r="O717" i="8"/>
  <c r="P717" i="8"/>
  <c r="Q717" i="8"/>
  <c r="O727" i="8"/>
  <c r="P727" i="8"/>
  <c r="Q727" i="8"/>
  <c r="O705" i="8"/>
  <c r="O706" i="8"/>
  <c r="O707" i="8"/>
  <c r="O708" i="8"/>
  <c r="O709" i="8"/>
  <c r="O710" i="8"/>
  <c r="O711" i="8"/>
  <c r="O712" i="8"/>
  <c r="O713" i="8"/>
  <c r="O714" i="8"/>
  <c r="O716" i="8"/>
  <c r="O718" i="8"/>
  <c r="O719" i="8"/>
  <c r="O720" i="8"/>
  <c r="O721" i="8"/>
  <c r="O723" i="8"/>
  <c r="O724" i="8"/>
  <c r="O726" i="8"/>
  <c r="O728" i="8"/>
  <c r="O729" i="8"/>
  <c r="O730" i="8"/>
  <c r="O739" i="8"/>
  <c r="O743" i="8"/>
  <c r="O748" i="8"/>
  <c r="O762" i="8"/>
  <c r="O763" i="8"/>
  <c r="O767" i="8"/>
  <c r="O790" i="8"/>
  <c r="O791" i="8"/>
  <c r="O795" i="8"/>
  <c r="O798" i="8"/>
  <c r="O799" i="8"/>
  <c r="O805" i="8"/>
  <c r="O819" i="8"/>
  <c r="O852" i="8"/>
  <c r="O860" i="8"/>
  <c r="O862" i="8"/>
  <c r="O864" i="8"/>
  <c r="O865" i="8"/>
  <c r="O867" i="8"/>
  <c r="O873" i="8"/>
  <c r="O874" i="8"/>
  <c r="O885" i="8"/>
  <c r="O887" i="8"/>
  <c r="O890" i="8"/>
  <c r="O891" i="8"/>
  <c r="O892" i="8"/>
  <c r="O897" i="8"/>
  <c r="P705" i="8"/>
  <c r="P706" i="8"/>
  <c r="P707" i="8"/>
  <c r="P708" i="8"/>
  <c r="P709" i="8"/>
  <c r="P710" i="8"/>
  <c r="P711" i="8"/>
  <c r="P712" i="8"/>
  <c r="P713" i="8"/>
  <c r="P714" i="8"/>
  <c r="P716" i="8"/>
  <c r="P718" i="8"/>
  <c r="P719" i="8"/>
  <c r="P720" i="8"/>
  <c r="P721" i="8"/>
  <c r="P723" i="8"/>
  <c r="P724" i="8"/>
  <c r="P726" i="8"/>
  <c r="P728" i="8"/>
  <c r="P729" i="8"/>
  <c r="P730" i="8"/>
  <c r="P739" i="8"/>
  <c r="P743" i="8"/>
  <c r="P748" i="8"/>
  <c r="P762" i="8"/>
  <c r="P763" i="8"/>
  <c r="P767" i="8"/>
  <c r="P790" i="8"/>
  <c r="P791" i="8"/>
  <c r="P795" i="8"/>
  <c r="P798" i="8"/>
  <c r="P799" i="8"/>
  <c r="P805" i="8"/>
  <c r="P819" i="8"/>
  <c r="P852" i="8"/>
  <c r="P860" i="8"/>
  <c r="P862" i="8"/>
  <c r="P864" i="8"/>
  <c r="P865" i="8"/>
  <c r="P867" i="8"/>
  <c r="P873" i="8"/>
  <c r="P874" i="8"/>
  <c r="P885" i="8"/>
  <c r="P887" i="8"/>
  <c r="P890" i="8"/>
  <c r="P891" i="8"/>
  <c r="P892" i="8"/>
  <c r="P897" i="8"/>
  <c r="Q705" i="8"/>
  <c r="Q706" i="8"/>
  <c r="Q707" i="8"/>
  <c r="Q708" i="8"/>
  <c r="Q709" i="8"/>
  <c r="Q710" i="8"/>
  <c r="Q711" i="8"/>
  <c r="Q712" i="8"/>
  <c r="Q713" i="8"/>
  <c r="Q714" i="8"/>
  <c r="Q716" i="8"/>
  <c r="Q718" i="8"/>
  <c r="Q719" i="8"/>
  <c r="Q720" i="8"/>
  <c r="Q721" i="8"/>
  <c r="Q723" i="8"/>
  <c r="Q724" i="8"/>
  <c r="Q726" i="8"/>
  <c r="Q728" i="8"/>
  <c r="Q729" i="8"/>
  <c r="Q730" i="8"/>
  <c r="Q739" i="8"/>
  <c r="Q743" i="8"/>
  <c r="Q748" i="8"/>
  <c r="Q762" i="8"/>
  <c r="Q763" i="8"/>
  <c r="Q767" i="8"/>
  <c r="Q790" i="8"/>
  <c r="Q791" i="8"/>
  <c r="Q795" i="8"/>
  <c r="Q798" i="8"/>
  <c r="Q799" i="8"/>
  <c r="Q805" i="8"/>
  <c r="Q819" i="8"/>
  <c r="Q852" i="8"/>
  <c r="Q860" i="8"/>
  <c r="Q862" i="8"/>
  <c r="Q864" i="8"/>
  <c r="Q865" i="8"/>
  <c r="Q867" i="8"/>
  <c r="Q873" i="8"/>
  <c r="Q874" i="8"/>
  <c r="Q885" i="8"/>
  <c r="Q887" i="8"/>
  <c r="Q890" i="8"/>
  <c r="Q891" i="8"/>
  <c r="Q892" i="8"/>
  <c r="Q897" i="8"/>
  <c r="O525" i="8"/>
  <c r="O527" i="8"/>
  <c r="O528" i="8"/>
  <c r="O529" i="8"/>
  <c r="O530" i="8"/>
  <c r="O532" i="8"/>
  <c r="O533" i="8"/>
  <c r="O535" i="8"/>
  <c r="O536" i="8"/>
  <c r="O538" i="8"/>
  <c r="O539" i="8"/>
  <c r="O540" i="8"/>
  <c r="O599" i="8"/>
  <c r="O618" i="8"/>
  <c r="O651" i="8"/>
  <c r="O659" i="8"/>
  <c r="O664" i="8"/>
  <c r="O667" i="8"/>
  <c r="O670" i="8"/>
  <c r="O699" i="8"/>
  <c r="O702" i="8"/>
  <c r="P525" i="8"/>
  <c r="P527" i="8"/>
  <c r="P528" i="8"/>
  <c r="P529" i="8"/>
  <c r="P530" i="8"/>
  <c r="P532" i="8"/>
  <c r="P533" i="8"/>
  <c r="P535" i="8"/>
  <c r="P536" i="8"/>
  <c r="P538" i="8"/>
  <c r="P539" i="8"/>
  <c r="P540" i="8"/>
  <c r="P599" i="8"/>
  <c r="P618" i="8"/>
  <c r="P651" i="8"/>
  <c r="P659" i="8"/>
  <c r="P664" i="8"/>
  <c r="P667" i="8"/>
  <c r="P670" i="8"/>
  <c r="P699" i="8"/>
  <c r="P702" i="8"/>
  <c r="Q525" i="8"/>
  <c r="Q527" i="8"/>
  <c r="Q528" i="8"/>
  <c r="Q529" i="8"/>
  <c r="Q530" i="8"/>
  <c r="Q532" i="8"/>
  <c r="Q533" i="8"/>
  <c r="Q535" i="8"/>
  <c r="Q536" i="8"/>
  <c r="Q538" i="8"/>
  <c r="Q539" i="8"/>
  <c r="Q540" i="8"/>
  <c r="Q599" i="8"/>
  <c r="Q618" i="8"/>
  <c r="Q651" i="8"/>
  <c r="Q659" i="8"/>
  <c r="Q664" i="8"/>
  <c r="Q667" i="8"/>
  <c r="Q670" i="8"/>
  <c r="Q699" i="8"/>
  <c r="Q702" i="8"/>
  <c r="Q2" i="8"/>
  <c r="Q3" i="8"/>
  <c r="Q4" i="8"/>
  <c r="Q5" i="8"/>
  <c r="Q6" i="8"/>
  <c r="Q7" i="8"/>
  <c r="Q8" i="8"/>
  <c r="Q9" i="8"/>
  <c r="Q10" i="8"/>
  <c r="Q11" i="8"/>
  <c r="Q12" i="8"/>
  <c r="Q13" i="8"/>
  <c r="Q14" i="8"/>
  <c r="Q15" i="8"/>
  <c r="Q16" i="8"/>
  <c r="Q17" i="8"/>
  <c r="Q18" i="8"/>
  <c r="Q20" i="8"/>
  <c r="Q21" i="8"/>
  <c r="Q22" i="8"/>
  <c r="Q23" i="8"/>
  <c r="Q24" i="8"/>
  <c r="Q26" i="8"/>
  <c r="Q28" i="8"/>
  <c r="Q29" i="8"/>
  <c r="Q30" i="8"/>
  <c r="Q35" i="8"/>
  <c r="Q36" i="8"/>
  <c r="Q37" i="8"/>
  <c r="Q38" i="8"/>
  <c r="Q39" i="8"/>
  <c r="Q40" i="8"/>
  <c r="Q41" i="8"/>
  <c r="Q43" i="8"/>
  <c r="Q44" i="8"/>
  <c r="Q46" i="8"/>
  <c r="Q47" i="8"/>
  <c r="Q54" i="8"/>
  <c r="Q55" i="8"/>
  <c r="Q57" i="8"/>
  <c r="Q61" i="8"/>
  <c r="Q62" i="8"/>
  <c r="Q65" i="8"/>
  <c r="Q66" i="8"/>
  <c r="Q67" i="8"/>
  <c r="Q68" i="8"/>
  <c r="Q69" i="8"/>
  <c r="Q71" i="8"/>
  <c r="Q72" i="8"/>
  <c r="Q73" i="8"/>
  <c r="Q75" i="8"/>
  <c r="Q76" i="8"/>
  <c r="Q77" i="8"/>
  <c r="Q79" i="8"/>
  <c r="Q80" i="8"/>
  <c r="Q81" i="8"/>
  <c r="Q82" i="8"/>
  <c r="Q85" i="8"/>
  <c r="Q87" i="8"/>
  <c r="Q88" i="8"/>
  <c r="Q89" i="8"/>
  <c r="Q95" i="8"/>
  <c r="Q96" i="8"/>
  <c r="Q98" i="8"/>
  <c r="Q99" i="8"/>
  <c r="Q100" i="8"/>
  <c r="Q101" i="8"/>
  <c r="Q102" i="8"/>
  <c r="Q103" i="8"/>
  <c r="Q105" i="8"/>
  <c r="Q107" i="8"/>
  <c r="Q109" i="8"/>
  <c r="Q111" i="8"/>
  <c r="Q113" i="8"/>
  <c r="Q114" i="8"/>
  <c r="Q117" i="8"/>
  <c r="Q119" i="8"/>
  <c r="Q120" i="8"/>
  <c r="Q122" i="8"/>
  <c r="Q123" i="8"/>
  <c r="Q124" i="8"/>
  <c r="Q125" i="8"/>
  <c r="Q128" i="8"/>
  <c r="Q130" i="8"/>
  <c r="Q131" i="8"/>
  <c r="Q132" i="8"/>
  <c r="Q133" i="8"/>
  <c r="Q135" i="8"/>
  <c r="Q136" i="8"/>
  <c r="Q137" i="8"/>
  <c r="Q138" i="8"/>
  <c r="Q139" i="8"/>
  <c r="Q140" i="8"/>
  <c r="Q141" i="8"/>
  <c r="Q144" i="8"/>
  <c r="Q145" i="8"/>
  <c r="Q148" i="8"/>
  <c r="Q150" i="8"/>
  <c r="Q151" i="8"/>
  <c r="Q153" i="8"/>
  <c r="Q154" i="8"/>
  <c r="Q155" i="8"/>
  <c r="Q159" i="8"/>
  <c r="Q162" i="8"/>
  <c r="Q163" i="8"/>
  <c r="Q166" i="8"/>
  <c r="Q167" i="8"/>
  <c r="Q168" i="8"/>
  <c r="Q172" i="8"/>
  <c r="Q173" i="8"/>
  <c r="Q175" i="8"/>
  <c r="Q178" i="8"/>
  <c r="Q179" i="8"/>
  <c r="Q183" i="8"/>
  <c r="Q184" i="8"/>
  <c r="Q185" i="8"/>
  <c r="Q187" i="8"/>
  <c r="Q191" i="8"/>
  <c r="Q192" i="8"/>
  <c r="Q195" i="8"/>
  <c r="Q202" i="8"/>
  <c r="Q209" i="8"/>
  <c r="Q213" i="8"/>
  <c r="Q214" i="8"/>
  <c r="Q215" i="8"/>
  <c r="Q216" i="8"/>
  <c r="Q217" i="8"/>
  <c r="Q218" i="8"/>
  <c r="Q219" i="8"/>
  <c r="Q220" i="8"/>
  <c r="Q221" i="8"/>
  <c r="Q222" i="8"/>
  <c r="Q224" i="8"/>
  <c r="Q225" i="8"/>
  <c r="Q227" i="8"/>
  <c r="Q228" i="8"/>
  <c r="Q229" i="8"/>
  <c r="Q230" i="8"/>
  <c r="Q232" i="8"/>
  <c r="Q235" i="8"/>
  <c r="Q236" i="8"/>
  <c r="Q238" i="8"/>
  <c r="Q240" i="8"/>
  <c r="Q242" i="8"/>
  <c r="Q243" i="8"/>
  <c r="Q245" i="8"/>
  <c r="Q246" i="8"/>
  <c r="Q248" i="8"/>
  <c r="Q250" i="8"/>
  <c r="Q254" i="8"/>
  <c r="Q258" i="8"/>
  <c r="Q263" i="8"/>
  <c r="Q269" i="8"/>
  <c r="Q270" i="8"/>
  <c r="Q271" i="8"/>
  <c r="Q272" i="8"/>
  <c r="Q273" i="8"/>
  <c r="Q274" i="8"/>
  <c r="Q276" i="8"/>
  <c r="Q278" i="8"/>
  <c r="Q280" i="8"/>
  <c r="Q305" i="8"/>
  <c r="Q319" i="8"/>
  <c r="Q324" i="8"/>
  <c r="Q325" i="8"/>
  <c r="Q326" i="8"/>
  <c r="Q327" i="8"/>
  <c r="Q338" i="8"/>
  <c r="Q340" i="8"/>
  <c r="Q342" i="8"/>
  <c r="Q344" i="8"/>
  <c r="Q345" i="8"/>
  <c r="Q347" i="8"/>
  <c r="Q351" i="8"/>
  <c r="Q352" i="8"/>
  <c r="Q353" i="8"/>
  <c r="Q354" i="8"/>
  <c r="Q355" i="8"/>
  <c r="Q356" i="8"/>
  <c r="Q358" i="8"/>
  <c r="Q359" i="8"/>
  <c r="Q360" i="8"/>
  <c r="Q362" i="8"/>
  <c r="Q363" i="8"/>
  <c r="Q365" i="8"/>
  <c r="Q368" i="8"/>
  <c r="Q369" i="8"/>
  <c r="Q371" i="8"/>
  <c r="Q372" i="8"/>
  <c r="Q374" i="8"/>
  <c r="Q377" i="8"/>
  <c r="Q378" i="8"/>
  <c r="Q379" i="8"/>
  <c r="Q381" i="8"/>
  <c r="Q385" i="8"/>
  <c r="Q388" i="8"/>
  <c r="Q389" i="8"/>
  <c r="Q390" i="8"/>
  <c r="Q398" i="8"/>
  <c r="Q399" i="8"/>
  <c r="Q403" i="8"/>
  <c r="Q404" i="8"/>
  <c r="Q406" i="8"/>
  <c r="Q407" i="8"/>
  <c r="Q414" i="8"/>
  <c r="Q415" i="8"/>
  <c r="Q417" i="8"/>
  <c r="Q419" i="8"/>
  <c r="Q420" i="8"/>
  <c r="Q422" i="8"/>
  <c r="Q428" i="8"/>
  <c r="Q430" i="8"/>
  <c r="Q433" i="8"/>
  <c r="Q435" i="8"/>
  <c r="Q436" i="8"/>
  <c r="Q437" i="8"/>
  <c r="Q438" i="8"/>
  <c r="Q439" i="8"/>
  <c r="Q440" i="8"/>
  <c r="Q441" i="8"/>
  <c r="Q442" i="8"/>
  <c r="Q443" i="8"/>
  <c r="Q444" i="8"/>
  <c r="Q445" i="8"/>
  <c r="Q446" i="8"/>
  <c r="Q447" i="8"/>
  <c r="Q448" i="8"/>
  <c r="Q449" i="8"/>
  <c r="Q450" i="8"/>
  <c r="Q451" i="8"/>
  <c r="Q452" i="8"/>
  <c r="Q458" i="8"/>
  <c r="Q463" i="8"/>
  <c r="Q464" i="8"/>
  <c r="Q466" i="8"/>
  <c r="Q467" i="8"/>
  <c r="Q468" i="8"/>
  <c r="Q469" i="8"/>
  <c r="Q472" i="8"/>
  <c r="Q473" i="8"/>
  <c r="Q477" i="8"/>
  <c r="Q478" i="8"/>
  <c r="Q480" i="8"/>
  <c r="Q483" i="8"/>
  <c r="Q487" i="8"/>
  <c r="Q491" i="8"/>
  <c r="Q492" i="8"/>
  <c r="Q493" i="8"/>
  <c r="Q494" i="8"/>
  <c r="Q495" i="8"/>
  <c r="Q497" i="8"/>
  <c r="Q499" i="8"/>
  <c r="Q501" i="8"/>
  <c r="Q503" i="8"/>
  <c r="Q504" i="8"/>
  <c r="Q509" i="8"/>
  <c r="Q510" i="8"/>
  <c r="Q511" i="8"/>
  <c r="Q514" i="8"/>
  <c r="Q515" i="8"/>
  <c r="Q516" i="8"/>
  <c r="Q523" i="8"/>
  <c r="P2" i="8"/>
  <c r="P3" i="8"/>
  <c r="P4" i="8"/>
  <c r="P5" i="8"/>
  <c r="P6" i="8"/>
  <c r="P7" i="8"/>
  <c r="P8" i="8"/>
  <c r="P9" i="8"/>
  <c r="P10" i="8"/>
  <c r="P11" i="8"/>
  <c r="P12" i="8"/>
  <c r="P13" i="8"/>
  <c r="P14" i="8"/>
  <c r="P15" i="8"/>
  <c r="P16" i="8"/>
  <c r="P17" i="8"/>
  <c r="P18" i="8"/>
  <c r="P20" i="8"/>
  <c r="P21" i="8"/>
  <c r="P22" i="8"/>
  <c r="P23" i="8"/>
  <c r="P24" i="8"/>
  <c r="P26" i="8"/>
  <c r="P28" i="8"/>
  <c r="P29" i="8"/>
  <c r="P30" i="8"/>
  <c r="P35" i="8"/>
  <c r="P36" i="8"/>
  <c r="P37" i="8"/>
  <c r="P38" i="8"/>
  <c r="P39" i="8"/>
  <c r="P40" i="8"/>
  <c r="P41" i="8"/>
  <c r="P43" i="8"/>
  <c r="P44" i="8"/>
  <c r="P46" i="8"/>
  <c r="P47" i="8"/>
  <c r="P54" i="8"/>
  <c r="P55" i="8"/>
  <c r="P57" i="8"/>
  <c r="P61" i="8"/>
  <c r="P62" i="8"/>
  <c r="P65" i="8"/>
  <c r="P66" i="8"/>
  <c r="P67" i="8"/>
  <c r="P68" i="8"/>
  <c r="P69" i="8"/>
  <c r="P71" i="8"/>
  <c r="P72" i="8"/>
  <c r="P73" i="8"/>
  <c r="P75" i="8"/>
  <c r="P76" i="8"/>
  <c r="P77" i="8"/>
  <c r="P79" i="8"/>
  <c r="P80" i="8"/>
  <c r="P81" i="8"/>
  <c r="P82" i="8"/>
  <c r="P85" i="8"/>
  <c r="P87" i="8"/>
  <c r="P88" i="8"/>
  <c r="P89" i="8"/>
  <c r="P95" i="8"/>
  <c r="P96" i="8"/>
  <c r="P98" i="8"/>
  <c r="P99" i="8"/>
  <c r="P100" i="8"/>
  <c r="P101" i="8"/>
  <c r="P102" i="8"/>
  <c r="P103" i="8"/>
  <c r="P105" i="8"/>
  <c r="P107" i="8"/>
  <c r="P109" i="8"/>
  <c r="P111" i="8"/>
  <c r="P113" i="8"/>
  <c r="P114" i="8"/>
  <c r="P117" i="8"/>
  <c r="P119" i="8"/>
  <c r="P120" i="8"/>
  <c r="P122" i="8"/>
  <c r="P123" i="8"/>
  <c r="P124" i="8"/>
  <c r="P125" i="8"/>
  <c r="P128" i="8"/>
  <c r="P130" i="8"/>
  <c r="P131" i="8"/>
  <c r="P132" i="8"/>
  <c r="P133" i="8"/>
  <c r="P135" i="8"/>
  <c r="P136" i="8"/>
  <c r="P137" i="8"/>
  <c r="P138" i="8"/>
  <c r="P139" i="8"/>
  <c r="P140" i="8"/>
  <c r="P141" i="8"/>
  <c r="P144" i="8"/>
  <c r="P145" i="8"/>
  <c r="P148" i="8"/>
  <c r="P150" i="8"/>
  <c r="P151" i="8"/>
  <c r="P153" i="8"/>
  <c r="P154" i="8"/>
  <c r="P155" i="8"/>
  <c r="P159" i="8"/>
  <c r="P162" i="8"/>
  <c r="P163" i="8"/>
  <c r="P166" i="8"/>
  <c r="P167" i="8"/>
  <c r="P168" i="8"/>
  <c r="P172" i="8"/>
  <c r="P173" i="8"/>
  <c r="P175" i="8"/>
  <c r="P178" i="8"/>
  <c r="P179" i="8"/>
  <c r="P183" i="8"/>
  <c r="P184" i="8"/>
  <c r="P185" i="8"/>
  <c r="P187" i="8"/>
  <c r="P191" i="8"/>
  <c r="P192" i="8"/>
  <c r="P195" i="8"/>
  <c r="P202" i="8"/>
  <c r="P209" i="8"/>
  <c r="P213" i="8"/>
  <c r="P214" i="8"/>
  <c r="P215" i="8"/>
  <c r="P216" i="8"/>
  <c r="P217" i="8"/>
  <c r="P218" i="8"/>
  <c r="P219" i="8"/>
  <c r="P220" i="8"/>
  <c r="P221" i="8"/>
  <c r="P222" i="8"/>
  <c r="P224" i="8"/>
  <c r="P225" i="8"/>
  <c r="P227" i="8"/>
  <c r="P228" i="8"/>
  <c r="P229" i="8"/>
  <c r="P230" i="8"/>
  <c r="P232" i="8"/>
  <c r="P235" i="8"/>
  <c r="P236" i="8"/>
  <c r="P238" i="8"/>
  <c r="P240" i="8"/>
  <c r="P242" i="8"/>
  <c r="P243" i="8"/>
  <c r="P245" i="8"/>
  <c r="P246" i="8"/>
  <c r="P248" i="8"/>
  <c r="P250" i="8"/>
  <c r="P254" i="8"/>
  <c r="P258" i="8"/>
  <c r="P263" i="8"/>
  <c r="P269" i="8"/>
  <c r="P270" i="8"/>
  <c r="P271" i="8"/>
  <c r="P272" i="8"/>
  <c r="P273" i="8"/>
  <c r="P274" i="8"/>
  <c r="P276" i="8"/>
  <c r="P278" i="8"/>
  <c r="P280" i="8"/>
  <c r="P305" i="8"/>
  <c r="P319" i="8"/>
  <c r="P324" i="8"/>
  <c r="P325" i="8"/>
  <c r="P326" i="8"/>
  <c r="P327" i="8"/>
  <c r="P338" i="8"/>
  <c r="P340" i="8"/>
  <c r="P342" i="8"/>
  <c r="P344" i="8"/>
  <c r="P345" i="8"/>
  <c r="P347" i="8"/>
  <c r="P351" i="8"/>
  <c r="P352" i="8"/>
  <c r="P353" i="8"/>
  <c r="P354" i="8"/>
  <c r="P355" i="8"/>
  <c r="P356" i="8"/>
  <c r="P358" i="8"/>
  <c r="P359" i="8"/>
  <c r="P360" i="8"/>
  <c r="P362" i="8"/>
  <c r="P363" i="8"/>
  <c r="P365" i="8"/>
  <c r="P368" i="8"/>
  <c r="P369" i="8"/>
  <c r="P371" i="8"/>
  <c r="P372" i="8"/>
  <c r="P374" i="8"/>
  <c r="P377" i="8"/>
  <c r="P378" i="8"/>
  <c r="P379" i="8"/>
  <c r="P381" i="8"/>
  <c r="P385" i="8"/>
  <c r="P388" i="8"/>
  <c r="P389" i="8"/>
  <c r="P390" i="8"/>
  <c r="P398" i="8"/>
  <c r="P399" i="8"/>
  <c r="P403" i="8"/>
  <c r="P404" i="8"/>
  <c r="P406" i="8"/>
  <c r="P407" i="8"/>
  <c r="P414" i="8"/>
  <c r="P415" i="8"/>
  <c r="P417" i="8"/>
  <c r="P419" i="8"/>
  <c r="P420" i="8"/>
  <c r="P422" i="8"/>
  <c r="P428" i="8"/>
  <c r="P430" i="8"/>
  <c r="P433" i="8"/>
  <c r="P435" i="8"/>
  <c r="P436" i="8"/>
  <c r="P437" i="8"/>
  <c r="P438" i="8"/>
  <c r="P439" i="8"/>
  <c r="P440" i="8"/>
  <c r="P441" i="8"/>
  <c r="P442" i="8"/>
  <c r="P443" i="8"/>
  <c r="P444" i="8"/>
  <c r="P445" i="8"/>
  <c r="P446" i="8"/>
  <c r="P447" i="8"/>
  <c r="P448" i="8"/>
  <c r="P449" i="8"/>
  <c r="P450" i="8"/>
  <c r="P451" i="8"/>
  <c r="P452" i="8"/>
  <c r="P458" i="8"/>
  <c r="P463" i="8"/>
  <c r="P464" i="8"/>
  <c r="P466" i="8"/>
  <c r="P467" i="8"/>
  <c r="P468" i="8"/>
  <c r="P469" i="8"/>
  <c r="P472" i="8"/>
  <c r="P473" i="8"/>
  <c r="P477" i="8"/>
  <c r="P478" i="8"/>
  <c r="P480" i="8"/>
  <c r="P483" i="8"/>
  <c r="P487" i="8"/>
  <c r="P491" i="8"/>
  <c r="P492" i="8"/>
  <c r="P493" i="8"/>
  <c r="P494" i="8"/>
  <c r="P495" i="8"/>
  <c r="P497" i="8"/>
  <c r="P499" i="8"/>
  <c r="P501" i="8"/>
  <c r="P503" i="8"/>
  <c r="P504" i="8"/>
  <c r="P509" i="8"/>
  <c r="P510" i="8"/>
  <c r="P511" i="8"/>
  <c r="P514" i="8"/>
  <c r="P515" i="8"/>
  <c r="P516" i="8"/>
  <c r="P523" i="8"/>
  <c r="O2" i="8"/>
  <c r="O3" i="8"/>
  <c r="O4" i="8"/>
  <c r="O5" i="8"/>
  <c r="O6" i="8"/>
  <c r="O7" i="8"/>
  <c r="O8" i="8"/>
  <c r="O9" i="8"/>
  <c r="O10" i="8"/>
  <c r="O11" i="8"/>
  <c r="O12" i="8"/>
  <c r="O13" i="8"/>
  <c r="O14" i="8"/>
  <c r="O15" i="8"/>
  <c r="O16" i="8"/>
  <c r="O17" i="8"/>
  <c r="O18" i="8"/>
  <c r="O20" i="8"/>
  <c r="O21" i="8"/>
  <c r="O22" i="8"/>
  <c r="O23" i="8"/>
  <c r="O24" i="8"/>
  <c r="O26" i="8"/>
  <c r="O28" i="8"/>
  <c r="O29" i="8"/>
  <c r="O30" i="8"/>
  <c r="O35" i="8"/>
  <c r="O36" i="8"/>
  <c r="O37" i="8"/>
  <c r="O38" i="8"/>
  <c r="O39" i="8"/>
  <c r="O40" i="8"/>
  <c r="O41" i="8"/>
  <c r="O43" i="8"/>
  <c r="O44" i="8"/>
  <c r="O46" i="8"/>
  <c r="O47" i="8"/>
  <c r="O54" i="8"/>
  <c r="O55" i="8"/>
  <c r="O57" i="8"/>
  <c r="O61" i="8"/>
  <c r="O62" i="8"/>
  <c r="O65" i="8"/>
  <c r="O66" i="8"/>
  <c r="O67" i="8"/>
  <c r="O68" i="8"/>
  <c r="O69" i="8"/>
  <c r="O71" i="8"/>
  <c r="O72" i="8"/>
  <c r="O73" i="8"/>
  <c r="O75" i="8"/>
  <c r="O76" i="8"/>
  <c r="O77" i="8"/>
  <c r="O79" i="8"/>
  <c r="O80" i="8"/>
  <c r="O81" i="8"/>
  <c r="O82" i="8"/>
  <c r="O85" i="8"/>
  <c r="O87" i="8"/>
  <c r="O88" i="8"/>
  <c r="O89" i="8"/>
  <c r="O95" i="8"/>
  <c r="O96" i="8"/>
  <c r="O98" i="8"/>
  <c r="O99" i="8"/>
  <c r="O100" i="8"/>
  <c r="O101" i="8"/>
  <c r="O102" i="8"/>
  <c r="O103" i="8"/>
  <c r="O105" i="8"/>
  <c r="O107" i="8"/>
  <c r="O109" i="8"/>
  <c r="O111" i="8"/>
  <c r="O113" i="8"/>
  <c r="O114" i="8"/>
  <c r="O117" i="8"/>
  <c r="O119" i="8"/>
  <c r="O120" i="8"/>
  <c r="O122" i="8"/>
  <c r="O123" i="8"/>
  <c r="O124" i="8"/>
  <c r="O125" i="8"/>
  <c r="O128" i="8"/>
  <c r="O130" i="8"/>
  <c r="O131" i="8"/>
  <c r="O132" i="8"/>
  <c r="O133" i="8"/>
  <c r="O135" i="8"/>
  <c r="O136" i="8"/>
  <c r="O137" i="8"/>
  <c r="O138" i="8"/>
  <c r="O139" i="8"/>
  <c r="O140" i="8"/>
  <c r="O141" i="8"/>
  <c r="O144" i="8"/>
  <c r="O145" i="8"/>
  <c r="O148" i="8"/>
  <c r="O150" i="8"/>
  <c r="O151" i="8"/>
  <c r="O153" i="8"/>
  <c r="O154" i="8"/>
  <c r="O155" i="8"/>
  <c r="O159" i="8"/>
  <c r="O162" i="8"/>
  <c r="O163" i="8"/>
  <c r="O166" i="8"/>
  <c r="O167" i="8"/>
  <c r="O168" i="8"/>
  <c r="O172" i="8"/>
  <c r="O173" i="8"/>
  <c r="O175" i="8"/>
  <c r="O178" i="8"/>
  <c r="O179" i="8"/>
  <c r="O183" i="8"/>
  <c r="O184" i="8"/>
  <c r="O185" i="8"/>
  <c r="O187" i="8"/>
  <c r="O191" i="8"/>
  <c r="O192" i="8"/>
  <c r="O195" i="8"/>
  <c r="O202" i="8"/>
  <c r="O209" i="8"/>
  <c r="O213" i="8"/>
  <c r="O214" i="8"/>
  <c r="O215" i="8"/>
  <c r="O216" i="8"/>
  <c r="O217" i="8"/>
  <c r="O218" i="8"/>
  <c r="O219" i="8"/>
  <c r="O220" i="8"/>
  <c r="O221" i="8"/>
  <c r="O222" i="8"/>
  <c r="O224" i="8"/>
  <c r="O225" i="8"/>
  <c r="O227" i="8"/>
  <c r="O228" i="8"/>
  <c r="O229" i="8"/>
  <c r="O230" i="8"/>
  <c r="O232" i="8"/>
  <c r="O235" i="8"/>
  <c r="O236" i="8"/>
  <c r="O238" i="8"/>
  <c r="O240" i="8"/>
  <c r="O242" i="8"/>
  <c r="O243" i="8"/>
  <c r="O245" i="8"/>
  <c r="O246" i="8"/>
  <c r="O248" i="8"/>
  <c r="O250" i="8"/>
  <c r="O254" i="8"/>
  <c r="O258" i="8"/>
  <c r="O263" i="8"/>
  <c r="O269" i="8"/>
  <c r="O270" i="8"/>
  <c r="O271" i="8"/>
  <c r="O272" i="8"/>
  <c r="O273" i="8"/>
  <c r="O274" i="8"/>
  <c r="O276" i="8"/>
  <c r="O278" i="8"/>
  <c r="O280" i="8"/>
  <c r="O305" i="8"/>
  <c r="O319" i="8"/>
  <c r="O324" i="8"/>
  <c r="O325" i="8"/>
  <c r="O326" i="8"/>
  <c r="O327" i="8"/>
  <c r="O338" i="8"/>
  <c r="O340" i="8"/>
  <c r="O342" i="8"/>
  <c r="O344" i="8"/>
  <c r="O345" i="8"/>
  <c r="O347" i="8"/>
  <c r="O351" i="8"/>
  <c r="O352" i="8"/>
  <c r="O353" i="8"/>
  <c r="O354" i="8"/>
  <c r="O355" i="8"/>
  <c r="O356" i="8"/>
  <c r="O358" i="8"/>
  <c r="O359" i="8"/>
  <c r="O360" i="8"/>
  <c r="O362" i="8"/>
  <c r="O363" i="8"/>
  <c r="O365" i="8"/>
  <c r="O368" i="8"/>
  <c r="O369" i="8"/>
  <c r="O371" i="8"/>
  <c r="O372" i="8"/>
  <c r="O374" i="8"/>
  <c r="O377" i="8"/>
  <c r="O378" i="8"/>
  <c r="O379" i="8"/>
  <c r="O381" i="8"/>
  <c r="O385" i="8"/>
  <c r="O388" i="8"/>
  <c r="O389" i="8"/>
  <c r="O390" i="8"/>
  <c r="O398" i="8"/>
  <c r="O399" i="8"/>
  <c r="O403" i="8"/>
  <c r="O404" i="8"/>
  <c r="O406" i="8"/>
  <c r="O407" i="8"/>
  <c r="O414" i="8"/>
  <c r="O415" i="8"/>
  <c r="O417" i="8"/>
  <c r="O419" i="8"/>
  <c r="O420" i="8"/>
  <c r="O422" i="8"/>
  <c r="O428" i="8"/>
  <c r="O430" i="8"/>
  <c r="O433" i="8"/>
  <c r="O435" i="8"/>
  <c r="O436" i="8"/>
  <c r="O437" i="8"/>
  <c r="O438" i="8"/>
  <c r="O439" i="8"/>
  <c r="O440" i="8"/>
  <c r="O441" i="8"/>
  <c r="O442" i="8"/>
  <c r="O443" i="8"/>
  <c r="O444" i="8"/>
  <c r="O445" i="8"/>
  <c r="O446" i="8"/>
  <c r="O447" i="8"/>
  <c r="O448" i="8"/>
  <c r="O449" i="8"/>
  <c r="O450" i="8"/>
  <c r="O451" i="8"/>
  <c r="O452" i="8"/>
  <c r="O458" i="8"/>
  <c r="O463" i="8"/>
  <c r="O464" i="8"/>
  <c r="O466" i="8"/>
  <c r="O467" i="8"/>
  <c r="O468" i="8"/>
  <c r="O469" i="8"/>
  <c r="O472" i="8"/>
  <c r="O473" i="8"/>
  <c r="O477" i="8"/>
  <c r="O478" i="8"/>
  <c r="O480" i="8"/>
  <c r="O483" i="8"/>
  <c r="O487" i="8"/>
  <c r="O491" i="8"/>
  <c r="O492" i="8"/>
  <c r="O493" i="8"/>
  <c r="O494" i="8"/>
  <c r="O495" i="8"/>
  <c r="O497" i="8"/>
  <c r="O499" i="8"/>
  <c r="O501" i="8"/>
  <c r="O503" i="8"/>
  <c r="O504" i="8"/>
  <c r="O509" i="8"/>
  <c r="O510" i="8"/>
  <c r="O511" i="8"/>
  <c r="O514" i="8"/>
  <c r="O515" i="8"/>
  <c r="O516" i="8"/>
  <c r="O523" i="8"/>
  <c r="AF885" i="8" l="1"/>
  <c r="AF131" i="12"/>
  <c r="AF139" i="12"/>
  <c r="AF155" i="12"/>
  <c r="AF163" i="12"/>
  <c r="AF179" i="12"/>
  <c r="AF187" i="12"/>
  <c r="AF195" i="12"/>
  <c r="AF219" i="12"/>
  <c r="AF227" i="12"/>
  <c r="AF235" i="12"/>
  <c r="AF243" i="12"/>
  <c r="AF347" i="12"/>
  <c r="AF355" i="12"/>
  <c r="AF363" i="12"/>
  <c r="AF371" i="12"/>
  <c r="AF379" i="12"/>
  <c r="AF403" i="12"/>
  <c r="AF861" i="8"/>
  <c r="AF917" i="8"/>
  <c r="AF37" i="8"/>
  <c r="AF925" i="8"/>
  <c r="AF957" i="8"/>
  <c r="AF717" i="8"/>
  <c r="AF1085" i="8"/>
  <c r="AF725" i="8"/>
  <c r="AF1117" i="8"/>
  <c r="AF805" i="8"/>
  <c r="AF1133" i="8"/>
  <c r="AF4" i="8"/>
  <c r="AF12" i="8"/>
  <c r="AF20" i="8"/>
  <c r="AF28" i="8"/>
  <c r="AF36" i="8"/>
  <c r="AF44" i="8"/>
  <c r="AF68" i="8"/>
  <c r="AF76" i="8"/>
  <c r="AF100" i="8"/>
  <c r="AF124" i="8"/>
  <c r="AF132" i="8"/>
  <c r="AF140" i="8"/>
  <c r="AF148" i="8"/>
  <c r="AF172" i="8"/>
  <c r="AF220" i="8"/>
  <c r="AF228" i="8"/>
  <c r="AF236" i="8"/>
  <c r="AF276" i="8"/>
  <c r="AF324" i="8"/>
  <c r="AF340" i="8"/>
  <c r="AF356" i="8"/>
  <c r="AF372" i="8"/>
  <c r="AF388" i="8"/>
  <c r="AF404" i="8"/>
  <c r="AF420" i="8"/>
  <c r="AF428" i="8"/>
  <c r="AF436" i="8"/>
  <c r="AF452" i="8"/>
  <c r="AF468" i="8"/>
  <c r="AF492" i="8"/>
  <c r="AF516" i="8"/>
  <c r="AF532" i="8"/>
  <c r="AF540" i="8"/>
  <c r="AF708" i="8"/>
  <c r="AF716" i="8"/>
  <c r="AF724" i="8"/>
  <c r="AF748" i="8"/>
  <c r="AF852" i="8"/>
  <c r="AF860" i="8"/>
  <c r="AF892" i="8"/>
  <c r="AF908" i="8"/>
  <c r="AF940" i="8"/>
  <c r="AF964" i="8"/>
  <c r="AF972" i="8"/>
  <c r="AF996" i="8"/>
  <c r="AF1036" i="8"/>
  <c r="AF1052" i="8"/>
  <c r="AF1092" i="8"/>
  <c r="AF1116" i="8"/>
  <c r="AF1132" i="8"/>
  <c r="AF5" i="8"/>
  <c r="AF13" i="8"/>
  <c r="AF21" i="8"/>
  <c r="AF29" i="8"/>
  <c r="AF61" i="8"/>
  <c r="AF69" i="8"/>
  <c r="AF77" i="8"/>
  <c r="AF85" i="8"/>
  <c r="AF101" i="8"/>
  <c r="AF109" i="8"/>
  <c r="AF117" i="8"/>
  <c r="AF125" i="8"/>
  <c r="AF133" i="8"/>
  <c r="AF141" i="8"/>
  <c r="AF173" i="8"/>
  <c r="AF213" i="8"/>
  <c r="AF221" i="8"/>
  <c r="AF229" i="8"/>
  <c r="AF245" i="8"/>
  <c r="AF269" i="8"/>
  <c r="AF325" i="8"/>
  <c r="AF365" i="8"/>
  <c r="AF381" i="8"/>
  <c r="AF389" i="8"/>
  <c r="AF437" i="8"/>
  <c r="AF445" i="8"/>
  <c r="AF469" i="8"/>
  <c r="AF477" i="8"/>
  <c r="AF493" i="8"/>
  <c r="AF501" i="8"/>
  <c r="AF509" i="8"/>
  <c r="AF525" i="8"/>
  <c r="AF997" i="8"/>
  <c r="AF6" i="8"/>
  <c r="AF14" i="8"/>
  <c r="AF22" i="8"/>
  <c r="AF30" i="8"/>
  <c r="AF38" i="8"/>
  <c r="AF46" i="8"/>
  <c r="AF54" i="8"/>
  <c r="AF62" i="8"/>
  <c r="AF102" i="8"/>
  <c r="AF150" i="8"/>
  <c r="AF166" i="8"/>
  <c r="AF214" i="8"/>
  <c r="AF222" i="8"/>
  <c r="AF230" i="8"/>
  <c r="AF238" i="8"/>
  <c r="AF246" i="8"/>
  <c r="AF254" i="8"/>
  <c r="AF270" i="8"/>
  <c r="AF278" i="8"/>
  <c r="AF326" i="8"/>
  <c r="AF342" i="8"/>
  <c r="AF358" i="8"/>
  <c r="AF374" i="8"/>
  <c r="AF390" i="8"/>
  <c r="AF398" i="8"/>
  <c r="AF406" i="8"/>
  <c r="AF414" i="8"/>
  <c r="AF422" i="8"/>
  <c r="AF430" i="8"/>
  <c r="AF438" i="8"/>
  <c r="AF446" i="8"/>
  <c r="AF478" i="8"/>
  <c r="AF494" i="8"/>
  <c r="AF510" i="8"/>
  <c r="AF526" i="8"/>
  <c r="AF534" i="8"/>
  <c r="AF670" i="8"/>
  <c r="AF702" i="8"/>
  <c r="AF710" i="8"/>
  <c r="AF718" i="8"/>
  <c r="AF726" i="8"/>
  <c r="AF790" i="8"/>
  <c r="AF798" i="8"/>
  <c r="AF862" i="8"/>
  <c r="AF910" i="8"/>
  <c r="AF942" i="8"/>
  <c r="AF982" i="8"/>
  <c r="AF998" i="8"/>
  <c r="AF1014" i="8"/>
  <c r="AF1022" i="8"/>
  <c r="AF1046" i="8"/>
  <c r="AF1062" i="8"/>
  <c r="AF1070" i="8"/>
  <c r="AF1086" i="8"/>
  <c r="AF1094" i="8"/>
  <c r="AF1134" i="8"/>
  <c r="AF7" i="8"/>
  <c r="AF15" i="8"/>
  <c r="AF23" i="8"/>
  <c r="AF39" i="8"/>
  <c r="AF47" i="8"/>
  <c r="AF55" i="8"/>
  <c r="AF71" i="8"/>
  <c r="AF79" i="8"/>
  <c r="AF87" i="8"/>
  <c r="AF95" i="8"/>
  <c r="AF103" i="8"/>
  <c r="AF111" i="8"/>
  <c r="AF119" i="8"/>
  <c r="AF135" i="8"/>
  <c r="AF151" i="8"/>
  <c r="AF159" i="8"/>
  <c r="AF167" i="8"/>
  <c r="AF175" i="8"/>
  <c r="AF183" i="8"/>
  <c r="AF191" i="8"/>
  <c r="AF215" i="8"/>
  <c r="AF271" i="8"/>
  <c r="AF319" i="8"/>
  <c r="AF327" i="8"/>
  <c r="AF351" i="8"/>
  <c r="AF359" i="8"/>
  <c r="AF399" i="8"/>
  <c r="AF407" i="8"/>
  <c r="AF415" i="8"/>
  <c r="AF439" i="8"/>
  <c r="AF447" i="8"/>
  <c r="AF463" i="8"/>
  <c r="AF487" i="8"/>
  <c r="AF495" i="8"/>
  <c r="AF503" i="8"/>
  <c r="AF511" i="8"/>
  <c r="AF527" i="8"/>
  <c r="AF535" i="8"/>
  <c r="AF599" i="8"/>
  <c r="AF711" i="8"/>
  <c r="AF719" i="8"/>
  <c r="AF727" i="8"/>
  <c r="AF743" i="8"/>
  <c r="AF767" i="8"/>
  <c r="AF791" i="8"/>
  <c r="AF799" i="8"/>
  <c r="AF887" i="8"/>
  <c r="AF903" i="8"/>
  <c r="AF999" i="8"/>
  <c r="AF1087" i="8"/>
  <c r="AF1095" i="8"/>
  <c r="AF1103" i="8"/>
  <c r="AF1119" i="8"/>
  <c r="AF1135" i="8"/>
  <c r="AF8" i="8"/>
  <c r="AF16" i="8"/>
  <c r="AF24" i="8"/>
  <c r="AF40" i="8"/>
  <c r="AF72" i="8"/>
  <c r="AF80" i="8"/>
  <c r="AF88" i="8"/>
  <c r="AF96" i="8"/>
  <c r="AF120" i="8"/>
  <c r="AF128" i="8"/>
  <c r="AF136" i="8"/>
  <c r="AF144" i="8"/>
  <c r="AF168" i="8"/>
  <c r="AF184" i="8"/>
  <c r="AF192" i="8"/>
  <c r="AF216" i="8"/>
  <c r="AF224" i="8"/>
  <c r="AF232" i="8"/>
  <c r="AF240" i="8"/>
  <c r="AF248" i="8"/>
  <c r="AF272" i="8"/>
  <c r="AF280" i="8"/>
  <c r="AF344" i="8"/>
  <c r="AF352" i="8"/>
  <c r="AF360" i="8"/>
  <c r="AF368" i="8"/>
  <c r="AF440" i="8"/>
  <c r="AF448" i="8"/>
  <c r="AF464" i="8"/>
  <c r="AF472" i="8"/>
  <c r="AF480" i="8"/>
  <c r="AF504" i="8"/>
  <c r="AF528" i="8"/>
  <c r="AF536" i="8"/>
  <c r="AF664" i="8"/>
  <c r="AF712" i="8"/>
  <c r="AF720" i="8"/>
  <c r="AF728" i="8"/>
  <c r="AF864" i="8"/>
  <c r="AF912" i="8"/>
  <c r="AF936" i="8"/>
  <c r="AF1000" i="8"/>
  <c r="AF1040" i="8"/>
  <c r="AF1048" i="8"/>
  <c r="AF1104" i="8"/>
  <c r="AF1120" i="8"/>
  <c r="AF1128" i="8"/>
  <c r="AF1136" i="8"/>
  <c r="AF9" i="8"/>
  <c r="AF17" i="8"/>
  <c r="AF41" i="8"/>
  <c r="AF57" i="8"/>
  <c r="AF65" i="8"/>
  <c r="AF73" i="8"/>
  <c r="AF81" i="8"/>
  <c r="AF89" i="8"/>
  <c r="AF105" i="8"/>
  <c r="AF113" i="8"/>
  <c r="AF137" i="8"/>
  <c r="AF145" i="8"/>
  <c r="AF153" i="8"/>
  <c r="AF185" i="8"/>
  <c r="AF209" i="8"/>
  <c r="AF217" i="8"/>
  <c r="AF225" i="8"/>
  <c r="AF273" i="8"/>
  <c r="AF305" i="8"/>
  <c r="AF345" i="8"/>
  <c r="AF353" i="8"/>
  <c r="AF369" i="8"/>
  <c r="AF377" i="8"/>
  <c r="AF385" i="8"/>
  <c r="AF417" i="8"/>
  <c r="AF433" i="8"/>
  <c r="AF441" i="8"/>
  <c r="AF449" i="8"/>
  <c r="AF473" i="8"/>
  <c r="AF497" i="8"/>
  <c r="AF529" i="8"/>
  <c r="AF537" i="8"/>
  <c r="AF705" i="8"/>
  <c r="AF713" i="8"/>
  <c r="AF721" i="8"/>
  <c r="AF729" i="8"/>
  <c r="AF865" i="8"/>
  <c r="AF873" i="8"/>
  <c r="AF897" i="8"/>
  <c r="AF905" i="8"/>
  <c r="AF921" i="8"/>
  <c r="AF953" i="8"/>
  <c r="AF1001" i="8"/>
  <c r="AF1009" i="8"/>
  <c r="AF1041" i="8"/>
  <c r="AF1089" i="8"/>
  <c r="AF1105" i="8"/>
  <c r="AF1113" i="8"/>
  <c r="AF1121" i="8"/>
  <c r="AF1137" i="8"/>
  <c r="AF2" i="8"/>
  <c r="AF18" i="8"/>
  <c r="AF26" i="8"/>
  <c r="AF66" i="8"/>
  <c r="AF82" i="8"/>
  <c r="AF98" i="8"/>
  <c r="AF114" i="8"/>
  <c r="AF122" i="8"/>
  <c r="AF130" i="8"/>
  <c r="AF138" i="8"/>
  <c r="AF154" i="8"/>
  <c r="AF162" i="8"/>
  <c r="AF178" i="8"/>
  <c r="AF202" i="8"/>
  <c r="AF218" i="8"/>
  <c r="AF242" i="8"/>
  <c r="AF250" i="8"/>
  <c r="AF258" i="8"/>
  <c r="AF274" i="8"/>
  <c r="AF338" i="8"/>
  <c r="AF354" i="8"/>
  <c r="AF362" i="8"/>
  <c r="AF378" i="8"/>
  <c r="AF442" i="8"/>
  <c r="AF450" i="8"/>
  <c r="AF458" i="8"/>
  <c r="AF466" i="8"/>
  <c r="AF514" i="8"/>
  <c r="AF530" i="8"/>
  <c r="AF538" i="8"/>
  <c r="AF618" i="8"/>
  <c r="AF706" i="8"/>
  <c r="AF714" i="8"/>
  <c r="AF722" i="8"/>
  <c r="AF730" i="8"/>
  <c r="AF762" i="8"/>
  <c r="AF874" i="8"/>
  <c r="AF890" i="8"/>
  <c r="AF906" i="8"/>
  <c r="AF946" i="8"/>
  <c r="AF986" i="8"/>
  <c r="AF1002" i="8"/>
  <c r="AF1034" i="8"/>
  <c r="AF1050" i="8"/>
  <c r="AF1066" i="8"/>
  <c r="AF1074" i="8"/>
  <c r="AF1098" i="8"/>
  <c r="AF1106" i="8"/>
  <c r="AF1122" i="8"/>
  <c r="AF1130" i="8"/>
  <c r="AF1138" i="8"/>
  <c r="AF3" i="8"/>
  <c r="AF11" i="8"/>
  <c r="AF35" i="8"/>
  <c r="AF43" i="8"/>
  <c r="AF67" i="8"/>
  <c r="AF75" i="8"/>
  <c r="AF99" i="8"/>
  <c r="AF107" i="8"/>
  <c r="AF123" i="8"/>
  <c r="AF131" i="8"/>
  <c r="AF139" i="8"/>
  <c r="AF155" i="8"/>
  <c r="AF163" i="8"/>
  <c r="AF179" i="8"/>
  <c r="AF187" i="8"/>
  <c r="AF195" i="8"/>
  <c r="AF219" i="8"/>
  <c r="AF227" i="8"/>
  <c r="AF235" i="8"/>
  <c r="AF243" i="8"/>
  <c r="AF347" i="8"/>
  <c r="AF355" i="8"/>
  <c r="AF363" i="8"/>
  <c r="AF371" i="8"/>
  <c r="AF379" i="8"/>
  <c r="AF403" i="8"/>
  <c r="AF419" i="8"/>
  <c r="AF435" i="8"/>
  <c r="AF443" i="8"/>
  <c r="AF451" i="8"/>
  <c r="AF467" i="8"/>
  <c r="AF483" i="8"/>
  <c r="AF491" i="8"/>
  <c r="AF499" i="8"/>
  <c r="AF515" i="8"/>
  <c r="AF523" i="8"/>
  <c r="AF539" i="8"/>
  <c r="AF651" i="8"/>
  <c r="AF659" i="8"/>
  <c r="AF667" i="8"/>
  <c r="AF699" i="8"/>
  <c r="AF707" i="8"/>
  <c r="AF715" i="8"/>
  <c r="AF723" i="8"/>
  <c r="AF739" i="8"/>
  <c r="AF763" i="8"/>
  <c r="AF795" i="8"/>
  <c r="AF819" i="8"/>
  <c r="AF867" i="8"/>
  <c r="AF891" i="8"/>
  <c r="AF987" i="8"/>
  <c r="AF995" i="8"/>
  <c r="AF1035" i="8"/>
  <c r="AF1067" i="8"/>
  <c r="AF1107" i="8"/>
  <c r="AF1139" i="8"/>
  <c r="W40" i="11"/>
  <c r="W76" i="11"/>
  <c r="W96" i="11"/>
  <c r="W103" i="11"/>
  <c r="W107" i="11"/>
  <c r="Y107" i="11" s="1"/>
  <c r="W115" i="11"/>
  <c r="W119" i="11"/>
  <c r="W131" i="11"/>
  <c r="W139" i="11"/>
  <c r="W147" i="11"/>
  <c r="W159" i="11"/>
  <c r="W163" i="11"/>
  <c r="W170" i="11"/>
  <c r="Y170" i="11" s="1"/>
  <c r="W174" i="11"/>
  <c r="W183" i="11"/>
  <c r="W199" i="11"/>
  <c r="W211" i="11"/>
  <c r="W215" i="11"/>
  <c r="W219" i="11"/>
  <c r="W227" i="11"/>
  <c r="W247" i="11"/>
  <c r="W251" i="11"/>
  <c r="W255" i="11"/>
  <c r="W259" i="11"/>
  <c r="W262" i="11"/>
  <c r="W269" i="11"/>
  <c r="W277" i="11"/>
  <c r="W293" i="11"/>
  <c r="W301" i="11"/>
  <c r="W309" i="11"/>
  <c r="W321" i="11"/>
  <c r="W325" i="11"/>
  <c r="W333" i="11"/>
  <c r="Y333" i="11" s="1"/>
  <c r="W345" i="11"/>
  <c r="W349" i="11"/>
  <c r="W365" i="11"/>
  <c r="W375" i="11"/>
  <c r="Y375" i="11" s="1"/>
  <c r="W379" i="11"/>
  <c r="W383" i="11"/>
  <c r="W400" i="11"/>
  <c r="W404" i="11"/>
  <c r="Y404" i="11" s="1"/>
  <c r="W408" i="11"/>
  <c r="W412" i="11"/>
  <c r="W369" i="11"/>
  <c r="W9" i="11"/>
  <c r="W17" i="11"/>
  <c r="W21" i="11"/>
  <c r="W25" i="11"/>
  <c r="W49" i="11"/>
  <c r="Y49" i="11" s="1"/>
  <c r="W53" i="11"/>
  <c r="W61" i="11"/>
  <c r="W77" i="11"/>
  <c r="W81" i="11"/>
  <c r="W85" i="11"/>
  <c r="W89" i="11"/>
  <c r="W93" i="11"/>
  <c r="W100" i="11"/>
  <c r="Y100" i="11" s="1"/>
  <c r="W124" i="11"/>
  <c r="W128" i="11"/>
  <c r="W156" i="11"/>
  <c r="W167" i="11"/>
  <c r="W171" i="11"/>
  <c r="Y171" i="11" s="1"/>
  <c r="W179" i="11"/>
  <c r="W188" i="11"/>
  <c r="W204" i="11"/>
  <c r="Y204" i="11" s="1"/>
  <c r="W208" i="11"/>
  <c r="W212" i="11"/>
  <c r="W216" i="11"/>
  <c r="W224" i="11"/>
  <c r="Y224" i="11" s="1"/>
  <c r="W232" i="11"/>
  <c r="Y232" i="11" s="1"/>
  <c r="W236" i="11"/>
  <c r="W240" i="11"/>
  <c r="W244" i="11"/>
  <c r="W248" i="11"/>
  <c r="W256" i="11"/>
  <c r="Y256" i="11" s="1"/>
  <c r="W266" i="11"/>
  <c r="W274" i="11"/>
  <c r="W282" i="11"/>
  <c r="W290" i="11"/>
  <c r="Y290" i="11" s="1"/>
  <c r="W298" i="11"/>
  <c r="Y298" i="11" s="1"/>
  <c r="W306" i="11"/>
  <c r="W314" i="11"/>
  <c r="W318" i="11"/>
  <c r="W338" i="11"/>
  <c r="Y338" i="11" s="1"/>
  <c r="W342" i="11"/>
  <c r="W372" i="11"/>
  <c r="W384" i="11"/>
  <c r="W389" i="11"/>
  <c r="Y389" i="11" s="1"/>
  <c r="W393" i="11"/>
  <c r="Y393" i="11" s="1"/>
  <c r="W397" i="11"/>
  <c r="W405" i="11"/>
  <c r="W409" i="11"/>
  <c r="Y409" i="11" s="1"/>
  <c r="W417" i="11"/>
  <c r="Y417" i="11" s="1"/>
  <c r="AF3" i="12"/>
  <c r="AF11" i="12"/>
  <c r="AF35" i="12"/>
  <c r="AF43" i="12"/>
  <c r="AF67" i="12"/>
  <c r="AF75" i="12"/>
  <c r="AF99" i="12"/>
  <c r="AF107" i="12"/>
  <c r="AF123" i="12"/>
  <c r="W6" i="11"/>
  <c r="W271" i="11"/>
  <c r="Y271" i="11" s="1"/>
  <c r="W279" i="11"/>
  <c r="W283" i="11"/>
  <c r="W287" i="11"/>
  <c r="W295" i="11"/>
  <c r="W303" i="11"/>
  <c r="W311" i="11"/>
  <c r="W319" i="11"/>
  <c r="Y319" i="11" s="1"/>
  <c r="W323" i="11"/>
  <c r="W331" i="11"/>
  <c r="Y331" i="11" s="1"/>
  <c r="W339" i="11"/>
  <c r="Y339" i="11" s="1"/>
  <c r="W359" i="11"/>
  <c r="Y359" i="11" s="1"/>
  <c r="W363" i="11"/>
  <c r="W367" i="11"/>
  <c r="Y367" i="11" s="1"/>
  <c r="W377" i="11"/>
  <c r="Y377" i="11" s="1"/>
  <c r="W385" i="11"/>
  <c r="Y385" i="11" s="1"/>
  <c r="W394" i="11"/>
  <c r="W410" i="11"/>
  <c r="W414" i="11"/>
  <c r="Y414" i="11" s="1"/>
  <c r="AF68" i="12"/>
  <c r="W32" i="11"/>
  <c r="Y32" i="11" s="1"/>
  <c r="W3" i="11"/>
  <c r="Y3" i="11" s="1"/>
  <c r="W11" i="11"/>
  <c r="W19" i="11"/>
  <c r="W23" i="11"/>
  <c r="Y23" i="11" s="1"/>
  <c r="W31" i="11"/>
  <c r="Y31" i="11" s="1"/>
  <c r="W39" i="11"/>
  <c r="Y39" i="11" s="1"/>
  <c r="W67" i="11"/>
  <c r="Y67" i="11" s="1"/>
  <c r="W79" i="11"/>
  <c r="Y79" i="11" s="1"/>
  <c r="W106" i="11"/>
  <c r="Y106" i="11" s="1"/>
  <c r="W114" i="11"/>
  <c r="W118" i="11"/>
  <c r="Y118" i="11" s="1"/>
  <c r="W130" i="11"/>
  <c r="Y130" i="11" s="1"/>
  <c r="W142" i="11"/>
  <c r="Y142" i="11" s="1"/>
  <c r="W150" i="11"/>
  <c r="W158" i="11"/>
  <c r="Y158" i="11" s="1"/>
  <c r="W169" i="11"/>
  <c r="Y169" i="11" s="1"/>
  <c r="W173" i="11"/>
  <c r="Y173" i="11" s="1"/>
  <c r="W182" i="11"/>
  <c r="W198" i="11"/>
  <c r="W202" i="11"/>
  <c r="Y202" i="11" s="1"/>
  <c r="W210" i="11"/>
  <c r="Y210" i="11" s="1"/>
  <c r="W214" i="11"/>
  <c r="Y214" i="11" s="1"/>
  <c r="W218" i="11"/>
  <c r="W226" i="11"/>
  <c r="Y226" i="11" s="1"/>
  <c r="W242" i="11"/>
  <c r="Y242" i="11" s="1"/>
  <c r="W250" i="11"/>
  <c r="Y250" i="11" s="1"/>
  <c r="W258" i="11"/>
  <c r="Y258" i="11" s="1"/>
  <c r="W261" i="11"/>
  <c r="Y261" i="11" s="1"/>
  <c r="W264" i="11"/>
  <c r="W268" i="11"/>
  <c r="W276" i="11"/>
  <c r="Y276" i="11" s="1"/>
  <c r="W292" i="11"/>
  <c r="Y292" i="11" s="1"/>
  <c r="W300" i="11"/>
  <c r="Y300" i="11" s="1"/>
  <c r="W308" i="11"/>
  <c r="Y308" i="11" s="1"/>
  <c r="W316" i="11"/>
  <c r="Y316" i="11" s="1"/>
  <c r="W324" i="11"/>
  <c r="Y324" i="11" s="1"/>
  <c r="W360" i="11"/>
  <c r="W364" i="11"/>
  <c r="W378" i="11"/>
  <c r="Y378" i="11" s="1"/>
  <c r="W391" i="11"/>
  <c r="Y391" i="11" s="1"/>
  <c r="W399" i="11"/>
  <c r="Y399" i="11" s="1"/>
  <c r="W403" i="11"/>
  <c r="Y403" i="11" s="1"/>
  <c r="W407" i="11"/>
  <c r="W411" i="11"/>
  <c r="Y411" i="11" s="1"/>
  <c r="AF5" i="12"/>
  <c r="AF21" i="12"/>
  <c r="AF37" i="12"/>
  <c r="AF85" i="12"/>
  <c r="AF117" i="12"/>
  <c r="AF125" i="12"/>
  <c r="W27" i="11"/>
  <c r="Y27" i="11" s="1"/>
  <c r="W14" i="11"/>
  <c r="Y14" i="11" s="1"/>
  <c r="W34" i="11"/>
  <c r="Y34" i="11" s="1"/>
  <c r="W70" i="11"/>
  <c r="Y70" i="11" s="1"/>
  <c r="W133" i="11"/>
  <c r="Y133" i="11" s="1"/>
  <c r="W172" i="11"/>
  <c r="W205" i="11"/>
  <c r="Y205" i="11" s="1"/>
  <c r="W213" i="11"/>
  <c r="Y213" i="11" s="1"/>
  <c r="W245" i="11"/>
  <c r="Y245" i="11" s="1"/>
  <c r="W8" i="11"/>
  <c r="Y8" i="11" s="1"/>
  <c r="W16" i="11"/>
  <c r="Y16" i="11" s="1"/>
  <c r="W20" i="11"/>
  <c r="Y20" i="11" s="1"/>
  <c r="W28" i="11"/>
  <c r="Y28" i="11" s="1"/>
  <c r="W44" i="11"/>
  <c r="Y44" i="11" s="1"/>
  <c r="W52" i="11"/>
  <c r="Y52" i="11" s="1"/>
  <c r="W56" i="11"/>
  <c r="Y56" i="11" s="1"/>
  <c r="W60" i="11"/>
  <c r="W64" i="11"/>
  <c r="Y64" i="11" s="1"/>
  <c r="W72" i="11"/>
  <c r="Y72" i="11" s="1"/>
  <c r="W80" i="11"/>
  <c r="Y80" i="11" s="1"/>
  <c r="W84" i="11"/>
  <c r="Y84" i="11" s="1"/>
  <c r="W92" i="11"/>
  <c r="W111" i="11"/>
  <c r="Y111" i="11" s="1"/>
  <c r="W127" i="11"/>
  <c r="Y127" i="11" s="1"/>
  <c r="W135" i="11"/>
  <c r="Y135" i="11" s="1"/>
  <c r="W151" i="11"/>
  <c r="Y151" i="11" s="1"/>
  <c r="W155" i="11"/>
  <c r="Y155" i="11" s="1"/>
  <c r="W166" i="11"/>
  <c r="Y166" i="11" s="1"/>
  <c r="W178" i="11"/>
  <c r="Y178" i="11" s="1"/>
  <c r="W187" i="11"/>
  <c r="Y187" i="11" s="1"/>
  <c r="W191" i="11"/>
  <c r="Y191" i="11" s="1"/>
  <c r="W207" i="11"/>
  <c r="Y207" i="11" s="1"/>
  <c r="W223" i="11"/>
  <c r="Y223" i="11" s="1"/>
  <c r="W231" i="11"/>
  <c r="Y231" i="11" s="1"/>
  <c r="W235" i="11"/>
  <c r="Y235" i="11" s="1"/>
  <c r="W239" i="11"/>
  <c r="W243" i="11"/>
  <c r="Y243" i="11" s="1"/>
  <c r="W265" i="11"/>
  <c r="Y265" i="11" s="1"/>
  <c r="W273" i="11"/>
  <c r="Y273" i="11" s="1"/>
  <c r="W281" i="11"/>
  <c r="W285" i="11"/>
  <c r="Y285" i="11" s="1"/>
  <c r="W289" i="11"/>
  <c r="Y289" i="11" s="1"/>
  <c r="W297" i="11"/>
  <c r="Y297" i="11" s="1"/>
  <c r="W305" i="11"/>
  <c r="Y305" i="11" s="1"/>
  <c r="W313" i="11"/>
  <c r="Y313" i="11" s="1"/>
  <c r="W317" i="11"/>
  <c r="Y317" i="11" s="1"/>
  <c r="W329" i="11"/>
  <c r="Y329" i="11" s="1"/>
  <c r="W337" i="11"/>
  <c r="W341" i="11"/>
  <c r="Y341" i="11" s="1"/>
  <c r="W353" i="11"/>
  <c r="Y353" i="11" s="1"/>
  <c r="W357" i="11"/>
  <c r="Y357" i="11" s="1"/>
  <c r="W361" i="11"/>
  <c r="Y361" i="11" s="1"/>
  <c r="W371" i="11"/>
  <c r="Y371" i="11" s="1"/>
  <c r="W387" i="11"/>
  <c r="Y387" i="11" s="1"/>
  <c r="W388" i="11"/>
  <c r="Y388" i="11" s="1"/>
  <c r="W392" i="11"/>
  <c r="W396" i="11"/>
  <c r="W416" i="11"/>
  <c r="Y416" i="11" s="1"/>
  <c r="W370" i="11"/>
  <c r="Y370" i="11" s="1"/>
  <c r="AF30" i="12"/>
  <c r="AF38" i="12"/>
  <c r="AF54" i="12"/>
  <c r="AF62" i="12"/>
  <c r="W7" i="11"/>
  <c r="Y7" i="11" s="1"/>
  <c r="W24" i="11"/>
  <c r="Y24" i="11" s="1"/>
  <c r="W26" i="11"/>
  <c r="Y26" i="11" s="1"/>
  <c r="W58" i="11"/>
  <c r="Y58" i="11" s="1"/>
  <c r="W66" i="11"/>
  <c r="Y66" i="11" s="1"/>
  <c r="W82" i="11"/>
  <c r="Y82" i="11" s="1"/>
  <c r="W98" i="11"/>
  <c r="Y98" i="11" s="1"/>
  <c r="W113" i="11"/>
  <c r="Y113" i="11" s="1"/>
  <c r="W121" i="11"/>
  <c r="Y121" i="11" s="1"/>
  <c r="W141" i="11"/>
  <c r="W181" i="11"/>
  <c r="Y181" i="11" s="1"/>
  <c r="W221" i="11"/>
  <c r="Y221" i="11" s="1"/>
  <c r="W237" i="11"/>
  <c r="Y237" i="11" s="1"/>
  <c r="W5" i="11"/>
  <c r="Y5" i="11" s="1"/>
  <c r="W13" i="11"/>
  <c r="Y13" i="11" s="1"/>
  <c r="W33" i="11"/>
  <c r="Y33" i="11" s="1"/>
  <c r="W37" i="11"/>
  <c r="Y37" i="11" s="1"/>
  <c r="W41" i="11"/>
  <c r="Y41" i="11" s="1"/>
  <c r="W45" i="11"/>
  <c r="Y45" i="11" s="1"/>
  <c r="W57" i="11"/>
  <c r="Y57" i="11" s="1"/>
  <c r="W65" i="11"/>
  <c r="Y65" i="11" s="1"/>
  <c r="W69" i="11"/>
  <c r="Y69" i="11" s="1"/>
  <c r="W73" i="11"/>
  <c r="Y73" i="11" s="1"/>
  <c r="W97" i="11"/>
  <c r="Y97" i="11" s="1"/>
  <c r="W104" i="11"/>
  <c r="Y104" i="11" s="1"/>
  <c r="W112" i="11"/>
  <c r="Y112" i="11" s="1"/>
  <c r="W136" i="11"/>
  <c r="Y136" i="11" s="1"/>
  <c r="W140" i="11"/>
  <c r="Y140" i="11" s="1"/>
  <c r="W144" i="11"/>
  <c r="Y144" i="11" s="1"/>
  <c r="W152" i="11"/>
  <c r="Y152" i="11" s="1"/>
  <c r="W160" i="11"/>
  <c r="Y160" i="11" s="1"/>
  <c r="W164" i="11"/>
  <c r="Y164" i="11" s="1"/>
  <c r="W184" i="11"/>
  <c r="W192" i="11"/>
  <c r="Y192" i="11" s="1"/>
  <c r="W196" i="11"/>
  <c r="Y196" i="11" s="1"/>
  <c r="W200" i="11"/>
  <c r="Y200" i="11" s="1"/>
  <c r="W220" i="11"/>
  <c r="Y220" i="11" s="1"/>
  <c r="W228" i="11"/>
  <c r="Y228" i="11" s="1"/>
  <c r="W252" i="11"/>
  <c r="Y252" i="11" s="1"/>
  <c r="W260" i="11"/>
  <c r="Y260" i="11" s="1"/>
  <c r="W263" i="11"/>
  <c r="Y263" i="11" s="1"/>
  <c r="W270" i="11"/>
  <c r="Y270" i="11" s="1"/>
  <c r="W278" i="11"/>
  <c r="Y278" i="11" s="1"/>
  <c r="W286" i="11"/>
  <c r="Y286" i="11" s="1"/>
  <c r="W294" i="11"/>
  <c r="W302" i="11"/>
  <c r="Y302" i="11" s="1"/>
  <c r="W310" i="11"/>
  <c r="Y310" i="11" s="1"/>
  <c r="W322" i="11"/>
  <c r="Y322" i="11" s="1"/>
  <c r="W326" i="11"/>
  <c r="Y326" i="11" s="1"/>
  <c r="W330" i="11"/>
  <c r="Y330" i="11" s="1"/>
  <c r="W334" i="11"/>
  <c r="Y334" i="11" s="1"/>
  <c r="W346" i="11"/>
  <c r="Y346" i="11" s="1"/>
  <c r="W350" i="11"/>
  <c r="Y350" i="11" s="1"/>
  <c r="W354" i="11"/>
  <c r="Y354" i="11" s="1"/>
  <c r="W358" i="11"/>
  <c r="Y358" i="11" s="1"/>
  <c r="W362" i="11"/>
  <c r="Y362" i="11" s="1"/>
  <c r="W366" i="11"/>
  <c r="Y366" i="11" s="1"/>
  <c r="W376" i="11"/>
  <c r="Y376" i="11" s="1"/>
  <c r="W380" i="11"/>
  <c r="W401" i="11"/>
  <c r="Y401" i="11" s="1"/>
  <c r="W413" i="11"/>
  <c r="Y413" i="11" s="1"/>
  <c r="AF7" i="12"/>
  <c r="AF15" i="12"/>
  <c r="AF23" i="12"/>
  <c r="AF39" i="12"/>
  <c r="AF47" i="12"/>
  <c r="AF55" i="12"/>
  <c r="AF79" i="12"/>
  <c r="AF95" i="12"/>
  <c r="AF103" i="12"/>
  <c r="AF111" i="12"/>
  <c r="AF119" i="12"/>
  <c r="W46" i="11"/>
  <c r="W62" i="11"/>
  <c r="Y62" i="11" s="1"/>
  <c r="W101" i="11"/>
  <c r="Y101" i="11" s="1"/>
  <c r="W109" i="11"/>
  <c r="W137" i="11"/>
  <c r="W176" i="11"/>
  <c r="Y176" i="11" s="1"/>
  <c r="W193" i="11"/>
  <c r="Y193" i="11" s="1"/>
  <c r="W209" i="11"/>
  <c r="Y209" i="11" s="1"/>
  <c r="W229" i="11"/>
  <c r="W10" i="11"/>
  <c r="Y10" i="11" s="1"/>
  <c r="W18" i="11"/>
  <c r="Y18" i="11" s="1"/>
  <c r="W22" i="11"/>
  <c r="Y22" i="11" s="1"/>
  <c r="W30" i="11"/>
  <c r="Y30" i="11" s="1"/>
  <c r="W38" i="11"/>
  <c r="Y38" i="11" s="1"/>
  <c r="W42" i="11"/>
  <c r="Y42" i="11" s="1"/>
  <c r="W50" i="11"/>
  <c r="Y50" i="11" s="1"/>
  <c r="W78" i="11"/>
  <c r="W86" i="11"/>
  <c r="Y86" i="11" s="1"/>
  <c r="W90" i="11"/>
  <c r="Y90" i="11" s="1"/>
  <c r="W94" i="11"/>
  <c r="Y94" i="11" s="1"/>
  <c r="W117" i="11"/>
  <c r="Y117" i="11" s="1"/>
  <c r="W125" i="11"/>
  <c r="Y125" i="11" s="1"/>
  <c r="W129" i="11"/>
  <c r="Y129" i="11" s="1"/>
  <c r="W145" i="11"/>
  <c r="Y145" i="11" s="1"/>
  <c r="W149" i="11"/>
  <c r="Y149" i="11" s="1"/>
  <c r="W153" i="11"/>
  <c r="Y153" i="11" s="1"/>
  <c r="W157" i="11"/>
  <c r="Y157" i="11" s="1"/>
  <c r="W161" i="11"/>
  <c r="Y161" i="11" s="1"/>
  <c r="W168" i="11"/>
  <c r="Y168" i="11" s="1"/>
  <c r="W185" i="11"/>
  <c r="Y185" i="11" s="1"/>
  <c r="W189" i="11"/>
  <c r="Y189" i="11" s="1"/>
  <c r="W197" i="11"/>
  <c r="Y197" i="11" s="1"/>
  <c r="W201" i="11"/>
  <c r="Y201" i="11" s="1"/>
  <c r="W217" i="11"/>
  <c r="Y217" i="11" s="1"/>
  <c r="W225" i="11"/>
  <c r="W233" i="11"/>
  <c r="W241" i="11"/>
  <c r="Y241" i="11" s="1"/>
  <c r="W249" i="11"/>
  <c r="Y249" i="11" s="1"/>
  <c r="W253" i="11"/>
  <c r="Y253" i="11" s="1"/>
  <c r="W257" i="11"/>
  <c r="Y257" i="11" s="1"/>
  <c r="W267" i="11"/>
  <c r="Y267" i="11" s="1"/>
  <c r="W275" i="11"/>
  <c r="Y275" i="11" s="1"/>
  <c r="W291" i="11"/>
  <c r="Y291" i="11" s="1"/>
  <c r="W299" i="11"/>
  <c r="Y299" i="11" s="1"/>
  <c r="W307" i="11"/>
  <c r="W315" i="11"/>
  <c r="Y315" i="11" s="1"/>
  <c r="W327" i="11"/>
  <c r="Y327" i="11" s="1"/>
  <c r="W335" i="11"/>
  <c r="Y335" i="11" s="1"/>
  <c r="W343" i="11"/>
  <c r="W347" i="11"/>
  <c r="Y347" i="11" s="1"/>
  <c r="W351" i="11"/>
  <c r="Y351" i="11" s="1"/>
  <c r="W355" i="11"/>
  <c r="Y355" i="11" s="1"/>
  <c r="W373" i="11"/>
  <c r="Y373" i="11" s="1"/>
  <c r="W381" i="11"/>
  <c r="Y381" i="11" s="1"/>
  <c r="W390" i="11"/>
  <c r="Y390" i="11" s="1"/>
  <c r="W398" i="11"/>
  <c r="Y398" i="11" s="1"/>
  <c r="W402" i="11"/>
  <c r="W406" i="11"/>
  <c r="Y406" i="11" s="1"/>
  <c r="W418" i="11"/>
  <c r="Y418" i="11" s="1"/>
  <c r="AF8" i="12"/>
  <c r="AF16" i="12"/>
  <c r="AF24" i="12"/>
  <c r="AF40" i="12"/>
  <c r="AF64" i="12"/>
  <c r="AF72" i="12"/>
  <c r="AF80" i="12"/>
  <c r="AF96" i="12"/>
  <c r="AF120" i="12"/>
  <c r="W15" i="11"/>
  <c r="Y15" i="11" s="1"/>
  <c r="W35" i="11"/>
  <c r="Y35" i="11" s="1"/>
  <c r="W43" i="11"/>
  <c r="Y43" i="11" s="1"/>
  <c r="W47" i="11"/>
  <c r="Y47" i="11" s="1"/>
  <c r="W51" i="11"/>
  <c r="Y51" i="11" s="1"/>
  <c r="W55" i="11"/>
  <c r="Y55" i="11" s="1"/>
  <c r="W59" i="11"/>
  <c r="Y59" i="11" s="1"/>
  <c r="W63" i="11"/>
  <c r="Y63" i="11" s="1"/>
  <c r="W71" i="11"/>
  <c r="Y71" i="11" s="1"/>
  <c r="W75" i="11"/>
  <c r="Y75" i="11" s="1"/>
  <c r="W87" i="11"/>
  <c r="Y87" i="11" s="1"/>
  <c r="W91" i="11"/>
  <c r="Y91" i="11" s="1"/>
  <c r="W99" i="11"/>
  <c r="Y99" i="11" s="1"/>
  <c r="W102" i="11"/>
  <c r="Y102" i="11" s="1"/>
  <c r="W110" i="11"/>
  <c r="Y110" i="11" s="1"/>
  <c r="W122" i="11"/>
  <c r="W126" i="11"/>
  <c r="Y126" i="11" s="1"/>
  <c r="W134" i="11"/>
  <c r="Y134" i="11" s="1"/>
  <c r="W146" i="11"/>
  <c r="Y146" i="11" s="1"/>
  <c r="W154" i="11"/>
  <c r="Y154" i="11" s="1"/>
  <c r="W162" i="11"/>
  <c r="Y162" i="11" s="1"/>
  <c r="W165" i="11"/>
  <c r="Y165" i="11" s="1"/>
  <c r="W177" i="11"/>
  <c r="Y177" i="11" s="1"/>
  <c r="W194" i="11"/>
  <c r="Y194" i="11" s="1"/>
  <c r="W206" i="11"/>
  <c r="Y206" i="11" s="1"/>
  <c r="W222" i="11"/>
  <c r="Y222" i="11" s="1"/>
  <c r="W230" i="11"/>
  <c r="Y230" i="11" s="1"/>
  <c r="W234" i="11"/>
  <c r="Y234" i="11" s="1"/>
  <c r="W238" i="11"/>
  <c r="W246" i="11"/>
  <c r="Y246" i="11" s="1"/>
  <c r="W254" i="11"/>
  <c r="Y254" i="11" s="1"/>
  <c r="W272" i="11"/>
  <c r="W280" i="11"/>
  <c r="Y280" i="11" s="1"/>
  <c r="W284" i="11"/>
  <c r="Y284" i="11" s="1"/>
  <c r="W288" i="11"/>
  <c r="Y288" i="11" s="1"/>
  <c r="W296" i="11"/>
  <c r="Y296" i="11" s="1"/>
  <c r="W304" i="11"/>
  <c r="W312" i="11"/>
  <c r="Y312" i="11" s="1"/>
  <c r="W320" i="11"/>
  <c r="Y320" i="11" s="1"/>
  <c r="W328" i="11"/>
  <c r="Y328" i="11" s="1"/>
  <c r="W332" i="11"/>
  <c r="Y332" i="11" s="1"/>
  <c r="W336" i="11"/>
  <c r="Y336" i="11" s="1"/>
  <c r="W340" i="11"/>
  <c r="Y340" i="11" s="1"/>
  <c r="W344" i="11"/>
  <c r="Y344" i="11" s="1"/>
  <c r="W348" i="11"/>
  <c r="Y348" i="11" s="1"/>
  <c r="W352" i="11"/>
  <c r="Y352" i="11" s="1"/>
  <c r="W356" i="11"/>
  <c r="Y356" i="11" s="1"/>
  <c r="W368" i="11"/>
  <c r="Y368" i="11" s="1"/>
  <c r="W374" i="11"/>
  <c r="Y374" i="11" s="1"/>
  <c r="W382" i="11"/>
  <c r="Y382" i="11" s="1"/>
  <c r="W386" i="11"/>
  <c r="Y386" i="11" s="1"/>
  <c r="W395" i="11"/>
  <c r="Y395" i="11" s="1"/>
  <c r="W415" i="11"/>
  <c r="Y415" i="11" s="1"/>
  <c r="AF9" i="12"/>
  <c r="AF17" i="12"/>
  <c r="AF41" i="12"/>
  <c r="AF57" i="12"/>
  <c r="AF65" i="12"/>
  <c r="AF73" i="12"/>
  <c r="AF81" i="12"/>
  <c r="AF89" i="12"/>
  <c r="AF105" i="12"/>
  <c r="AF113" i="12"/>
  <c r="J11" i="11"/>
  <c r="Y4" i="11"/>
  <c r="C94" i="11"/>
  <c r="G94" i="11" s="1"/>
  <c r="C93" i="11"/>
  <c r="G93" i="11" s="1"/>
  <c r="K11" i="11"/>
  <c r="K7" i="11"/>
  <c r="K12" i="11"/>
  <c r="K13" i="11"/>
  <c r="K6" i="11"/>
  <c r="K14" i="11"/>
  <c r="K15" i="11"/>
  <c r="K8" i="11"/>
  <c r="K9" i="11"/>
  <c r="K10" i="11"/>
  <c r="K19" i="11"/>
  <c r="J7" i="11"/>
  <c r="J17" i="11"/>
  <c r="J4" i="11"/>
  <c r="J12" i="11"/>
  <c r="J5" i="11"/>
  <c r="J13" i="11"/>
  <c r="J6" i="11"/>
  <c r="J14" i="11"/>
  <c r="J15" i="11"/>
  <c r="J8" i="11"/>
  <c r="J9" i="11"/>
  <c r="J10" i="11"/>
  <c r="J19" i="11"/>
  <c r="C95" i="11"/>
  <c r="H95" i="11" s="1"/>
  <c r="C92" i="11"/>
  <c r="H92" i="11" s="1"/>
  <c r="AE444" i="8"/>
  <c r="C96" i="11"/>
  <c r="H96" i="11" s="1"/>
  <c r="AE533" i="8"/>
  <c r="AE709" i="8"/>
  <c r="C91" i="11"/>
  <c r="H91" i="11" s="1"/>
  <c r="AE10" i="8"/>
  <c r="Y379" i="11"/>
  <c r="Y363" i="11"/>
  <c r="Y323" i="11"/>
  <c r="Y307" i="11"/>
  <c r="Y283" i="11"/>
  <c r="Y259" i="11"/>
  <c r="Y251" i="11"/>
  <c r="Y227" i="11"/>
  <c r="Y219" i="11"/>
  <c r="Y211" i="11"/>
  <c r="Y203" i="11"/>
  <c r="Y195" i="11"/>
  <c r="Y179" i="11"/>
  <c r="Y163" i="11"/>
  <c r="Y147" i="11"/>
  <c r="Y139" i="11"/>
  <c r="Y131" i="11"/>
  <c r="Y123" i="11"/>
  <c r="Y115" i="11"/>
  <c r="Y83" i="11"/>
  <c r="Y19" i="11"/>
  <c r="Y410" i="11"/>
  <c r="Y402" i="11"/>
  <c r="Y394" i="11"/>
  <c r="Y314" i="11"/>
  <c r="Y306" i="11"/>
  <c r="Y282" i="11"/>
  <c r="Y274" i="11"/>
  <c r="Y266" i="11"/>
  <c r="Y218" i="11"/>
  <c r="Y186" i="11"/>
  <c r="Y138" i="11"/>
  <c r="Y122" i="11"/>
  <c r="Y114" i="11"/>
  <c r="Y74" i="11"/>
  <c r="Y369" i="11"/>
  <c r="Y345" i="11"/>
  <c r="Y337" i="11"/>
  <c r="Y321" i="11"/>
  <c r="Y281" i="11"/>
  <c r="Y233" i="11"/>
  <c r="Y137" i="11"/>
  <c r="Y105" i="11"/>
  <c r="Y89" i="11"/>
  <c r="Y81" i="11"/>
  <c r="Y25" i="11"/>
  <c r="Y17" i="11"/>
  <c r="Y9" i="11"/>
  <c r="Y408" i="11"/>
  <c r="Y400" i="11"/>
  <c r="Y392" i="11"/>
  <c r="Y384" i="11"/>
  <c r="Y360" i="11"/>
  <c r="Y304" i="11"/>
  <c r="Y264" i="11"/>
  <c r="Y248" i="11"/>
  <c r="Y240" i="11"/>
  <c r="Y216" i="11"/>
  <c r="Y208" i="11"/>
  <c r="Y184" i="11"/>
  <c r="Y128" i="11"/>
  <c r="Y120" i="11"/>
  <c r="Y96" i="11"/>
  <c r="Y88" i="11"/>
  <c r="Y48" i="11"/>
  <c r="Y40" i="11"/>
  <c r="Y407" i="11"/>
  <c r="Y383" i="11"/>
  <c r="Y343" i="11"/>
  <c r="Y311" i="11"/>
  <c r="Y303" i="11"/>
  <c r="Y295" i="11"/>
  <c r="Y287" i="11"/>
  <c r="Y279" i="11"/>
  <c r="Y255" i="11"/>
  <c r="Y247" i="11"/>
  <c r="Y239" i="11"/>
  <c r="Y215" i="11"/>
  <c r="Y199" i="11"/>
  <c r="Y183" i="11"/>
  <c r="Y175" i="11"/>
  <c r="Y167" i="11"/>
  <c r="Y159" i="11"/>
  <c r="Y143" i="11"/>
  <c r="Y119" i="11"/>
  <c r="Y103" i="11"/>
  <c r="Y95" i="11"/>
  <c r="Y342" i="11"/>
  <c r="Y318" i="11"/>
  <c r="Y262" i="11"/>
  <c r="Y238" i="11"/>
  <c r="Y198" i="11"/>
  <c r="Y190" i="11"/>
  <c r="Y182" i="11"/>
  <c r="Y174" i="11"/>
  <c r="Y150" i="11"/>
  <c r="Y78" i="11"/>
  <c r="Y54" i="11"/>
  <c r="Y46" i="11"/>
  <c r="Y6" i="11"/>
  <c r="Y405" i="11"/>
  <c r="Y397" i="11"/>
  <c r="Y365" i="11"/>
  <c r="Y349" i="11"/>
  <c r="Y325" i="11"/>
  <c r="Y309" i="11"/>
  <c r="Y301" i="11"/>
  <c r="Y293" i="11"/>
  <c r="Y277" i="11"/>
  <c r="Y269" i="11"/>
  <c r="Y229" i="11"/>
  <c r="Y141" i="11"/>
  <c r="Y109" i="11"/>
  <c r="Y93" i="11"/>
  <c r="Y85" i="11"/>
  <c r="Y77" i="11"/>
  <c r="Y61" i="11"/>
  <c r="Y53" i="11"/>
  <c r="Y29" i="11"/>
  <c r="Y21" i="11"/>
  <c r="Y412" i="11"/>
  <c r="Y396" i="11"/>
  <c r="Y380" i="11"/>
  <c r="Y372" i="11"/>
  <c r="Y364" i="11"/>
  <c r="Y268" i="11"/>
  <c r="Y244" i="11"/>
  <c r="Y236" i="11"/>
  <c r="Y212" i="11"/>
  <c r="Y188" i="11"/>
  <c r="Y180" i="11"/>
  <c r="Y172" i="11"/>
  <c r="Y156" i="11"/>
  <c r="Y148" i="11"/>
  <c r="Y132" i="11"/>
  <c r="Y124" i="11"/>
  <c r="Y116" i="11"/>
  <c r="Y108" i="11"/>
  <c r="Y92" i="11"/>
  <c r="Y76" i="11"/>
  <c r="Y68" i="11"/>
  <c r="Y60" i="11"/>
  <c r="Y36" i="11"/>
  <c r="Y12" i="11"/>
  <c r="G37" i="11"/>
  <c r="G31" i="11"/>
  <c r="G39" i="11"/>
  <c r="G46" i="11"/>
  <c r="G50" i="11"/>
  <c r="G57" i="11"/>
  <c r="G64" i="11"/>
  <c r="G68" i="11"/>
  <c r="G75" i="11"/>
  <c r="G28" i="11"/>
  <c r="G32" i="11"/>
  <c r="G40" i="11"/>
  <c r="G47" i="11"/>
  <c r="G51" i="11"/>
  <c r="G58" i="11"/>
  <c r="G65" i="11"/>
  <c r="G69" i="11"/>
  <c r="G76" i="11"/>
  <c r="G29" i="11"/>
  <c r="G33" i="11"/>
  <c r="G41" i="11"/>
  <c r="G48" i="11"/>
  <c r="G55" i="11"/>
  <c r="G59" i="11"/>
  <c r="G66" i="11"/>
  <c r="G73" i="11"/>
  <c r="G77" i="11"/>
  <c r="G30" i="11"/>
  <c r="G38" i="11"/>
  <c r="G42" i="11"/>
  <c r="G49" i="11"/>
  <c r="G56" i="11"/>
  <c r="G60" i="11"/>
  <c r="G67" i="11"/>
  <c r="G74" i="11"/>
  <c r="G78" i="11"/>
  <c r="H84" i="11"/>
  <c r="G85" i="11"/>
  <c r="G82" i="11"/>
  <c r="G86" i="11"/>
  <c r="G83" i="11"/>
  <c r="G87" i="11"/>
  <c r="I8" i="11"/>
  <c r="I12" i="11"/>
  <c r="I9" i="11"/>
  <c r="I7" i="11"/>
  <c r="I6" i="11"/>
  <c r="I5" i="11"/>
  <c r="I11" i="11"/>
  <c r="I10" i="11"/>
  <c r="C20" i="11"/>
  <c r="H20" i="11"/>
  <c r="G20" i="11"/>
  <c r="F20" i="11"/>
  <c r="I19" i="11"/>
  <c r="I18" i="11"/>
  <c r="I17" i="11"/>
  <c r="I16" i="11"/>
  <c r="I15" i="11"/>
  <c r="I14" i="11"/>
  <c r="I13" i="11"/>
  <c r="E20" i="11"/>
  <c r="D20" i="11"/>
  <c r="I4" i="11"/>
  <c r="E32" i="11"/>
  <c r="E33" i="11"/>
  <c r="E31" i="11"/>
  <c r="F75" i="11"/>
  <c r="F82" i="11"/>
  <c r="F86" i="11"/>
  <c r="F93" i="11"/>
  <c r="F68" i="11"/>
  <c r="F76" i="11"/>
  <c r="F83" i="11"/>
  <c r="F87" i="11"/>
  <c r="F94" i="11"/>
  <c r="E30" i="11"/>
  <c r="F42" i="11"/>
  <c r="F49" i="11"/>
  <c r="F56" i="11"/>
  <c r="F60" i="11"/>
  <c r="F67" i="11"/>
  <c r="F37" i="11"/>
  <c r="F41" i="11"/>
  <c r="F48" i="11"/>
  <c r="F55" i="11"/>
  <c r="F59" i="11"/>
  <c r="F66" i="11"/>
  <c r="F73" i="11"/>
  <c r="F77" i="11"/>
  <c r="F84" i="11"/>
  <c r="F91" i="11"/>
  <c r="F95" i="11"/>
  <c r="F38" i="11"/>
  <c r="F74" i="11"/>
  <c r="F78" i="11"/>
  <c r="F85" i="11"/>
  <c r="F92" i="11"/>
  <c r="F96" i="11"/>
  <c r="F39" i="11"/>
  <c r="F46" i="11"/>
  <c r="F50" i="11"/>
  <c r="F57" i="11"/>
  <c r="F64" i="11"/>
  <c r="F29" i="11"/>
  <c r="F40" i="11"/>
  <c r="F47" i="11"/>
  <c r="F51" i="11"/>
  <c r="F58" i="11"/>
  <c r="F65" i="11"/>
  <c r="F69" i="11"/>
  <c r="F28" i="11"/>
  <c r="F30" i="11"/>
  <c r="F31" i="11"/>
  <c r="F32" i="11"/>
  <c r="F33" i="11"/>
  <c r="E64" i="11"/>
  <c r="E75" i="11"/>
  <c r="E86" i="11"/>
  <c r="E77" i="11"/>
  <c r="E91" i="11"/>
  <c r="E68" i="11"/>
  <c r="E82" i="11"/>
  <c r="E93" i="11"/>
  <c r="E73" i="11"/>
  <c r="E84" i="11"/>
  <c r="E95" i="11"/>
  <c r="E28" i="11"/>
  <c r="E29" i="11"/>
  <c r="E37" i="11"/>
  <c r="E48" i="11"/>
  <c r="E67" i="11"/>
  <c r="E74" i="11"/>
  <c r="E78" i="11"/>
  <c r="E85" i="11"/>
  <c r="E92" i="11"/>
  <c r="E96" i="11"/>
  <c r="E38" i="11"/>
  <c r="E49" i="11"/>
  <c r="E39" i="11"/>
  <c r="E50" i="11"/>
  <c r="E55" i="11"/>
  <c r="E40" i="11"/>
  <c r="E51" i="11"/>
  <c r="E56" i="11"/>
  <c r="E41" i="11"/>
  <c r="E65" i="11"/>
  <c r="E69" i="11"/>
  <c r="E76" i="11"/>
  <c r="E83" i="11"/>
  <c r="E87" i="11"/>
  <c r="E94" i="11"/>
  <c r="E57" i="11"/>
  <c r="E42" i="11"/>
  <c r="E58" i="11"/>
  <c r="E46" i="11"/>
  <c r="E66" i="11"/>
  <c r="E59" i="11"/>
  <c r="E47" i="11"/>
  <c r="E60" i="11"/>
  <c r="T10" i="11" l="1"/>
  <c r="X225" i="11"/>
  <c r="Y225" i="11" s="1"/>
  <c r="AF444" i="8"/>
  <c r="X294" i="11"/>
  <c r="Y294" i="11" s="1"/>
  <c r="AF709" i="8"/>
  <c r="X11" i="11"/>
  <c r="Y11" i="11" s="1"/>
  <c r="AF10" i="8"/>
  <c r="X272" i="11"/>
  <c r="Y272" i="11" s="1"/>
  <c r="AF533" i="8"/>
  <c r="T9" i="11"/>
  <c r="T14" i="11"/>
  <c r="T13" i="11"/>
  <c r="T12" i="11"/>
  <c r="T11" i="11"/>
  <c r="H93" i="11"/>
  <c r="H94" i="11"/>
  <c r="K5" i="11"/>
  <c r="K4" i="11"/>
  <c r="G95" i="11"/>
  <c r="G96" i="11"/>
  <c r="G92" i="11"/>
  <c r="G91" i="11"/>
  <c r="I20" i="11"/>
  <c r="Q6" i="11" l="1"/>
  <c r="O6" i="11"/>
  <c r="S6" i="11"/>
  <c r="T22" i="11"/>
  <c r="T17" i="11"/>
  <c r="T18" i="11"/>
  <c r="T20" i="11"/>
  <c r="T21" i="11"/>
  <c r="T19" i="11"/>
</calcChain>
</file>

<file path=xl/sharedStrings.xml><?xml version="1.0" encoding="utf-8"?>
<sst xmlns="http://schemas.openxmlformats.org/spreadsheetml/2006/main" count="24970" uniqueCount="3159">
  <si>
    <t>Tipo de espacio</t>
  </si>
  <si>
    <t>Nombre</t>
  </si>
  <si>
    <t>Ubicación</t>
  </si>
  <si>
    <t>Colonia</t>
  </si>
  <si>
    <t>Latitud</t>
  </si>
  <si>
    <t>Longitud</t>
  </si>
  <si>
    <t>Municipio</t>
  </si>
  <si>
    <t>PLAZA PÚBLICA</t>
  </si>
  <si>
    <t>LEÓN</t>
  </si>
  <si>
    <t>JARDINES DE SAN SEBASTIAN</t>
  </si>
  <si>
    <t>PLAZA COMUNITARIA VILLA DE LAS FLORES</t>
  </si>
  <si>
    <t>ESPACIO DEPORTIVO</t>
  </si>
  <si>
    <t>PARQUE EXTREMO LAS HILAMAS</t>
  </si>
  <si>
    <t>PARQUE DEL ARBOL</t>
  </si>
  <si>
    <t>OFICINA GUBERNAMENTAL</t>
  </si>
  <si>
    <t>SECUNDARIA</t>
  </si>
  <si>
    <t>PRIMARIA</t>
  </si>
  <si>
    <t>PREESCOLAR</t>
  </si>
  <si>
    <t>CENTRO DE INVESTIGACIÓN</t>
  </si>
  <si>
    <t>HUB-I CASA DEL EMPRENDEDOR LEÓN</t>
  </si>
  <si>
    <t>11DJN4405E - OVIDIO DECROLY</t>
  </si>
  <si>
    <t>11DES0080Y - FRANCISCO RAMIREZ MATA</t>
  </si>
  <si>
    <t>COLONIA VILLAS DE SAN JUAN</t>
  </si>
  <si>
    <t>COLONIA LA PISCINA</t>
  </si>
  <si>
    <t>11DJN0884C - VIDAL ALCOCER</t>
  </si>
  <si>
    <t>11DJN0887Z - NICOLAS RANGEL</t>
  </si>
  <si>
    <t>11DJN0888Z - MARIA CURIE</t>
  </si>
  <si>
    <t>11DJN2398Y - CARMEN NORMA MONROY</t>
  </si>
  <si>
    <t>11DJN2355Z - FEDERICO FROEBEL</t>
  </si>
  <si>
    <t>COLONIA SANTA MARIA DEL GRANJENO</t>
  </si>
  <si>
    <t>11DJN0954H - GENERAL ALVARO OBREGON</t>
  </si>
  <si>
    <t>11DJN0964O - JOHN DEWEY</t>
  </si>
  <si>
    <t>11DJN0965N - DIANA LAURA RIOJAS DE COLOSIO</t>
  </si>
  <si>
    <t>11DJN1098U - JARDIN DE NIÑOS GUSTAVO DIAZ ORDAZ</t>
  </si>
  <si>
    <t>11DJN2347R - LUIS DE LA BRENA</t>
  </si>
  <si>
    <t>11DJN2350E - MARGARITA PAZ PAREDES</t>
  </si>
  <si>
    <t>11DJN2351D - MA. ROSARIO GUTIERREZ ESKILDSEN</t>
  </si>
  <si>
    <t>11DJN2352C - GREGORIO TORRES QUINTERO</t>
  </si>
  <si>
    <t>11DJN2356Z - ENRIQUE C REBSAMEN</t>
  </si>
  <si>
    <t>11DJN2399X - LUIS CHAVEZ OROZCO</t>
  </si>
  <si>
    <t>11DJN2770O - MARIA MONTESSORI</t>
  </si>
  <si>
    <t xml:space="preserve">COMUNIDAD SAN JUAN DE ABAJO </t>
  </si>
  <si>
    <t>11DJN2824B - FRANCISCO MARQUEZ</t>
  </si>
  <si>
    <t>COLONIA SAN JOSE DEL POTRERO</t>
  </si>
  <si>
    <t>11DJN2828Y - BELISARIO DOMINGUEZ</t>
  </si>
  <si>
    <t>11DJN3269K - DIEGO VELAZQUEZ</t>
  </si>
  <si>
    <t>11DJN3656C - JUAN ENRIQUE PESTALOZZI</t>
  </si>
  <si>
    <t>11DJN3765J - JOSE VASCONCELOS</t>
  </si>
  <si>
    <t>COLONIA SAN MIGUEL DE RENTERIA</t>
  </si>
  <si>
    <t>11DJN4085K - MA. ESTHER VALTIERRA</t>
  </si>
  <si>
    <t>11DJN4087I - MIGUEL BERNAL JIMENEZ</t>
  </si>
  <si>
    <t>11DJN4109D - JUAN DE DIOS PEZA</t>
  </si>
  <si>
    <t>11DJN4121Z - OCTAVIO PAZ</t>
  </si>
  <si>
    <t>COLONIA NUEVO AMANECER</t>
  </si>
  <si>
    <t>11DJN4146H - LEV SEMENOVICH VIGOTSKY</t>
  </si>
  <si>
    <t>11ETV1034Y - TELESECUNDARIA NUM. 1034</t>
  </si>
  <si>
    <t>11DJN4249D - MARIA GREVER</t>
  </si>
  <si>
    <t>11DJN4287G - JOSE CHAVEZ MORADO</t>
  </si>
  <si>
    <t>11DPR1922M - VICENTE GUERRERO</t>
  </si>
  <si>
    <t>COLONIA FRACCIONES DE HACIENDA LA POMPA</t>
  </si>
  <si>
    <t>11DPR0041C - GUSTAVO DIAZ ORDAZ</t>
  </si>
  <si>
    <t>11DPR0205W - JUAN ALDAMA</t>
  </si>
  <si>
    <t>11DPR1429K - CUAUHTEMOC</t>
  </si>
  <si>
    <t>11DPR0545U - GENERAL VICENTE GUERRERO</t>
  </si>
  <si>
    <t>11DPR0548R - PROFR. FRANCISCO TORRES SOTELO</t>
  </si>
  <si>
    <t>11DPR0702U - BENITO JUAREZ</t>
  </si>
  <si>
    <t>11DPR0926B - REFORMA CLUB DE LEONES NUM. 8</t>
  </si>
  <si>
    <t>11DPR1452L - MARIANO MATAMOROS</t>
  </si>
  <si>
    <t>11DPR0956W - TENOCHTITLAN</t>
  </si>
  <si>
    <t>11DPR1060Y - IGNACIO LOPEZ RAYON</t>
  </si>
  <si>
    <t>COLONIA SAN MIGUEL</t>
  </si>
  <si>
    <t>11DPR1062W - GENERAL IGNACIO ZARAGOZA</t>
  </si>
  <si>
    <t>11DPR1257I - NIÑOS HEROES DE CHAPULTEPEC</t>
  </si>
  <si>
    <t>COLONIA JARDINES DE SAN PEDRO</t>
  </si>
  <si>
    <t>11DPR1314J - GENERAL LAZARO CARDENAS</t>
  </si>
  <si>
    <t>11DPR2091Y - ENSEÑA PATRIA</t>
  </si>
  <si>
    <t>11DPR3750Y - PROCERES DE GUANAJUATO</t>
  </si>
  <si>
    <t>11DPR1542D - VALENTIN GOMEZ FARIAS</t>
  </si>
  <si>
    <t>11DPR1564P - GABINO BARREDA</t>
  </si>
  <si>
    <t>11EJN0785B - CENTRO DE DESARROLLO COMUNITARIO DIF</t>
  </si>
  <si>
    <t>11DPR1899B - PLAN DE AYALA</t>
  </si>
  <si>
    <t>11DPR1921N - CARLOS A CARRILLO</t>
  </si>
  <si>
    <t>11DPR2102N - JUSTO SIERRA</t>
  </si>
  <si>
    <t>COLONIA GUADALUPE</t>
  </si>
  <si>
    <t>11DJN4484H - JARDIN DE NIÑOS HANS CHRISTIAN ANDERSEN</t>
  </si>
  <si>
    <t>11DPR2123Z - PINO SUAREZ</t>
  </si>
  <si>
    <t>COMUNIDAD SAN NICOLAS DE LOS GONZALEZ</t>
  </si>
  <si>
    <t>SECTOR SALUD</t>
  </si>
  <si>
    <t>11DPR2655N - DIEGO RIVERA</t>
  </si>
  <si>
    <t>11DPR2437Z - ATANASIO HERNANDEZ ROMO</t>
  </si>
  <si>
    <t>11DPR2540M - EMILIANO ZAPATA</t>
  </si>
  <si>
    <t>11DPR2653P - LIC. ADOLFO LOPEZ MATEOS</t>
  </si>
  <si>
    <t>11DPR2733A - LIBERTAD</t>
  </si>
  <si>
    <t>11DPR3011C - FRAY PEDRO DE GANTE</t>
  </si>
  <si>
    <t>11DPR3049P - EMILIANO ZAPATA</t>
  </si>
  <si>
    <t>11DPR3085U - TIERRA Y LIBERTAD</t>
  </si>
  <si>
    <t>11DPR3129A - NETZAHUALCOYOTL</t>
  </si>
  <si>
    <t>11DJN4423U - BERTHA VON GLUMER</t>
  </si>
  <si>
    <t>11DJN4426R - CUICAMATINI</t>
  </si>
  <si>
    <t>11DPR3870K - JUVENTINO ROSAS</t>
  </si>
  <si>
    <t>11DES0108N - SECUNDARIA GENERAL</t>
  </si>
  <si>
    <t>11DES0109M - JORGE GONZALEZ CAMARENA</t>
  </si>
  <si>
    <t>11DPR3279H - FERNANDO MONTES DE OCA</t>
  </si>
  <si>
    <t>11DPR3280X - BENITO JUAREZ</t>
  </si>
  <si>
    <t>11DPR3356W - FRANCISCO VILLA</t>
  </si>
  <si>
    <t>11DJN4469P - CARLOS DE SIGÜENZA Y GONGORA</t>
  </si>
  <si>
    <t>11DPR3398V - MIGUEL HIDALGO</t>
  </si>
  <si>
    <t>11DPR3895T - EFREN REBOLLEDO</t>
  </si>
  <si>
    <t>11DPR3896S - GILBERTO BOSQUES SALDIVAR</t>
  </si>
  <si>
    <t>11DPR3720D - LUCAS ALAMAN</t>
  </si>
  <si>
    <t>11DPR3721C - EFRAIN HUERTA</t>
  </si>
  <si>
    <t>11DPR3736E - SOSTENES LIRA</t>
  </si>
  <si>
    <t>11DPR3752W - JOSEFINA GOMEZ MENA</t>
  </si>
  <si>
    <t>11DPR3768X - JOSE ROSAS MORENO</t>
  </si>
  <si>
    <t>11DPR3769W - ESCUELA PRIMARIA</t>
  </si>
  <si>
    <t>11DPR3770L - CUAUHTEMOC</t>
  </si>
  <si>
    <t>11DJN4624R - FRIDA KALO</t>
  </si>
  <si>
    <t>COLONIA VILLAS DE BARCELO</t>
  </si>
  <si>
    <t>11DPR3798R - BENEMERITOS CONSTITUYENTES DE 1917</t>
  </si>
  <si>
    <t>11DPR3810W - EVERARDO GOMEZ HERNANDEZ</t>
  </si>
  <si>
    <t>11DPR3831I - CLUB ROTARIO CHESTER SAWKO</t>
  </si>
  <si>
    <t>COLONIA AGUA AZUL</t>
  </si>
  <si>
    <t>11DPR3833G - SOLEDAD ANAYA SOLORZANO</t>
  </si>
  <si>
    <t>11DPR3837C - SENTIMIENTOS DE LA NACION</t>
  </si>
  <si>
    <t>11DST0045K - SECUNDARIA TECNICA NUM. 33</t>
  </si>
  <si>
    <t>11DST0057P - SECUNDARIA TECNICA NUM. 39</t>
  </si>
  <si>
    <t>11ECC0003T - YAN JU YA BOTZI</t>
  </si>
  <si>
    <t>11EJN0205E - ESCUELA PREESCOLAR EYUPOL</t>
  </si>
  <si>
    <t>COLONIA EYUPOL</t>
  </si>
  <si>
    <t>11EJN0259I - AMADO NERVO</t>
  </si>
  <si>
    <t>11EJN0298K - EMMA GODOY</t>
  </si>
  <si>
    <t>11EJN0299J - DIEGO RIVERA</t>
  </si>
  <si>
    <t>MEDIA SUPERIOR</t>
  </si>
  <si>
    <t>11ETV0035Q - TELESECUNDARIA NUM. 6</t>
  </si>
  <si>
    <t>CENTRO DE INNOVACIÓN APLICADA EN TECNOLOGÍAS COMPETITIVAS EDIFICIO A</t>
  </si>
  <si>
    <t>FONDOS GUANAJUATO LEON</t>
  </si>
  <si>
    <t>11ETH0013L - BACHILLERATO SABES SAN ISIDRO</t>
  </si>
  <si>
    <t>11ETH0116H - BACHILLERATO SABES VALLE DE JEREZ</t>
  </si>
  <si>
    <t>si</t>
  </si>
  <si>
    <t>ok</t>
  </si>
  <si>
    <t>PLAZA PUBLICA EL LUCERO</t>
  </si>
  <si>
    <t>CENTRO DEPORTIVO LAS JOYAS</t>
  </si>
  <si>
    <t>DEPORTIVA I (UNIDAD DEPORTIVA I)</t>
  </si>
  <si>
    <t>PARQUE IV CENTENARIO</t>
  </si>
  <si>
    <t>MINIDEPORTIVA LOMA DORADA</t>
  </si>
  <si>
    <t>COLONIA LOMA DORADA</t>
  </si>
  <si>
    <t>PRESIDENCIA MUNICIPAL DE LEÓN DE LOS ALDAMA</t>
  </si>
  <si>
    <t>11EPR0645S -SECUNDARIA ANEXA NORMAL OFICIAL</t>
  </si>
  <si>
    <t>11DES0015Y - SECUNDARIA GENERAL DIEGO RIVERA</t>
  </si>
  <si>
    <t>11DJN0269Q - DR. D. FRANCISCO LEAL</t>
  </si>
  <si>
    <t>11DES0028B - SECUNDARIA GENERAL HERMANOS FLORES MAGON</t>
  </si>
  <si>
    <t>11DES0061J - SECUNDARIA GENERAL EMPERADOR CUAUHTEMOC</t>
  </si>
  <si>
    <t>11DES0072P - SECUNDARIA GENERAL N° 7 "MARGARITA PAZ PAREDES"</t>
  </si>
  <si>
    <t>11DES0084U - SECUNDARIA GENERAL HILARIO MEDINA</t>
  </si>
  <si>
    <t>11DES0090E - ESCUELA SECUNDARIA N° 11"JUAN J.VARELA MAYORGA"</t>
  </si>
  <si>
    <t>11DES0097Y - PEDRO MORENO</t>
  </si>
  <si>
    <t>11DES0099W - FRANCISCO PICHARDO</t>
  </si>
  <si>
    <t>11DES0102T - SECUNDARIA GENERAL SOR JUANA INES DE LA CRUZ</t>
  </si>
  <si>
    <t>11DES0103S - GUADALUPE PEDROZA PIÑA</t>
  </si>
  <si>
    <t>11DJN0030G - MANUEL LOPEZ COTILLA</t>
  </si>
  <si>
    <t>11DJN0046H - OSCAR GONZALEZ BLACKALLER</t>
  </si>
  <si>
    <t>11DJN0060A - ZORAIDA PINEDA</t>
  </si>
  <si>
    <t>11DJN0078Z - MANUEL DOBLADO</t>
  </si>
  <si>
    <t>11DJN0114O - NICOLAS RANGEL</t>
  </si>
  <si>
    <t>11DJN0329O - JOSEFA ORTIZ DE DOMINGUEZ</t>
  </si>
  <si>
    <t>11DJN0197N - ALVARO OBREGON</t>
  </si>
  <si>
    <t>11DJN0212P - CARMEN RAMOS DEL RIO</t>
  </si>
  <si>
    <t>11DJN0216L - DANIEL DELGADILLO</t>
  </si>
  <si>
    <t>11DJN0226S - PROFRA. SILVINA LARA PARTIDA</t>
  </si>
  <si>
    <t>11DJN0227R - DR. JOSE DE JESUS GONZALEZ</t>
  </si>
  <si>
    <t>11DJN0230E - MANUEL G TINOCO</t>
  </si>
  <si>
    <t>11DJN0327Q - MARIANO SILVA Y ACEVES</t>
  </si>
  <si>
    <t>11DJN0331C - PROFRA. ROSAURA ZAPATA CANO</t>
  </si>
  <si>
    <t>11DJN0334Z - DIEGO RIVERA</t>
  </si>
  <si>
    <t>11DJN0652M - EMILIO PORTES GIL</t>
  </si>
  <si>
    <t>11DJN0730Z - SOR JUANA INES DE LA CRUZ</t>
  </si>
  <si>
    <t>11DJN0731Z - PROFR. JOSE SOSTENES LIRA</t>
  </si>
  <si>
    <t>11DPR0219Z - PRIMARIA IV CENTENARIO</t>
  </si>
  <si>
    <t>11DJN2611Z - ANDRES DELGADO</t>
  </si>
  <si>
    <t>11DJN2627A - TLAMATINI</t>
  </si>
  <si>
    <t>11DJN2774K - ALFRED ADLER</t>
  </si>
  <si>
    <t>11DJN2808K - EMILIANO ZAPATA</t>
  </si>
  <si>
    <t>11DJN2882S - NIÑOS HEROES</t>
  </si>
  <si>
    <t>11DJN2902P - JUAN ALDAMA</t>
  </si>
  <si>
    <t>COLONIA PEDREGAL DEL CARMEN</t>
  </si>
  <si>
    <t>11DJN3671V - CALMECAC</t>
  </si>
  <si>
    <t>11DJN3755C - JUAN AMOS COMENIO</t>
  </si>
  <si>
    <t>UNIDAD DE TELEVISION DE GUANAJUATO</t>
  </si>
  <si>
    <t>11DJN4088H - RAUL BOLAÑOS MARTINEZ</t>
  </si>
  <si>
    <t>11DJN4148F - SALVADOR DIAZ MIRON</t>
  </si>
  <si>
    <t>11DPR0923E - HEROES DE CHAPULTEPEC</t>
  </si>
  <si>
    <t>11DPR0276Q - VENUSTIANO CARRANZA</t>
  </si>
  <si>
    <t>11DPR0328F - J. JESUS MAYAGOITIA JAIME</t>
  </si>
  <si>
    <t>11DPR0350H - IGNACIO ZARAGOZA</t>
  </si>
  <si>
    <t>COLONIA VALLE DEL CAMPESTRE</t>
  </si>
  <si>
    <t>11DPR0549Q - IGNACIO RAMIREZ</t>
  </si>
  <si>
    <t>11DPR0552D - IGNACIO MANUEL ALTAMIRANO</t>
  </si>
  <si>
    <t>11DPR0704S - HERMANOS ALDAMA</t>
  </si>
  <si>
    <t>11DPR0922F - INSURGENTES</t>
  </si>
  <si>
    <t>11DPR0924D - MAESTRO ZARZA</t>
  </si>
  <si>
    <t>11DPR0960I - IGNACIO RAMIREZ</t>
  </si>
  <si>
    <t>11DPR0965D - MARGARITA MAZA DE JUAREZ</t>
  </si>
  <si>
    <t>11DPR1003G - PROFR. LAURO VILLEGAS RIVERA</t>
  </si>
  <si>
    <t>11DPR1091R - INDEPENDENCIA</t>
  </si>
  <si>
    <t>11DPR2202M - DON VICENTE GUERRERO SALDAÑA</t>
  </si>
  <si>
    <t>11DPR1065T - 5 DE FEBRERO</t>
  </si>
  <si>
    <t>11DPR1540F - SEBASTIAN LERDO DE TEJADA</t>
  </si>
  <si>
    <t>11DPR1099J - JUAN N HERRERA</t>
  </si>
  <si>
    <t>11DPR1111O - MARIANA RODRIGUEZ DE LAZARIN</t>
  </si>
  <si>
    <t>11DPR1115K - LIC. ADOLFO LOPEZ MATEOS</t>
  </si>
  <si>
    <t>11DPR1118H - JAIME NUNO</t>
  </si>
  <si>
    <t>11DPR1358G - GENERAL FRANCISCO VILLA</t>
  </si>
  <si>
    <t>11DPR2989A - PETRA RIOS LONGORIA</t>
  </si>
  <si>
    <t>11DPR1163U - AQUILES SERDAN</t>
  </si>
  <si>
    <t>11DPR1341G - JOSE MA MORELOS Y PAVON</t>
  </si>
  <si>
    <t>11DPR1917A - SOCRATES CASTELLANOS PIKE</t>
  </si>
  <si>
    <t>11DPR1538R - EL NIGROMANTE</t>
  </si>
  <si>
    <t>11DPR1552K - GUADALUPE VICTORIA</t>
  </si>
  <si>
    <t>11DPR1549X - PRAXEDIS G. GUERRERO</t>
  </si>
  <si>
    <t>CASA DEL JUBILADO LEON</t>
  </si>
  <si>
    <t>11DPR1600D - HERMENEGILDO GALEANA SERTOMA</t>
  </si>
  <si>
    <t>11DPR1834S - HERMANOS ALDAMA</t>
  </si>
  <si>
    <t>11DPR2706D - ANTONIO SANCHEZ HERRERA</t>
  </si>
  <si>
    <t>11DPR3317U - JOSE MARIA MORELOS Y PAVON</t>
  </si>
  <si>
    <t>11DPR3340V - JUVENTINO ROSAS</t>
  </si>
  <si>
    <t>11DPR3426A - LUIS CHAVEZ OROZCO</t>
  </si>
  <si>
    <t>11DPR3908G - EFRAIN HUERTA</t>
  </si>
  <si>
    <t>11DPR3521E - LIC. LUIS DONALDO COLOSIO MURRIETA</t>
  </si>
  <si>
    <t>11DPR3672K - BELISARIO DOMINGUEZ</t>
  </si>
  <si>
    <t>11DPR1345C - GENERAL GUADALUPE VICTORIA</t>
  </si>
  <si>
    <t>11DPR3748J - FRANCISCO LOZORNIO CASTILLO</t>
  </si>
  <si>
    <t>11DPR3828V - PAULO FREIRE</t>
  </si>
  <si>
    <t>11DST0001N - SECUNDARIA TECNICA NUM. 1</t>
  </si>
  <si>
    <t>11DST0062A - SECUNDARIA TECNICA NUM. 53</t>
  </si>
  <si>
    <t>11DST0073G - SECUNDARIA TECNICA NUM. 50</t>
  </si>
  <si>
    <t>11DST0076D - SECUNDARIA TECNICA NUM. 56</t>
  </si>
  <si>
    <t>11DST0080Q - SECUNDARIA TECNICA NUM. 59</t>
  </si>
  <si>
    <t>11DST0082O - SECUNDARIA TECNICA NUM. 58</t>
  </si>
  <si>
    <t>11DES0112Z - MARIO AGUIRRE CASAS</t>
  </si>
  <si>
    <t>11DJN4505D - MATILDE P. MONTOYA</t>
  </si>
  <si>
    <t>COLONIA JOYAS DE CASTILLA PLUS</t>
  </si>
  <si>
    <t>11DJN4507B - PAULO FREIRE</t>
  </si>
  <si>
    <t>11DJN4508A - PIERRE FAURE</t>
  </si>
  <si>
    <t>11DJN4509Z - MARIA CONCEPCION FLORES MONTUFAR</t>
  </si>
  <si>
    <t>11DJN4511O - ALFONSO GARCIA ROBLES</t>
  </si>
  <si>
    <t>11EJN0020Z - GIOVANNI ENRICO PESTALOZZI</t>
  </si>
  <si>
    <t>11EJN0056N - JARDIN DE NIÑOS ROSA AGAZZI</t>
  </si>
  <si>
    <t>11EJN0057M - EDUARDO LIZALDE</t>
  </si>
  <si>
    <t>11EJN0080N - MARIA LUISA DIOSDADO</t>
  </si>
  <si>
    <t>11EJN0190T - JUAN ESCUTIA</t>
  </si>
  <si>
    <t>11EJN0198L - GUILLERMO PRIETO</t>
  </si>
  <si>
    <t>11EJN0199K - RODOLFO PADILLA PADILLA</t>
  </si>
  <si>
    <t>11EJN0206D - OVIDIO DECROLY</t>
  </si>
  <si>
    <t>11EJN0261X - PAULO FREIRE</t>
  </si>
  <si>
    <t>11EJN0285G - ROSAURA ZAPATA</t>
  </si>
  <si>
    <t>11EJN0399I - ERASMO CASTELLANOS QUINTO</t>
  </si>
  <si>
    <t>11EJN0401G - CUAUHTEMOC</t>
  </si>
  <si>
    <t>11EJN0415J - OCTAVIO PAZ</t>
  </si>
  <si>
    <t>11EJN0421U - ROBERTO PLASCENCIA GUTIERREZ</t>
  </si>
  <si>
    <t>11EJN0782E - CENTRO COMUNITARIO DE DESARROLLO DIF</t>
  </si>
  <si>
    <t>11EJN0788Z - CENTRO DE DESARROLLO COMUNITARIO DIF</t>
  </si>
  <si>
    <t>11EJN1189K - JUAN AMOS COMENO</t>
  </si>
  <si>
    <t>11EPR0638I - JOSE MA. MORELOS Y PAVON</t>
  </si>
  <si>
    <t>11EPR0166J - AQUILES SERDAN</t>
  </si>
  <si>
    <t>11EPR0172U - JOSE PONS</t>
  </si>
  <si>
    <t>11EPR0182A - INDEPENDENCIA</t>
  </si>
  <si>
    <t>11EPR0189U - EUFRASIA PANTOJA</t>
  </si>
  <si>
    <t>11EPR0191I - ENRIQUE FLORES MAGON</t>
  </si>
  <si>
    <t>11DJN0662T - CARLOS A. CARRILLO</t>
  </si>
  <si>
    <t>COLONIA POMPA</t>
  </si>
  <si>
    <t>11EPR0207T - VICENTE GUERRERO 2</t>
  </si>
  <si>
    <t>11EPR0655Z - LIC. IGNACIO GARCIA TELLEZ</t>
  </si>
  <si>
    <t>11EPR0213D - RAMONA DE ALBA PONCE</t>
  </si>
  <si>
    <t>11EPR0215B - NARCISO MENDOZA</t>
  </si>
  <si>
    <t>11EPR0220N - MARTIN MUÑOZ</t>
  </si>
  <si>
    <t>11EPR0388T - LEONA VICARIO</t>
  </si>
  <si>
    <t>11EPR0389S - ANATOLIO GALVAN</t>
  </si>
  <si>
    <t>11EPR0392F - FRANCISCO GONZALEZ BOCANEGRA</t>
  </si>
  <si>
    <t>11EPR0396B - FRANCISCO J. MUJICA</t>
  </si>
  <si>
    <t>11EPR0401X - MA. CONCEPCION VALTIERRA</t>
  </si>
  <si>
    <t>11EPR0486U - QUETZALCOATL</t>
  </si>
  <si>
    <t>11EPR0657X - URBANA 44 WIGBERTO JIMENEZ MORENO</t>
  </si>
  <si>
    <t>11EPR0659V - EYUPOL</t>
  </si>
  <si>
    <t>11EPR0703S - PRIM. URB.NO 53 HERMENEGILDO BUSTOS</t>
  </si>
  <si>
    <t>11EPR0211F - PASCUAL LANDIN</t>
  </si>
  <si>
    <t>11EPR0794Z - URBANA N° 60 REVOLUCION MEXICANA</t>
  </si>
  <si>
    <t>11EPR0813Y - JOSE MARIA LICEAGA</t>
  </si>
  <si>
    <t>11EPR0820H - URBANA N° 62 GENERAL FRANCISCO VILLA</t>
  </si>
  <si>
    <t>11EPR0821G - IGNACIO COMONFORT</t>
  </si>
  <si>
    <t>11EPR0831N - NARCISO MENDOZA</t>
  </si>
  <si>
    <t>11EPR0832M - NARCISO BASSOLS</t>
  </si>
  <si>
    <t>11DES0114Y - RUFINO TAMAYO</t>
  </si>
  <si>
    <t>11DES0115X - JUAN JOSE ARREOLA</t>
  </si>
  <si>
    <t>11DJN4523T - JAIME SABINES GUTIERREZ</t>
  </si>
  <si>
    <t>11DJN4524S - PATRIA Y LIBERTAD</t>
  </si>
  <si>
    <t>11EPR0867B - URBANA N° 72 JAIME TORRES BODET</t>
  </si>
  <si>
    <t>11EPR0868A - URBANA N° 71 BARTOLOME DE LAS CASAS</t>
  </si>
  <si>
    <t>11EPR0875K - URBANA N° 75 RAYMUNDO HERRERA PADILLA</t>
  </si>
  <si>
    <t>11DJN4525R - SANTIAGO MANRIQUE</t>
  </si>
  <si>
    <t>11DPR3916P - HILARIO MEDINA</t>
  </si>
  <si>
    <t>COLONIA VILLAS DE NUESTRA SEÑORA DE LA LUZ</t>
  </si>
  <si>
    <t>11ETV0033S - TELESECUNDARIA NUM. 4</t>
  </si>
  <si>
    <t>11ETV0036P - TELESECUNDARIA NUM. 7</t>
  </si>
  <si>
    <t>11ETV0037O - TELESECUNDARIA NUM. 8</t>
  </si>
  <si>
    <t>11ETV0041A - TELESECUNDARIA NUM. 12</t>
  </si>
  <si>
    <t>11ETV0042Z - TELESECUNDARIA NUM. 13</t>
  </si>
  <si>
    <t>11ETV0043Z - TELESECUNDARIA NUM. 14</t>
  </si>
  <si>
    <t>11ETV0044Y - TELESECUNDARIA NUM. 15</t>
  </si>
  <si>
    <t>11ETV0122L - TELESECUNDARIA NUM. 51</t>
  </si>
  <si>
    <t>11ETV0264J - EULALIA GUZMAN</t>
  </si>
  <si>
    <t>11ETV0324H - TELESECUNDARIA NUM. 329</t>
  </si>
  <si>
    <t>11ETV0394C - TELESECUNDARIA NUM. 373</t>
  </si>
  <si>
    <t>11ETV0395B - TELESECUNDARIA NUM. 372</t>
  </si>
  <si>
    <t>11ETV0483W - TELESECUNDARIA NUM. 466</t>
  </si>
  <si>
    <t>11ETV0510C - TELESECUNDARIA NUM. 491</t>
  </si>
  <si>
    <t>11ETV0540X - TELESECUNDARIA NUM. 529</t>
  </si>
  <si>
    <t>11ETV0581X - TELESECUNDARIA NUM. 586</t>
  </si>
  <si>
    <t>11ETV0583V - TELESECUNDARIA NUM. 583</t>
  </si>
  <si>
    <t>11ETV0586S - TELESECUNDARIA NUM. 582</t>
  </si>
  <si>
    <t>11ETV0740V - TELESECUNDARIA NUM. 744</t>
  </si>
  <si>
    <t>11ETV0796X - TELESECUNDARIA NUM. 796</t>
  </si>
  <si>
    <t>11ETV0901R - TELESECUNDARIA NUM. 901</t>
  </si>
  <si>
    <t>11ETV0902Q - TELESECUNDARIA NUM. 902</t>
  </si>
  <si>
    <t>11ETV0937F - TELESECUNDARIA NUM. 937</t>
  </si>
  <si>
    <t>11DJN4559H - MARIA ELENA ZAPATA MARQUEZ</t>
  </si>
  <si>
    <t>11DJN4560X - ALONSO JOSE RICARDO LUJAMBIO IRAZABAL</t>
  </si>
  <si>
    <t>11DPR3930I - JOSEFINA JUAREZ DE LA ROSA</t>
  </si>
  <si>
    <t>11DES0121H - CENTENARIO DE LA CONSTITUCION DE 1917</t>
  </si>
  <si>
    <t>11DPR3939Z - JAIME SABINES GUTIERREZ</t>
  </si>
  <si>
    <t>11DES0131O - INES MARIA GASCA SOLORZANO</t>
  </si>
  <si>
    <t>COLONIA BRISAS DEL CAMPESTRE</t>
  </si>
  <si>
    <t>INSTITUTO ESTATAL DE CAPACITACIÓN PLANTEL LEON</t>
  </si>
  <si>
    <t>11DPR3963Z - FILOMENO MATA RODRIGUEZ</t>
  </si>
  <si>
    <t>11DES0130P - MANUEL LEAL GUERRERO</t>
  </si>
  <si>
    <t>11DJN4641H - ALEJANDRO ARENA TORRES LANDA</t>
  </si>
  <si>
    <t>11DJN4642G - RITA FERRINI RIOS</t>
  </si>
  <si>
    <t>SUPERIOR</t>
  </si>
  <si>
    <t>11DJN0665Q - MAESTRA JOSEFINA CAMARENA ROCHA</t>
  </si>
  <si>
    <t>11DES0011B - JORGE IBARGÜENGOITIA ANTILLON</t>
  </si>
  <si>
    <t>11DST0061B - ESCUELA SECUNDARIA TECNICA NO 43</t>
  </si>
  <si>
    <t>11EJN0029Q - MARTHA CATALINA GARCIA OLIVARES</t>
  </si>
  <si>
    <t>11DPR3232N - ANTONIA DEL MORAL</t>
  </si>
  <si>
    <t>COLONIA PASEOS DE LA FRAGUA</t>
  </si>
  <si>
    <t>11DPR3857Q - EMMA GODOY</t>
  </si>
  <si>
    <t>11DPR3859O - MARGARITA PAZ PAREDES</t>
  </si>
  <si>
    <t>11DJN4359J - JARDIN DE NIÑOS ROSARIO CASTELLANOS</t>
  </si>
  <si>
    <t>11DPR3860D - CENTENARIO DE LA CONSTITUCION DE 1917</t>
  </si>
  <si>
    <t>11DCM0001C - CENTRO DE ESTUDIOS TECNOLOGICOS EN AGUAS CONTINENTALES</t>
  </si>
  <si>
    <t>11ECT0006G - ESCUELA DE TALENTOS GUANAJUATO AZTECA NIVEL MEDIO SUPERIOR</t>
  </si>
  <si>
    <t>11MSU0003S - TECNOLOGICO NACIONAL 24 DE LEON</t>
  </si>
  <si>
    <t>FARMACIA</t>
  </si>
  <si>
    <t>FARMACIA ISSEG F093</t>
  </si>
  <si>
    <t>FARMACIA ISSEG F113</t>
  </si>
  <si>
    <t>11DJN4510P - IGNACIO GARCIA TELLEZ</t>
  </si>
  <si>
    <t>FARMACIA ISSEG F139</t>
  </si>
  <si>
    <t>11DPR3272O - PROFR. FRANCISCO RAMIREZ MATA</t>
  </si>
  <si>
    <t>11EJN0326Q - BERTA VON GLUMER LEYVA</t>
  </si>
  <si>
    <t>11DPR2788D - IGNACIO ALLENDE</t>
  </si>
  <si>
    <t>11ETV0032T - TELESECUNDARIA NUM. 3</t>
  </si>
  <si>
    <t>DIRECCION REGIONAL DE AUDITORIA FISCAL A</t>
  </si>
  <si>
    <t>COLONIA CENTRO</t>
  </si>
  <si>
    <t>REGISTRO PUBLICO DE LA PROPIEDAD Y DEL COMERCIO LEON</t>
  </si>
  <si>
    <t>UNIDAD DE TELEVISIÓN DE GUANAJUATO</t>
  </si>
  <si>
    <t>OFICIALIA DEL REGISTRO CIVIL SAN JUAN BOSCO</t>
  </si>
  <si>
    <t>JUNTA LOCAL DE CONCILIACION Y ARBITRAJE</t>
  </si>
  <si>
    <t>OFICIALIA DEL REGISTRO CIVIL DELTA</t>
  </si>
  <si>
    <t>INSTITUTO DE ALFABETIZACIÓN Y EDUCACIÓN BÁSICA PARA ADULTOS COORD ZONA LEÓN</t>
  </si>
  <si>
    <t>COLONIA INDUSTRIAL JULIAN DE OBREGON</t>
  </si>
  <si>
    <t>COLONIA RINCONADA DEL SUR</t>
  </si>
  <si>
    <t>11ENL0005E - ESCUELA NORMAL OFICIAL DE LEÓN</t>
  </si>
  <si>
    <t>11ETC0016N - COLEGIO DE ESTUDIOS CIENTIFICOS Y TECNOLOGICOS DEL ESTADO DE GUANAJUATO PLANTEL LEON SJB</t>
  </si>
  <si>
    <t>11ETC0034C - COLEGIO DE ESTUDIOS CIENTIFICOS Y TECNOLOGICOS DEL ESTADO DE GUANAJUATO PLANTEL LEON III</t>
  </si>
  <si>
    <t>11ETC0004I - COLEGIO DE ESTUDIOS CIENTIFICOS Y TECNOLOGICOS DEL ESTADO DE GUANAJUATO PLANTEL LEON</t>
  </si>
  <si>
    <t>11DPT0013V - PLANTEL CONALEP 302. LEÓN III</t>
  </si>
  <si>
    <t>HOSPITAL DE ESPECIALIDADES MATERNO INFANTIL DE LEON</t>
  </si>
  <si>
    <t>COLONIA BARRIO DE GUADALUPE 37289.</t>
  </si>
  <si>
    <t>HOSPITAL GENERAL REGIONAL DE LEON</t>
  </si>
  <si>
    <t>11ETV0030V - TELESECUNDARIA NUM. 1</t>
  </si>
  <si>
    <t>COLONIA EL CARMEN</t>
  </si>
  <si>
    <t>HOSPITAL COMUNITARIO DE LAS JOYAS</t>
  </si>
  <si>
    <t>COLONIA SAN JUAN JOYA</t>
  </si>
  <si>
    <t>COLONIA LEÓN II</t>
  </si>
  <si>
    <t>HOSPITAL DE ESPECIALIDADES PEDIATRICO LEON</t>
  </si>
  <si>
    <t>COLONIA VALLE DE LOS CASTILLOS</t>
  </si>
  <si>
    <t>LABORATORIO ESTATAL DE SALUD PUBLICA DEL ESTADO DE GUANAJUATO</t>
  </si>
  <si>
    <t>COMISION DEL DEPORTE DEL ESTADO DE GUANAJUATO</t>
  </si>
  <si>
    <t>11ETH0007A - BACHILLERATO SABES JARDINES DE ECHEVESTE</t>
  </si>
  <si>
    <t>11ETH0009Z - BACHILLERATO SABES VALLE DORADO</t>
  </si>
  <si>
    <t>11ETH0010O - BACHILLERATO SABES SAN PEDRO DE LOS HERNANDEZ</t>
  </si>
  <si>
    <t>COLONIA SAN PEDRO PLUS</t>
  </si>
  <si>
    <t>11ETH0115I - BACHILLERATO SABES MISION DE LA LUZ</t>
  </si>
  <si>
    <t>11ETH0163S - BACHILLERATO SABES JUAN ALONSO TORRES</t>
  </si>
  <si>
    <t>11ETH0163S - BACHILLERATO SABES LAS JOYAS</t>
  </si>
  <si>
    <t>11ETH0198H - BACHILLERATO SABES 21 DE MARZO</t>
  </si>
  <si>
    <t>11ETH0290O - BACHILLERATO SABES COLONIA LEON II</t>
  </si>
  <si>
    <t>CENTRO DE INNOVACIÓN APLICADA EN TECNOLOGÍAS COMPETITIVAS EDIFICIO B</t>
  </si>
  <si>
    <t>CENTRO DE INNOVACIÓN APLICADA EN TECNOLOGÍAS COMPETITIVAS EDIFICIO C</t>
  </si>
  <si>
    <t>CENTRO DE INVESTIGACIONES EN ÓPTICA A.C.</t>
  </si>
  <si>
    <t>CENTRO DE CONCILIACION LABORAL</t>
  </si>
  <si>
    <t>11ETH0117G - BACHILLERATO SABES LAS AMERICAS</t>
  </si>
  <si>
    <t>11ETH0118F -BACHILLERATO SABES LA PISCINA</t>
  </si>
  <si>
    <t>11ETH0276V - BACHILLERATO SABES AMPLIACION SAN FRANCISCO</t>
  </si>
  <si>
    <t>13a</t>
  </si>
  <si>
    <t>13b</t>
  </si>
  <si>
    <t>N/A</t>
  </si>
  <si>
    <t>CRUZ DE CANTERA (JUNTO A LAS CANCHAS DEL MALECON)</t>
  </si>
  <si>
    <t>CRUZ DE CANTERA SANTA FE</t>
  </si>
  <si>
    <t>JARDINES DE SAN SEBASTIAN II</t>
  </si>
  <si>
    <t>HEROES DE LA INDEPENDENCIA VILLA DE LAS FLORES</t>
  </si>
  <si>
    <t>MARFIX EL LUCERO II</t>
  </si>
  <si>
    <t>AGUA AZUL</t>
  </si>
  <si>
    <t>DELTA AGUA AZUL</t>
  </si>
  <si>
    <t>LOS ANGELES</t>
  </si>
  <si>
    <t>VALLE DE LOS NOGALES ANGELES, LOS</t>
  </si>
  <si>
    <t>BALCÓN DE LOS RUISEÑORES 208, BALCONES DE LA JOYA, 37355 LEÓN, GTO.</t>
  </si>
  <si>
    <t>TABLERO DEPORTIVA I</t>
  </si>
  <si>
    <t>ECHEVESTE 2000</t>
  </si>
  <si>
    <t>NABO ECHEVESTE 2000</t>
  </si>
  <si>
    <t>ECHEVESTE</t>
  </si>
  <si>
    <t>HERMENEGILDO BUSTOS HACIENDA ECHEVESTE</t>
  </si>
  <si>
    <t>MONTE DE LAS CRUCES HIDALGO</t>
  </si>
  <si>
    <t>MARIANO ESCOBEDO LOMAS DE LAS HILAMAS</t>
  </si>
  <si>
    <t>TORRES LANDA, JUAN JOSE SAN NICOLAS</t>
  </si>
  <si>
    <t>BLVD. MINERAL DE LA JOYA TORRES DORADAS</t>
  </si>
  <si>
    <t>VALLE DE SEÑORA I</t>
  </si>
  <si>
    <t>AVOGADRO VALLE DE SEÑORA</t>
  </si>
  <si>
    <t>PRESIDENCIA</t>
  </si>
  <si>
    <t>PLAZA PRINCIPAL</t>
  </si>
  <si>
    <t>CALLE JULIÁN DE OBREGÓN 245, OBREGÓN, 37320 LEÓN DE LOS ALDAMA, GTO.</t>
  </si>
  <si>
    <t>ESCUELA</t>
  </si>
  <si>
    <t>MERCURIO S/N, EL LUCERO, 37249, LEON DE LOS ALDAMA</t>
  </si>
  <si>
    <t>CALLE CHIMALPOPOCA NUMERO EXTERIOR: 102 , COLONIA AZTECAS, CODIGO</t>
  </si>
  <si>
    <t>AVENIDA PANORAMA Y VALLE DE OLIVO S/N</t>
  </si>
  <si>
    <t>CALLE ALICIA NUMERO EXTERIOR: 305 , COLONIA ORIENTAL, CODIGO POST</t>
  </si>
  <si>
    <t>CARRETERA LEON, SAN FRANCISCOSN KILOMETRO 1.5</t>
  </si>
  <si>
    <t>BOULEVARD MANUEL DE AUSTRI Y CAMPECHE S/N</t>
  </si>
  <si>
    <t>SEVILLA NUM. 2201 SEGUNDA SECCION PILETAS</t>
  </si>
  <si>
    <t>BOULEVARD SAN PEDRO NUM. SN Y LAUREL</t>
  </si>
  <si>
    <t>BOULEVARD FRANCISCO VILLA Y EGIPTO S/N</t>
  </si>
  <si>
    <t>SOFIA ALVAREZ NUM. 1503</t>
  </si>
  <si>
    <t>JOSEFINA CAMARENA NUM. 901</t>
  </si>
  <si>
    <t>CERRO DE LA BUFA ESQUINA VILLA DE REYES NUM. SN</t>
  </si>
  <si>
    <t>BOULEVARD EPSILON NUM. 1105</t>
  </si>
  <si>
    <t>CALLE AURORA DE SAN JUAN NUMERO EXTERIOR: SN, FRACCIONAMIENTO VIL</t>
  </si>
  <si>
    <t>BURGOS Y GALICIA S/N Y GALICIA S/N</t>
  </si>
  <si>
    <t>INMACULADA NUM. 108</t>
  </si>
  <si>
    <t>CALLE MANANTIAL NUMERO EXTERIOR: 203 , COLONIA FUTURAMA MONTERREY</t>
  </si>
  <si>
    <t>CUITLAHUAC Y CHIMALPOPOCA S/N ESQUINA CHIMALPOPOCA</t>
  </si>
  <si>
    <t>PROLONGACION LA MERCED NUM. 1239</t>
  </si>
  <si>
    <t>BOULEVARD MARIANO ESCOBEDO S/N A UN COSTADO DE LA PRIMARIA EMILIA</t>
  </si>
  <si>
    <t>DIEGO DE VELAZQUEZ NUM. 703</t>
  </si>
  <si>
    <t>CALLE TRES NUM. 56 BOULEVARD MIGUEL DE CERVANTES SAAVEDRA</t>
  </si>
  <si>
    <t>MURCIA BARCELONA S/N</t>
  </si>
  <si>
    <t>LOS ANGELES NUM. 316</t>
  </si>
  <si>
    <t>SEVILLA Y CATALUÑA S/N</t>
  </si>
  <si>
    <t>SANTA RITA NUM. 103</t>
  </si>
  <si>
    <t>PLAZA PALMERIN S/N</t>
  </si>
  <si>
    <t>LAGUNA DEL CARMEN S/N</t>
  </si>
  <si>
    <t>MANTO SAGRADO NUM. 111</t>
  </si>
  <si>
    <t>SAN JUSTO S/N</t>
  </si>
  <si>
    <t>PROLONGACION LA LUZ S/N VIA DEL TREN</t>
  </si>
  <si>
    <t>SANTA EMILIA NUM. 430</t>
  </si>
  <si>
    <t>CALLE CERRO DE JEREZ NUMERO EXTERIOR: 1507 , COLONIA CERRITO DE J</t>
  </si>
  <si>
    <t>ANDADOR DE LA TRINCHERA NUMERO EXTERIOR: SN, COLONIA SAN CARLOS L</t>
  </si>
  <si>
    <t>BOULEVARD KAROL WOJTYLA NUMERO EXTERIOR: SN, FRACCIONAMIENTO VILL</t>
  </si>
  <si>
    <t>ISLA DE TODOS LOS SANTOS NUM. 104</t>
  </si>
  <si>
    <t>GOLFO DE MEXICO NUM. 112</t>
  </si>
  <si>
    <t>CALLE RODRIGUEZ NUMERO EXTERIOR: 114 , BARRIO GUADALUPE, CODIGO P</t>
  </si>
  <si>
    <t>FELIX ROMERO NUM. 404 CARRETERA LEON-SAN FRANCIOSCO DEL RINCON</t>
  </si>
  <si>
    <t>14 DE MAYO S/N</t>
  </si>
  <si>
    <t>CALLE ARTICULO 27 NUMERO EXTERIOR: 102 , COLONIA LIBERTAD, CODIGO</t>
  </si>
  <si>
    <t>RODRIGO DE VAZQUEZ S7N, COL LAS TROJES, LEON DE LOS ALDAMA</t>
  </si>
  <si>
    <t>RINCONADA DE SAN PEDRO NUM. 119</t>
  </si>
  <si>
    <t>BUGAMBILIAS ESQUINA CALENDULAS S/N I.M.S.S. JEREZ</t>
  </si>
  <si>
    <t>ETA NUM. 510</t>
  </si>
  <si>
    <t>SIERRA DE SAN PEDRO NUM. 121</t>
  </si>
  <si>
    <t>ARRAYAN Y MADRE SELVA S/N ESQUINA MADRE SELVA</t>
  </si>
  <si>
    <t>ELISA NUM. 1503</t>
  </si>
  <si>
    <t>JOAQUIN MORENO S/N MALECON DEL RIO</t>
  </si>
  <si>
    <t>MAR EGEO Y MAR MEDITERRANEO</t>
  </si>
  <si>
    <t>COMUNIDAD SAN JUAN DE ABAJO PASANDO LA VIA DE FERROCARRIL</t>
  </si>
  <si>
    <t>CALLE HEGEL NUMERO EXTERIOR: 501 , FRACCIONAMIENTO CENTRO FAMILIA</t>
  </si>
  <si>
    <t>CALLE AQUILES SERDAN NUMERO EXTERIOR: SN, EJIDO LA JOYA, CODIGO P</t>
  </si>
  <si>
    <t>CALLE CAMINO A LA PRESA DEL SALTO NUMERO EXTERIOR: SN, FRACCIONAM</t>
  </si>
  <si>
    <t>AVENIDA PASEO DE LOS PAPAGAYOS NUMERO EXTERIOR: 201 , COLONIA SAN</t>
  </si>
  <si>
    <t>CALLE PADRE ROBERTO GUERRA NUMERO EXTERIOR: SN, COLONIA LOS ANGEL</t>
  </si>
  <si>
    <t>OBSERVATORIO NUM. 102 UNIVERSIDAD DE LA SALLE</t>
  </si>
  <si>
    <t>CALLE CAMINO A SAN JOSE DEL POTRERO NUMERO EXTERIOR: SN, FRACCION</t>
  </si>
  <si>
    <t>BORGOÑA NUM. 129 VIBAR</t>
  </si>
  <si>
    <t>JOSE DE JESUS LIRA NUM. 110 BOULEVARD MARIANO ESCOBEDO</t>
  </si>
  <si>
    <t>CALLE RIOLITA Y CALIZA NUMERO EXTERIOR: SN, COLONIA REAL DE LA JO</t>
  </si>
  <si>
    <t>CALLE OAXACA 502, COLONIA ARBIDE, LEÓN, GTO</t>
  </si>
  <si>
    <t>CALLE MATISSE NUMERO EXTERIOR: 121 , COLONIA SAN MIGUEL DE RENTAR</t>
  </si>
  <si>
    <t>DE LA LIRA NUM. 130</t>
  </si>
  <si>
    <t>GRANJA ESTEFANIA NUM. 202</t>
  </si>
  <si>
    <t>QUIO S/N ANTIGUA CARRETERA A LAGOS DE MORENO</t>
  </si>
  <si>
    <t>ALDEA NUM. 604</t>
  </si>
  <si>
    <t>CALLE DE LA POSTURA NUMERO EXTERIOR: SN, FRACCIONAMIENTO NUEVO AM</t>
  </si>
  <si>
    <t>CALLE FRAY RICARDO NUMERO EXTERIOR: 202 , COLONIA AMPLIACION SAN</t>
  </si>
  <si>
    <t>FLOR DE HIELO S/N</t>
  </si>
  <si>
    <t>Blvd Wigberto Jimenez Moreno Num Ext 704, Condominio Buenos Aires, Leon de los Aldama</t>
  </si>
  <si>
    <t>BAHIA DEL SENA ESQUINA BAHIA PUERTO PRINCIPE S/N</t>
  </si>
  <si>
    <t>ALTAR DE SAN JUAN S/N FRENTE A TEMPLO</t>
  </si>
  <si>
    <t>EJIDO POMPA</t>
  </si>
  <si>
    <t>NARDOS Y BUGAMBILIAS S/N</t>
  </si>
  <si>
    <t>CALLE FERNANDO MONTES DE OCA NUMERO EXTERIOR: 204 , COLONIA HEROE</t>
  </si>
  <si>
    <t>OCEANO ATLANTICO NUM. 302</t>
  </si>
  <si>
    <t>BALTAZAR NUM. 103</t>
  </si>
  <si>
    <t>LUIS FREG NUM. 304-A</t>
  </si>
  <si>
    <t>CAMINO PANORAMA NUM. 10803</t>
  </si>
  <si>
    <t>NOGAL NUM. 127</t>
  </si>
  <si>
    <t>FERROCARRILES NACIONALES S/N</t>
  </si>
  <si>
    <t>FRANCISCO VILLA NUM. 402</t>
  </si>
  <si>
    <t>MA. DOLORES ZAPATA NUM. 502</t>
  </si>
  <si>
    <t>PROLONGACION JUAREZ NUMERO EXTERIOR: 2901 , FRACCIONAMIENTO INDUS</t>
  </si>
  <si>
    <t>PARQUE VIA Y DEL VALLE S/N</t>
  </si>
  <si>
    <t>ALFREDO VALADEZ NUM. 702</t>
  </si>
  <si>
    <t>CAMPECHE NUM. 1401</t>
  </si>
  <si>
    <t>LAGO SAN CRISTOBAL S/N</t>
  </si>
  <si>
    <t>BOULEVARD MARIANO ESCOBEDO NUM. 1101 PONIENTE</t>
  </si>
  <si>
    <t>SANTANDER Y ORENSE S/N</t>
  </si>
  <si>
    <t>CUITLAHUAC Y PRADERA S/N JUNTO AL ISSSTE</t>
  </si>
  <si>
    <t>ELOISA JIMENEZ NUM. 409</t>
  </si>
  <si>
    <t>ANTONIO ALZATE NUM. 301</t>
  </si>
  <si>
    <t>CARRETERA CARRETERA SALIDA DE LOS GOMEZ508</t>
  </si>
  <si>
    <t>TARRAGONA NUM. 702</t>
  </si>
  <si>
    <t>FEDERICO BAENA S/N</t>
  </si>
  <si>
    <t>ARENA NORTE S/N</t>
  </si>
  <si>
    <t>COFRE DEL PEROTE S/N</t>
  </si>
  <si>
    <t>SANTANDER NUM. 1703 AJUSCO</t>
  </si>
  <si>
    <t>PICO DE ORIZABA NUM. 602</t>
  </si>
  <si>
    <t>LAGO DE TEXCOCO NUM. 148</t>
  </si>
  <si>
    <t>MIGUEL ANGEL Y VERME NUM. 412</t>
  </si>
  <si>
    <t>CALLE ROSSINI NUMERO EXTERIOR: 1 , COLONIA LAS ARBOLEDAS, CODIGO</t>
  </si>
  <si>
    <t>PUREPERO Y TACAMBARO S/N</t>
  </si>
  <si>
    <t>BOULEVARD MARIANO ESCOBEDO NUM. 2902</t>
  </si>
  <si>
    <t>CALLE JARDÍN DEL SOL NÚMERO EXTERIOR: SN, FRACCIONAMIENTO JARDINES DE SAN JUAN, CÓDIGO POSTAL 37295, LEÓN GTO.</t>
  </si>
  <si>
    <t>CALLE SILAO NUMERO EXTERIOR: 302 , COLONIA INDUSTRIAL (HAB.), COD</t>
  </si>
  <si>
    <t>ARRAYAN NUM. 304</t>
  </si>
  <si>
    <t>CALLE SAN ULISES DE ABAJO NUMERO EXTERIOR: 602 , EJIDO SAN JUAN D</t>
  </si>
  <si>
    <t>ROCIO Y LLUVIA S/N</t>
  </si>
  <si>
    <t>PROLONGACION LA MERCED NUM. 1608</t>
  </si>
  <si>
    <t>MIZAR S/N</t>
  </si>
  <si>
    <t>PANAMA NUM. 142</t>
  </si>
  <si>
    <t>GRANJA VERONICA S/N</t>
  </si>
  <si>
    <t>CHUPICUARO NUM. 602</t>
  </si>
  <si>
    <t>MARIA CONESA NUM. 121</t>
  </si>
  <si>
    <t>LAUREL NUM. 208</t>
  </si>
  <si>
    <t>Blvd. Vasco de Quiroga 1301, Real Providencia II, 37234, Leon de los Aldama, Gto.</t>
  </si>
  <si>
    <t>AVENIDA PLANETA Y VIRGINIA VAZQUEZ LIMONES</t>
  </si>
  <si>
    <t>CALLE JULIAN CARRILLO NUMERO EXTERIOR: 102 , COLONIA CASA BLANCA,</t>
  </si>
  <si>
    <t>IRAPUATO NUM. 1200</t>
  </si>
  <si>
    <t>CAMINO PRINCIPAL A JACINTO LOPEZ, ANTIGUO RELLENO SANITARIO, LEON, GTO.</t>
  </si>
  <si>
    <t>MIGUEL HIDALGO NUM. 101 LA RONCHA</t>
  </si>
  <si>
    <t>JORULLO S/N</t>
  </si>
  <si>
    <t>AVENIDA LA MERCED Y TURQUESA S/N</t>
  </si>
  <si>
    <t>AV. TORRE DE MARFIL 210, LEÓN DE LOS ALDAMA</t>
  </si>
  <si>
    <t>COMUNIDAD SAN NICOLAS DE LOS GONZALEZ CARRETERA LEON-DUARTE</t>
  </si>
  <si>
    <t>CENTRO ESTATAL DE MEDICINA TRANSFUNCIONAL</t>
  </si>
  <si>
    <t>BLVD JUAN ALONSO DE TORRES 4725-A, SAN JOSE DEL POTRERO, 37296, LEON, GTO</t>
  </si>
  <si>
    <t>3 DE MAYO NUM. 202</t>
  </si>
  <si>
    <t>ISLA CORONADO NUM. 104 JUNTO AL HOSPITAL MATERNO INFANTIL</t>
  </si>
  <si>
    <t>BOULEVARD MARIANO ESCOBEDO NUM. 2513</t>
  </si>
  <si>
    <t>UMAPS</t>
  </si>
  <si>
    <t>UNIDADES MÉDICAS DE ATENCIÓN PRIMARIA A LA SALUD (UMAPS)</t>
  </si>
  <si>
    <t>PROLONGACIÓN LA LUZ NÚM. 620, LOCALIDAD DE DUARTE, LEÓN, GTO.</t>
  </si>
  <si>
    <t>PROLONGACION LA MERCED NUMERO EXTERIOR: 1606 , COLONIA SANTA RITA</t>
  </si>
  <si>
    <t>TACAMBARO NUM. 201</t>
  </si>
  <si>
    <t>MA. DOLORES ZAPATA NUM. 504</t>
  </si>
  <si>
    <t>BOULEVARD JUAN ALONSO DE TORRES S/N PONIENTE</t>
  </si>
  <si>
    <t>J. MA. ROA BARCENAS NUM. 329</t>
  </si>
  <si>
    <t>ARTICULO 27 NUM. 101</t>
  </si>
  <si>
    <t>HALCON Y ORIOL S/N, COL. SAN SEBASTIAN</t>
  </si>
  <si>
    <t>AVENIDA VALLE USUMACINTA NUM. 101 BOULEVARD EPSILON</t>
  </si>
  <si>
    <t>AVENIDA EUROPA S/N CONTRAESQUINA DE LA IGLESIA</t>
  </si>
  <si>
    <t>AVENIDA VALLE DE FATIMA S/N</t>
  </si>
  <si>
    <t>DOMENICO IBAÑEZ DE ARQUICIA NUM. SN CLUB CINEGETICO DEL BAJIO</t>
  </si>
  <si>
    <t>AVENIDA AMBAR ESQUINA BALASTRA NUM. SN</t>
  </si>
  <si>
    <t>ANDADOR S/N</t>
  </si>
  <si>
    <t>MARTHA NUM. 104</t>
  </si>
  <si>
    <t>CALLE PASCAL KANT NUMERO EXTERIOR: 402 , FRACCIONAMIENTO CENTRO F</t>
  </si>
  <si>
    <t>MAR CARIBE NUM. 212</t>
  </si>
  <si>
    <t>AVENIDA DE LAS LIEBRES NUM. 402</t>
  </si>
  <si>
    <t>CALLE PRINCIPAL NUMERO EXTERIOR: SN, COLONIA SAN JUAN DE ABAJO, C</t>
  </si>
  <si>
    <t>MANTO SAGRADO NUM. 232</t>
  </si>
  <si>
    <t>FRANCISCO JAVIER CLAVIJERO NUM. 312</t>
  </si>
  <si>
    <t>AVENIDA JOYAS DE CASTILLA NUM. SN -B</t>
  </si>
  <si>
    <t>11DPR3499T - EVERARDO GOMEZ MENA</t>
  </si>
  <si>
    <t>MAR DE CORTEZ S/N</t>
  </si>
  <si>
    <t>AVENIDA SATURNO NUMERO EXTERIOR: 1601 , COLONIA LOS ANGELES, CODI</t>
  </si>
  <si>
    <t>CALLE PARAISO REAL NUMERO EXTERIOR: SN, PUEBLO SAN NICOLAS DE LOS</t>
  </si>
  <si>
    <t>AVENIDA PASEO DE CAMELINAS NUMERO EXTERIOR: 404 , FRACCIONAMIENTO</t>
  </si>
  <si>
    <t>JOSEFINA CAMARENA NUM. 301</t>
  </si>
  <si>
    <t>CALLE CRUZ DE PALMA NUMERO EXTERIOR: 105 , EJIDO LA JOYA, CODIGO</t>
  </si>
  <si>
    <t>CALLE JEREZ DE FORMENTERA NUMERO EXTERIOR: 202 , COLONIA JARDINES</t>
  </si>
  <si>
    <t>CALLE SAN JOSE ACATEMPA NUMERO EXTERIOR: 302 , COLONIA REFUGIO DE</t>
  </si>
  <si>
    <t>CALLE FELIX ROMERO NUMERO EXTERIOR: 406 , COLONIA PERIODISTAS MEX</t>
  </si>
  <si>
    <t>NUEVA GALICIA S/N A UN COSTADO DE LA TELESECUNDARIA 796</t>
  </si>
  <si>
    <t>SIERRA DE SAN PEDRO NUM. 127</t>
  </si>
  <si>
    <t>AVENIDA LAS VILLAS NUMERO EXTERIOR: 115 , COLONIA AMPLIACION SAN</t>
  </si>
  <si>
    <t>DE LA LIRA NUM. 128</t>
  </si>
  <si>
    <t>BOULEVARD MARIANO LEAL NUM. 701</t>
  </si>
  <si>
    <t>MIGUEL BARCELO S/ FRACC. VILLAS</t>
  </si>
  <si>
    <t>CALLE DE LA MISERICORDIA NUMERO EXTERIOR: 104 , COLONIA LA GLORIA</t>
  </si>
  <si>
    <t>BOULEVARD TIMOTEO LOZANO NUM. 1004</t>
  </si>
  <si>
    <t>FRACCIONAMIENTO TERESITA VALADEZ NUM. SN CARRETERA LEON-LAS JOYAS</t>
  </si>
  <si>
    <t>CALLE KIRUNA NUMERO EXTERIOR: 417 , FRACCIONAMIENTO AGUA AZUL, CO</t>
  </si>
  <si>
    <t>VALLE DEL, VITRAL NUM. 104 VALLE DORADO</t>
  </si>
  <si>
    <t>CALLE ALTAR DE SAN JUAN NUMERO EXTERIOR: 206 , FRACCIONAMIENTO VI</t>
  </si>
  <si>
    <t>BOULEVARD ADOLFO LOPEZ MATEOS S/N</t>
  </si>
  <si>
    <t>CHOLULA NUM. 603</t>
  </si>
  <si>
    <t>PAPAYA NUM. SN</t>
  </si>
  <si>
    <t>BOULEVARD BOULEVAR MARIANO ESCOBEDO NUM. 5602 Y MA. ESTHER V. S/N</t>
  </si>
  <si>
    <t>FAISAN Y COLIBRI S/N</t>
  </si>
  <si>
    <t>VOLCAN DEL JORULLO NUM. 1308</t>
  </si>
  <si>
    <t>BALCON DE LOS PARDILLOS NUM. SN</t>
  </si>
  <si>
    <t>SANTA LOURDES NUM. 500</t>
  </si>
  <si>
    <t>INDEPENDENCIA VIAS DEL FERROCARRIL</t>
  </si>
  <si>
    <t>AVENIDA MOLINO DE INDEPENDENCIA NUMERO EXTERIOR: SN, FRACCIONAMIE</t>
  </si>
  <si>
    <t>BOULEVARD PASCAL KANT NUMERO EXTERIOR: SN, FRACCIONAMIENTO JOYAS</t>
  </si>
  <si>
    <t>AVENIDA VALLE DE LA LUZ S/N</t>
  </si>
  <si>
    <t>MANUEL M. MORENO NUM. 306-B</t>
  </si>
  <si>
    <t>VILLA DE SAN LUIS S/N</t>
  </si>
  <si>
    <t>CALLE ANDADOR CAJA MARCA NUMERO EXTERIOR: 100 , COLONIA POPULAR I</t>
  </si>
  <si>
    <t>FRANCISCANOS NUM. 230</t>
  </si>
  <si>
    <t>CALLE CONSTANZA NUMERO EXTERIOR: 201 , COLONIA VIBAR, CODIGO POST</t>
  </si>
  <si>
    <t>BALCON DE LOS PARDILLOS NUM. 112 FRENTE A CONVIVE</t>
  </si>
  <si>
    <t>CALLE NARANJA NUMERO EXTERIOR: 103 , COLONIA LOS LIMONES, CODIGO</t>
  </si>
  <si>
    <t>CALLE ASTURIAS NUMERO EXTERIOR: 1801 , COLONIA PILETAS II, CODIGO</t>
  </si>
  <si>
    <t>YAQUIS NUM. 404</t>
  </si>
  <si>
    <t>CALLE RIO GANGES NUMERO EXTERIOR: SN, COLONIA LOMAS VISTA HERMOSA</t>
  </si>
  <si>
    <t>ANDADOR DIRIGENTES NUM. 302</t>
  </si>
  <si>
    <t>BOULEVARD CAMPECHE NUMERO EXTERIOR: 2001 , COLONIA CHAPALITA, COD</t>
  </si>
  <si>
    <t>LOS ANGELES NUM. 102</t>
  </si>
  <si>
    <t>AVENIDA PASEO DE LAS GAVIOTAS NUM. 104</t>
  </si>
  <si>
    <t>CUMBRES ESQ. RISCO NUM. 507 PRADERA</t>
  </si>
  <si>
    <t>CALLE LILA NUMERO EXTERIOR: 120 , CONJUNTO HABITACIONAL VILLA DE</t>
  </si>
  <si>
    <t>VALLE MESOREA NUM. 501</t>
  </si>
  <si>
    <t>CIRCUITO ANTONIO VELAZQUEZ S/N</t>
  </si>
  <si>
    <t>ANDADOR SUPERACION NUM. 220</t>
  </si>
  <si>
    <t>CALLE CAMPOS OTOÑALES NUMERO EXTERIOR: 203 , COLONIA AGUA AZUL, C</t>
  </si>
  <si>
    <t>BOULEVARD MARIANO ESCOBEDO NUM. 6804 PONIENTE</t>
  </si>
  <si>
    <t>ANCHA S/N BOULEVARD PROLONGACION LA LUZ</t>
  </si>
  <si>
    <t>ARENA NORTE NUM. 311</t>
  </si>
  <si>
    <t>PAJARO CARPINTERO S/N BOULEVARD TIMOTEO LOZANO</t>
  </si>
  <si>
    <t>26 DE AGOSTO NUM. 1003</t>
  </si>
  <si>
    <t>CALLE BENITO JUAREZ NUMERO EXTERIOR: 231 , COLONIA CENTRO, CODIGO</t>
  </si>
  <si>
    <t>BOULEVARD VENUSTIANO CARRANZA NUMERO EXTERIOR: 214 , COLONIA SAN</t>
  </si>
  <si>
    <t>HONDA DE SAN MIGUEL NUM. 1002</t>
  </si>
  <si>
    <t>AVENIDA MIGUEL ALEMAN NUMERO EXTERIOR: 202 , COLONIA CENTRO, CODI</t>
  </si>
  <si>
    <t>TRES NUM. 502</t>
  </si>
  <si>
    <t>EJIDO PIRUL CHINO S/N LEÓN, GTO.</t>
  </si>
  <si>
    <t>AQUILES SERDAN NUM. 124</t>
  </si>
  <si>
    <t>BAHIA PUERTO PRINCIPE S/N</t>
  </si>
  <si>
    <t>CALLE EMILIANO ZAPATA NUMERO EXTERIOR: 307 , COLONIA CENTRO, CODI</t>
  </si>
  <si>
    <t>CANADA NUM. 303</t>
  </si>
  <si>
    <t>CAMPECHE Y PERU NUM. SN</t>
  </si>
  <si>
    <t>27 DE SEPTIEMBRE NUM. 625</t>
  </si>
  <si>
    <t>OMICRON NUM. 1150</t>
  </si>
  <si>
    <t>CAMPANARIO NUM. 159</t>
  </si>
  <si>
    <t>ALICIA S/N</t>
  </si>
  <si>
    <t>BOULEVARD LOMA DORADA NUM. 104</t>
  </si>
  <si>
    <t>ESTAMBUL NUM. 718</t>
  </si>
  <si>
    <t>MADRE EVA NUM. 210</t>
  </si>
  <si>
    <t>ANDADOR EL DESPALME NUM. 101</t>
  </si>
  <si>
    <t>GUTY CARDENAS NUM. 1504</t>
  </si>
  <si>
    <t>AVENIDA CONTINENTAL Y EUROPA S/N</t>
  </si>
  <si>
    <t>VOLCAN DE JORULLO NUM. 1601</t>
  </si>
  <si>
    <t>CALLE FELIPE MARTINEZ DE ZAVALA NUMERO EXTERIOR: 1107 , COLONIA A</t>
  </si>
  <si>
    <t>FRANCISCANOS S/N CARRETERA LEON-SILAO</t>
  </si>
  <si>
    <t>SANTA OLIVIA NUM. 302</t>
  </si>
  <si>
    <t>PIRAMIDE ESCALONADA S/N</t>
  </si>
  <si>
    <t>PAZ MUNDIAL SUR NUM. 102</t>
  </si>
  <si>
    <t>CALLE AMIANTO NUMERO EXTERIOR: SN, COLONIA RIZOS DEL SAUCILLO, CO</t>
  </si>
  <si>
    <t>BOULEVARD CALIOPE NUM. 3101</t>
  </si>
  <si>
    <t>GANIMIDES NUM. SN</t>
  </si>
  <si>
    <t>AVENIDA VEREDAS DE CAMELINAS NUM. SN</t>
  </si>
  <si>
    <t>CALLE OBSIDIANA NUMERO EXTERIOR: SN, COLONIA REAL DE LA JOYA, COD</t>
  </si>
  <si>
    <t>CALLE BALCON DE LOS PARADOS NUMERO EXTERIOR: 114 , FRACCIONAMIENT</t>
  </si>
  <si>
    <t>CALLE METIS NUMERO EXTERIOR: 315 , COLONIA ERMITA, CODIGO POSTAL</t>
  </si>
  <si>
    <t>BOULEVARD TORRE LEON NUMERO EXTERIOR: SN, FRACCIONAMIENTO PASEOS</t>
  </si>
  <si>
    <t>CALLE SANTA MADRE DE DIOS NUMERO EXTERIOR: 344 , FRACCIONAMIENTO</t>
  </si>
  <si>
    <t>SANTA GEMA Y MAR MEDITERRANEO</t>
  </si>
  <si>
    <t>SALVADOR VARGAS NUM. 202</t>
  </si>
  <si>
    <t>SATURNO NUM. 1401</t>
  </si>
  <si>
    <t>MA. JOAQUINA DE LA PORTILLA Y TORRES NUM. 402</t>
  </si>
  <si>
    <t>LAGUNA DE MEZTITLAN NUM. 215</t>
  </si>
  <si>
    <t>CALLE CUATRO NUM. 309</t>
  </si>
  <si>
    <t>SANTA ROSALIA NUM. 501</t>
  </si>
  <si>
    <t>BAYA</t>
  </si>
  <si>
    <t>CALLE OBELISCO NUMERO EXTERIOR: 105 , FRACCIONAMIENTO JARDINES DE</t>
  </si>
  <si>
    <t>ROBLES NUM. 202</t>
  </si>
  <si>
    <t>AVENIDA POTRERO NUMERO EXTERIOR: 110 -A, FRACCIONAMIENTO SAN JOS</t>
  </si>
  <si>
    <t>GAVIOTA NUM. 1000 CARRETERA LEON- DUARTE</t>
  </si>
  <si>
    <t>CALLE MARCEL NUMERO EXTERIOR: 509 , FRACCIONAMIENTO CENTRO FAMILI</t>
  </si>
  <si>
    <t>TIMOTEO LOZANO S/N</t>
  </si>
  <si>
    <t>16 DE JULIO S/N FRACCIONAMIENTO LOMA VERDE</t>
  </si>
  <si>
    <t>CALLE FLORES MAGON NUMERO EXTERIOR: 103 , EJIDO LA JOYA, CODIGO P</t>
  </si>
  <si>
    <t>FELIX ROMERO NUM. 543</t>
  </si>
  <si>
    <t>BOULEVARD OBRERO MUNDIAL NUMERO EXTERIOR: 202 , COLONIA SANTA RIT</t>
  </si>
  <si>
    <t>MADRE TIERRA NUM. 502 VALLE DE JEREZ SECCION II</t>
  </si>
  <si>
    <t>NUEVA GALICIA S/N</t>
  </si>
  <si>
    <t>MIGUEL HIDALGO LA RONCHA</t>
  </si>
  <si>
    <t>CALLE PRINCIPAL PASANDO LA VIA DEL FERROCARRIL</t>
  </si>
  <si>
    <t>ALDABA Y PURA SANGRE S/N</t>
  </si>
  <si>
    <t>BOULEVARD LOMA DORADA NUMERO EXTERIOR: 102 , FRACCIONAMIENTO PUER</t>
  </si>
  <si>
    <t>ESPARRAGO DE JEREZ S/N</t>
  </si>
  <si>
    <t>CALLE VILLA SIDNEY NUMERO EXTERIOR: SN, FRACCIONAMIENTO LAS VILLA</t>
  </si>
  <si>
    <t>CALLE SIGMA NUMERO EXTERIOR: 413 , COLONIA VALLE DORADO, CODIGO P</t>
  </si>
  <si>
    <t>CALLE TAJO DE SANTA ANA NUMERO EXTERIOR: SN, FRACCIONAMIENTO VILL</t>
  </si>
  <si>
    <t>BOULEVARD BRISA DE ESPAÑA NUMERO EXTERIOR: 101 , FRACCIONAMIENTO</t>
  </si>
  <si>
    <t>POTRERO DE TEPACA, # 501-A, DESARROLLO EL POTRERO, 37296</t>
  </si>
  <si>
    <t>CALLE LOMA DORADA NUMERO EXTERIOR: SN, FRACCIONAMIENTO LOMA DORAD</t>
  </si>
  <si>
    <t>BOULEVARD LOMA DORADA NUMERO EXTERIOR: SN, FRACCIONAMIENTO LOMA D</t>
  </si>
  <si>
    <t>CALLE MADRE AURORA NUMERO EXTERIOR: SN, COLONIA VILLAS SANTA TERE</t>
  </si>
  <si>
    <t>CALLE VISTA ALBATROS NUMERO EXTERIOR: SN, FRACCIONAMIENTO VISTA E</t>
  </si>
  <si>
    <t>UNIVERSIDAD TECNOLOGICA DE LEON</t>
  </si>
  <si>
    <t>BLVD UNIVERSIDAD TECNOLOGICA #225, COL SAN CARLOS, LEON GTO</t>
  </si>
  <si>
    <t>CALLE JARDIN DEL SOL NUMERO EXTERIOR: SN, FRACCIONAMIENTO JARDINE</t>
  </si>
  <si>
    <t>CALLE VISTA FRAGATA NUMERO EXTERIOR: SN, FRACCIONAMIENTO VISTA ES</t>
  </si>
  <si>
    <t>Blvd. Hilario Medina, Unidad Deportiva, 37237 León de los Aldama, Gto.</t>
  </si>
  <si>
    <t>CALLE JARDIN SAN ANGEL NUMERO EXTERIOR: SN, FRACCIONAMIENTO JARDI</t>
  </si>
  <si>
    <t>11DPR3955R - JORGE IBARGÜENGOITIA (11DJN4631A COMPARTE ESCRITURA)</t>
  </si>
  <si>
    <t>BOULEVARD BRISAS DEL CAMPESTRE NUMERO EXTERIOR: SN, FRACCIONAMIEN</t>
  </si>
  <si>
    <t>CALLE FRAGUA DE CALCIO NUMERO EXTERIOR: SN, FRACCIONAMIENTO PASEO</t>
  </si>
  <si>
    <t>CALLE MIRADOR DE LA JOYA NUMERO EXTERIOR: SN, FRACCIONAMIENTO LOM</t>
  </si>
  <si>
    <t>CALLE ANEMONA DEL JEREZ NUMERO EXTERIOR: SN, COLONIA SAN ISIDRO D</t>
  </si>
  <si>
    <t>CALLE OSWALDO MARTINOLI NUMERO EXTERIOR: SN, FRACCIONAMIENTO VILL</t>
  </si>
  <si>
    <t>CALLE AMBAR NUMERO EXTERIOR: 320 , FRACCIONAMIENTO VILLAS DE SAN</t>
  </si>
  <si>
    <t>CALLE IBAÑEZ DE ARQUICIAS</t>
  </si>
  <si>
    <t>11ECT0003J -BACHILLERATO BIVALENTE MILITARIZADO "BATALLÓN PRIMER LIGERO", PLANTEL LEÓN II</t>
  </si>
  <si>
    <t>BOULEVARD ATOTONILCO, NO. 1907</t>
  </si>
  <si>
    <t>11ECT0004I - BACHILLERATO BIVALENTE MILITARIZADO "BATALLÓN PRIMER LIGERO", PLANTEL LEÓN II</t>
  </si>
  <si>
    <t>BOULEVARD JOSÉ MARÍA MORELOS, NO. 5520</t>
  </si>
  <si>
    <t>CALLE VÍA CAMPOS OTOÑALES, NO. 103</t>
  </si>
  <si>
    <t>NUEVO COMIENZO</t>
  </si>
  <si>
    <t>SECRETARIA DEL NUEVO COMIENZO (OLT)</t>
  </si>
  <si>
    <t>BALCON DE LOS RUISEÑORES 208, COL. BALCONES DE LA JOYA</t>
  </si>
  <si>
    <t>PRIV. TECNOLOGICO S/N, INDUSTRIAL JULIAN DE OBREGON, 37290 LEÓN DE LOS ALDAMA, GTO.</t>
  </si>
  <si>
    <t>BLVD. SAN PEDRO ESQ. CRUXIFICCION 1757, PARQUES DEL SUR LEON</t>
  </si>
  <si>
    <t>BLVD. DELTA 1602 ESQ. AV OLIMPICA COL. AGUA AZUL</t>
  </si>
  <si>
    <t>BLYD. MIRADOR DE LA JOYA S/N FRACC.</t>
  </si>
  <si>
    <t>TESALIA 114, FRACC VALLE DELTA, LEÓN</t>
  </si>
  <si>
    <t>ESCUELA PRIMARIA FRANCISCO RAMIREZ MATA</t>
  </si>
  <si>
    <t>TELESECUNDARIA 6</t>
  </si>
  <si>
    <t>CALLE:ESTAMBUL N°. 720 COL. LOS ANGELES I</t>
  </si>
  <si>
    <t>CALLE:ARABIA Y TIBERIADES S/N COL. SAN FELIPE DE JESUS</t>
  </si>
  <si>
    <t>FORUM CULTURAL GUANAJUATO</t>
  </si>
  <si>
    <t>PROL. CALZADA DE LOS HEROES, 908, LA MARTINICA, 37500</t>
  </si>
  <si>
    <t>Carteros num 102 Col Fraccionamiento Santo Domingo, Leon de los Aldama</t>
  </si>
  <si>
    <t>INSTITUTO DE LA JUVENTUD DEL ESTADO DE GUANAJUATO</t>
  </si>
  <si>
    <t>FRAY MARTÍN DE VALENCIA #102 FRACCIONAMIENTO SANTO DOMINGO, LEÓN, CP 37557</t>
  </si>
  <si>
    <t>LOMA DORADA</t>
  </si>
  <si>
    <t>LOMA IMPERIAL, ESQ. LOMA DE LA ARBOLEDA S/N, COL. LOMA DORADA, LEON, GTO.</t>
  </si>
  <si>
    <t>NUEVO AMANECER</t>
  </si>
  <si>
    <t>BLVD. DELTA #3002,COL. NUEVO AMANECER, LEON, GTO.</t>
  </si>
  <si>
    <t>VALLE DE SAN JOSE</t>
  </si>
  <si>
    <t>CALLE VALLE DE FINALLEDO #100, COL. VALLE DE SAN JOSE, LEON, GTO.</t>
  </si>
  <si>
    <t>LOS CASTILLOS</t>
  </si>
  <si>
    <t>QUINTA REAL S/N ,COL. QUINTA LOS CASTILLOS, LEON, GTO.</t>
  </si>
  <si>
    <t>PRESITAS</t>
  </si>
  <si>
    <t>CALLE PRESA DEL RANCHITO #147, COL. PRESITAS DEL CONSUELO, LEON, GTO.</t>
  </si>
  <si>
    <t>SECRETARÍA DE FINANZAS (OLT)</t>
  </si>
  <si>
    <t>BLVD. DELTA, 201, FRACCIONES DE SANTA JULIA, 37290</t>
  </si>
  <si>
    <t>C. B. JUÁREZ, 210, CENTRO, 37000</t>
  </si>
  <si>
    <t>BLVD. SAN JUAN BOSCO 3068, CAÑADA DEL REFUGIO, 37000</t>
  </si>
  <si>
    <t>CALLE OAXACA 501, COLONIA ARBIDE, C.P. 37360</t>
  </si>
  <si>
    <t>BLVD. SAN JUAN BOSCO, 201, LOCAL 4-B, INDUSTRIAL, 37330</t>
  </si>
  <si>
    <t>BOULEVARD VENUSTIANO CARRANZA NO. 904 COL. LOS FRESNOS LEÓN - CP. 37000</t>
  </si>
  <si>
    <t>C, ETA, 315, INDUSTRIAL DELTA, 37545</t>
  </si>
  <si>
    <t>MÉRIDA 304-306, CONJUNTO ESTRELLA, 37260 LEÓN DE LOS ALDAMA, GTO.</t>
  </si>
  <si>
    <t>11ENL0001I - CENTRO DE ESTUDIOS SUPERIORES DE EDUCACIÓN ESPECIALIZADA, CESEE</t>
  </si>
  <si>
    <t>AV. DEL TECNOLÓGICO, INDUSTRIAL JULIAN DE OBREGON, ESQUINA DEL PESPUNTADOR, 37290 LEÓN, GTO.</t>
  </si>
  <si>
    <t>11MSU0037I - UNIVERSIDAD PEDAGÓGICA NACIONAL UNIDAD 113 LEÓN</t>
  </si>
  <si>
    <t>CALLE TLACOPAN 1002 COL. RINONADA DEL SUR C.P. 37536</t>
  </si>
  <si>
    <t>FRAY LUIS DE HERRERA S/N VILLA INSURGENTES LEON, GTO.</t>
  </si>
  <si>
    <t>CALLE VICENTE GONZÁLEZ DEL CASTILLO, NO. 438, LEÓN II</t>
  </si>
  <si>
    <t>CRUCIFIXION S/N JARDINES DE SANTA JULIA, LEON, GTO.</t>
  </si>
  <si>
    <t>PASCUAL HURTAZA, LEÓN I, LEON, GTO.</t>
  </si>
  <si>
    <t>11DPT0007K - PLANTEL CONALEP 203. LEÓN II</t>
  </si>
  <si>
    <t>CALLE OBELISCOS # 101, COLONIA JARDINES DE SAN PEDRO, C. P. 37288. LEÓN, GTO.</t>
  </si>
  <si>
    <t>AVE. MARQUES. S/N. COLONIA REAL PROVIDENCIA. C. P. 37234 LEÓN, GTO.</t>
  </si>
  <si>
    <t>HOSPITAL</t>
  </si>
  <si>
    <t>DE LA JUVENTUD - AV. DE LA JUVENTUD NO. 116, COL. JOLGUABER</t>
  </si>
  <si>
    <t>HOSPITAL GENERAL DE LEON</t>
  </si>
  <si>
    <t>20 DE ENERO -</t>
  </si>
  <si>
    <t>UMAPS LAS AMERICAS</t>
  </si>
  <si>
    <t>CHICAGO ESQUINA LOS ANGELES - CHICAGO ESQ. LOS ANGELES S/N</t>
  </si>
  <si>
    <t>UMAPS BARRIO DE GUADALUPE</t>
  </si>
  <si>
    <t>RAMOS GAMIÑO - RAMOS GAMIÑO 105</t>
  </si>
  <si>
    <t>FORUM CULTURAL GUANAJUATO JARDÍN 2</t>
  </si>
  <si>
    <t>UMAPS LINDA VISTA</t>
  </si>
  <si>
    <t>OCEANO INDICO - OCEANO INDICO 323</t>
  </si>
  <si>
    <t>UMAPS ORIENTAL</t>
  </si>
  <si>
    <t>REFUGIO - REFUGIO 486</t>
  </si>
  <si>
    <t>UMAPS EL PAISAJE</t>
  </si>
  <si>
    <t>SAN JULIAN - SAN JULIAN 105</t>
  </si>
  <si>
    <t>UMAPS LOS PINOS</t>
  </si>
  <si>
    <t>LAURELES - LAURELES 201</t>
  </si>
  <si>
    <t>UMAPS PISCINA</t>
  </si>
  <si>
    <t>SAN BALTAZAR - SAN BALTAZAR 107</t>
  </si>
  <si>
    <t>UMAPS SANTA RITA</t>
  </si>
  <si>
    <t>LA MERCED - PROLONGACIÓN LA MERCED 1239</t>
  </si>
  <si>
    <t>UMAPS CERRITO DE JEREZ</t>
  </si>
  <si>
    <t>VOLCAN DEL JORULLO - VOLCAN DEL JORULLO 407</t>
  </si>
  <si>
    <t>CAISES</t>
  </si>
  <si>
    <t>CAISES LOS LIMONES</t>
  </si>
  <si>
    <t>NARANJA - NARANJA 101</t>
  </si>
  <si>
    <t>UMAPS LA LUZ</t>
  </si>
  <si>
    <t>RIO SANTIAGO - RIO SANTIAGO 290</t>
  </si>
  <si>
    <t>UMAPS MARIA DOLORES</t>
  </si>
  <si>
    <t>SANTA SUSANA ESQUINA MAR MEDITERRANEO - SANTA SUSANA 124 ESQUINA MAR MEDITERRANEO</t>
  </si>
  <si>
    <t>CAISES SAN PEDRO DE LOS HERNANDEZ</t>
  </si>
  <si>
    <t>ANCHA - CALLE ANCHA 813 COL. SAN PEDRO DE LOS HERNÁNDEZ</t>
  </si>
  <si>
    <t>CAISES CHAPALITA</t>
  </si>
  <si>
    <t>LUIS GONZALEZ - LUIS GONZALEZ 103</t>
  </si>
  <si>
    <t>UMAPS LOMAS DE LA TRINIDAD</t>
  </si>
  <si>
    <t>LAGO SAN CRISTOBAL - LAGO SAN CRISTOBAL NO. 310</t>
  </si>
  <si>
    <t>SEVILLA ESQUINA VIZCAYA - SEVILLA 1203 ESQ VIZCAYA</t>
  </si>
  <si>
    <t>CAISES SAN MARCOS</t>
  </si>
  <si>
    <t>JORGE NEGRETE ESQUINA 21 DE MARZO - JORGE NEGRETE S/N ESQ. 21 DE MARZO</t>
  </si>
  <si>
    <t>UMAPS JACINTO LOPEZ</t>
  </si>
  <si>
    <t>JOSÉ MARIA DE LA TORRE - JOSÉ MARIA DE LA TORRE 10</t>
  </si>
  <si>
    <t>CAISES PILETAS SSA</t>
  </si>
  <si>
    <t>BRONCE - BRONCE 606</t>
  </si>
  <si>
    <t>CAISES VALLE DE SAN JOSE</t>
  </si>
  <si>
    <t>VALLE DE IRTICH ESQUINA MADRE TIERRA - VALLE DE IRTICH S/N ESQ. MADRE TIERRA</t>
  </si>
  <si>
    <t>Río Chapingo 214, San Miguel INFONAVIT, 37470 León de los Aldama, Gto.</t>
  </si>
  <si>
    <t>CAISES CASA BLANCA</t>
  </si>
  <si>
    <t>JOAQUÍN PARDAVE - JOAQUÍN PARDAVE 213</t>
  </si>
  <si>
    <t>FORUM CULTURAL GUANAJUATO JARDÍN 1</t>
  </si>
  <si>
    <t>UMAPS SOLEDAD DE LA JOYA</t>
  </si>
  <si>
    <t>SARTRE - SASTRE 601</t>
  </si>
  <si>
    <t>UMAPS LA ERMITA</t>
  </si>
  <si>
    <t>LACONIA ESQUINA HADES - LACONIA NO.201 ESQ. HADES</t>
  </si>
  <si>
    <t>UMAPS AMP SAN FRANCISCO</t>
  </si>
  <si>
    <t>ANDADOR FRAY RAMON Y FRAY ALBERTO - ANDADOR FRAY RAMON NO.114 Y FRAY ALBERTO AMP. SAN FCO DE ASIS</t>
  </si>
  <si>
    <t>UMAPS EL POTRERO</t>
  </si>
  <si>
    <t>ANDADOR BELGA -</t>
  </si>
  <si>
    <t>blvar. aristoteles con de las, Márquez, San Juan Joya, León de los Aldama, D.F.</t>
  </si>
  <si>
    <t>CAISES 10 DE MAYO</t>
  </si>
  <si>
    <t>MADRE AMALIA -</t>
  </si>
  <si>
    <t>UNEME</t>
  </si>
  <si>
    <t>UNEME CECOSAMA LEON II</t>
  </si>
  <si>
    <t>MARIANO LEAL - MARIANO LEAL NO.401</t>
  </si>
  <si>
    <t>UMAPS LIBERTAD</t>
  </si>
  <si>
    <t>PLAN DE GUADALUPE - PLAN DE GUADALUPE NO.105</t>
  </si>
  <si>
    <t>UMAPS BALCONES DE LA JOYA</t>
  </si>
  <si>
    <t>PRIVADA BALCÓN DE LOS RUISEÑORES - PRIV. BALCON DE LOS RUISEÑORES NO. 104, COL. BALCONES DE LA JOYA</t>
  </si>
  <si>
    <t>UMAPS LAS TROJES</t>
  </si>
  <si>
    <t>Álvaro Sánchez, Las Trojes, 37227 León de los Aldama, Gto.</t>
  </si>
  <si>
    <t>UNEME CAPA JOYA</t>
  </si>
  <si>
    <t>ERICK FROM - ERICK FROM NO. 602</t>
  </si>
  <si>
    <t>UNEME CAPA LEON II</t>
  </si>
  <si>
    <t>MARIANO ESCOBEDO - BOULEVARD MARIANO ESCOBEDO NO. 6804, COL. LEÓN II</t>
  </si>
  <si>
    <t>UNEME ENFERMEDADES CRONICAS LEON</t>
  </si>
  <si>
    <t>SIGMA - SIGMA 111, COL. FRACCIONAMIENTO DELTA</t>
  </si>
  <si>
    <t>JUAN ALONSO DE TORRES - BOULEVARD JUAN ALONSO DE TORRES NO. 4725, COL. SAN JOSE DEL POTRERO</t>
  </si>
  <si>
    <t>HOSPITAL GENERAL DE LEÓN</t>
  </si>
  <si>
    <t>PUENTE MILENIO - AUN LADO DEL CAMPUS DE LA SALUD DE LA UNIVERSIDAD DE GUANAJUATO.</t>
  </si>
  <si>
    <t>UMAPS SAN JOSE DE CEMENTOS</t>
  </si>
  <si>
    <t>TEXTILES - TEXTILES 322</t>
  </si>
  <si>
    <t>SANTA MARIA DE CEMENTOS</t>
  </si>
  <si>
    <t>OCEANO ATLANTICO - OCEANO ATLANTICO 413</t>
  </si>
  <si>
    <t>UMAPS SANTA ROSA DE LIMA</t>
  </si>
  <si>
    <t>SAN JOSÉ - SAN JOSÉ 301 COL. SANTA ROSA DE LIMA</t>
  </si>
  <si>
    <t>UMAPS SAN JOSE DEL CONSUELO</t>
  </si>
  <si>
    <t>MERCURIO Y PLATA - MERCURIO 505 Y PLATA</t>
  </si>
  <si>
    <t>UMAPS SAN NICOLAS</t>
  </si>
  <si>
    <t>HERMANOS ALDAMA - BLVD. HERMANOS ALDAMA 1123-D</t>
  </si>
  <si>
    <t>UMAPS RIVERA DE LA PRESA</t>
  </si>
  <si>
    <t>PRESA DE CORRALEJO ESQUINA PRESA DE LA OLLA - PRESA DE CORRALEJO ESQ PRESA DE LA OLLA</t>
  </si>
  <si>
    <t>UMAPS VALLE DE SAN BERNARDO</t>
  </si>
  <si>
    <t>VALLE DE AGUA NUEVA - VALLE DE AGUA NUEVA 203</t>
  </si>
  <si>
    <t>UMAPS LOS CASTILLOS</t>
  </si>
  <si>
    <t>ESCORIAL ESQUINA GENERALITE - ESCORIAL ESQ. GENERALITE</t>
  </si>
  <si>
    <t>CENTRO DE SALUD</t>
  </si>
  <si>
    <t>LOMAS DE GUADALUPE</t>
  </si>
  <si>
    <t>APOSTOLES Y PROFETAS - APOSTOLES Y PROFETAS NO.90</t>
  </si>
  <si>
    <t>CAISES PALOMARES</t>
  </si>
  <si>
    <t>CERRO PRIETO ESQUINA CANDELARIA - CERRO PRIETO ESQ. CANDELARIA</t>
  </si>
  <si>
    <t>UMAPS SAN CARLOS DE ROMO</t>
  </si>
  <si>
    <t>HILARIO MEDINA ESQUINA ÁVILA CAMACHO - HILARIO MEDINA ESQ. ÁVILA CAMACHO</t>
  </si>
  <si>
    <t>CAISES FLORESTA</t>
  </si>
  <si>
    <t>PAKISTAN - PAKISTAN 404</t>
  </si>
  <si>
    <t>CAISES SAN FELIPE DE JESUS</t>
  </si>
  <si>
    <t>PERSIA - PERSIA 501 Y COL. OLIVOS S.FELIPE DE JES</t>
  </si>
  <si>
    <t>UMAPS LOMAS DE ECHEVESTE</t>
  </si>
  <si>
    <t>BISONTE 26, LOMAS DE ECHEVESTE, 37208 LEÓN, GTO.</t>
  </si>
  <si>
    <t>UMAPS ARBOLEDAS DE LOS CASTILLOS</t>
  </si>
  <si>
    <t>CERRO DE LOS MILAGROS - CERRO DE LOS MILAGROS NO.345</t>
  </si>
  <si>
    <t>UMAPS 8 DE MARZO</t>
  </si>
  <si>
    <t>7 DE JULIO - CALLE 7 DE JULIO NO.132</t>
  </si>
  <si>
    <t>LABORATORIO</t>
  </si>
  <si>
    <t>C. BETA 208, INDUSTRIAL DELTA, 37545 LEÓN, GTO.</t>
  </si>
  <si>
    <t>VILLAS DE SAN NICOLAS</t>
  </si>
  <si>
    <t>BLVD. KAROL WOJTYLA #1202, COL. VILLAS DE SAN NICOLAS, LEON, GTO.</t>
  </si>
  <si>
    <t>BLVD. JUAN ALONSO DE TORRES PTE. 2001, LEON I, 37235 LEÓN, GTO.</t>
  </si>
  <si>
    <t>SAN MANUEL</t>
  </si>
  <si>
    <t>EMPERADOR 403 A, COL SAN MANUEL, LEON, GTO.</t>
  </si>
  <si>
    <t>11MSU0003S - INSTITUTO TECNOLOGICO DE LEON, CAMPUS II</t>
  </si>
  <si>
    <t>BOULEVARD ALONSO DE TORRES NUM. 3542</t>
  </si>
  <si>
    <t>DE LAS MARGARITAS 109, JARDINES DE ECHEVESTE, LEON, GTO.</t>
  </si>
  <si>
    <t>CALLE VALLE DEL PASILLO</t>
  </si>
  <si>
    <t>NINGUNO SANTA REBECA, NO. 501</t>
  </si>
  <si>
    <t>CALLE HÉROES DE LA INDEPENDENCIA, NO. 2306</t>
  </si>
  <si>
    <t>CALLE TACANA, NO. 717</t>
  </si>
  <si>
    <t>CALLE FROMM, NO. 503</t>
  </si>
  <si>
    <t>AVENIDA 21 DE MARZO</t>
  </si>
  <si>
    <t>BOULEVARD CALCOPIRITA</t>
  </si>
  <si>
    <t>GAMMA 211, INDUSTRIAL DELTA, LEÓN, GTO.</t>
  </si>
  <si>
    <t>OMEGA 201, INDUSTRIAL DELTA, LEÓN, GTO.</t>
  </si>
  <si>
    <t>OMEGA 204, INDUSTRIAL DELTA, LEÓN, GTO.</t>
  </si>
  <si>
    <t>LOMA DEL BOSQUE 115, LOMAS DEL CAMPESTRE, 37150 LEÓN, GTO.</t>
  </si>
  <si>
    <t>BLVD. JUAN JOSÉ TORRES LANDA, 3201, COL. JARDINES DE JEREZ, LEÓN,37530</t>
  </si>
  <si>
    <t>BLVD. ADOLFO LÓPEZ MATEOS 223-A-PONIENTE, CENTRO, 37000 LEÓN, GTO.</t>
  </si>
  <si>
    <t>CALLE ARAUCARIA, NO. 218</t>
  </si>
  <si>
    <t>CALLE DEL DORADO, NO. 316</t>
  </si>
  <si>
    <t>CALLE NUEVA ORLEANS, NO. 312</t>
  </si>
  <si>
    <t>BOULEVARD OBRERO MUNDIAL</t>
  </si>
  <si>
    <t>CALLE PEDRO DE CATANIA, NO. 202</t>
  </si>
  <si>
    <t>11ETV0039M - TELESECUNDARIA NO 10</t>
  </si>
  <si>
    <t>Nicolas Calvo y Felix Ma Zuloaga num 700, colonia Presidentes, Leon de los aldama</t>
  </si>
  <si>
    <t>Visita</t>
  </si>
  <si>
    <t>Liga</t>
  </si>
  <si>
    <t>Fecha de rev</t>
  </si>
  <si>
    <t>Conexión fácil</t>
  </si>
  <si>
    <t>Youtube</t>
  </si>
  <si>
    <t>Maps</t>
  </si>
  <si>
    <t>Navegador</t>
  </si>
  <si>
    <t>Nav Constante</t>
  </si>
  <si>
    <t>Bajada</t>
  </si>
  <si>
    <t>Subida</t>
  </si>
  <si>
    <t>Observaciones</t>
  </si>
  <si>
    <t>no</t>
  </si>
  <si>
    <t>No se pudo realizar el test de velocidad ya que la conexión es inestable, puede deberse a que el acces point está lejos de la calle, y no se nos permitió ingresar al plantel</t>
  </si>
  <si>
    <t>La conexión es intermitente, puede deberse a que el acces point está lejos de la calle y no se nos permitió el ingreso al plantel</t>
  </si>
  <si>
    <t>La conexión es intermitente y tiene pocos megas de bajada, puede deberse a que el acces point está lejos de la calle y no se nos permitió el ingreso al plantel</t>
  </si>
  <si>
    <t>No se conecta de manera automática, tiene muy pocos megas de subida</t>
  </si>
  <si>
    <t>La señal es muy débil, tiene un rango de 5mts aproximadamente, ya lo han reportado</t>
  </si>
  <si>
    <t>En este sitio no se pudo realizar la conexión puede deberse a que el lugar es muy grande y la señal no llega muy bien a la calle, no se nos permitió el acceso</t>
  </si>
  <si>
    <t>Aps</t>
  </si>
  <si>
    <t>Sitio</t>
  </si>
  <si>
    <t>Tipo</t>
  </si>
  <si>
    <t>La conexión fue rápida sin embargo hay muchos cortes al momento de navegar, se interrumpio la conexión en diversas ocasiones</t>
  </si>
  <si>
    <t>El servicio es muy inestable a pesar de estar cerca del acces point, tiene buen ancho de banda</t>
  </si>
  <si>
    <t>La conexión fue rápida pero presentó pequeños cortes</t>
  </si>
  <si>
    <t>Hay mucha interrupción en la navegación</t>
  </si>
  <si>
    <t>El Director de la institución comenta que el servicio se interrumpe demasiado, hay mucha población y no es suficiente, puede deberse a la cantidad de dispositivos que permiten los acces point puede que se resuelva aumentando la cantidad o en su defecto agregando otro acces point</t>
  </si>
  <si>
    <t>Se logró la conexión y la navegación pero se mostró lenta al momento de resolver las peticiones</t>
  </si>
  <si>
    <t>Hubo intermitencia en la navegación, se interrumpía mucho la conexión</t>
  </si>
  <si>
    <t>La conexión fue rápida y constante, la navegación fue fluida, tiene buena señal</t>
  </si>
  <si>
    <t>Facebook</t>
  </si>
  <si>
    <t>Supervisor</t>
  </si>
  <si>
    <t>José Mosqueda</t>
  </si>
  <si>
    <t>Tipo de conexión</t>
  </si>
  <si>
    <t>Fibra Óptica</t>
  </si>
  <si>
    <t>Rafael Amaral</t>
  </si>
  <si>
    <t>No cuenta con servicio a pesar de estar cerca el Acces Point no se recibe ningunna señal, pareciera estar apagado</t>
  </si>
  <si>
    <t>La conexión fue rápida, presentó intermitencia, tiene buena señal pero es bajo el ancho de banda</t>
  </si>
  <si>
    <t>La conexión fue rápida y constante, la navegación fue fluida, la señal es baja al igual que el ancho de banda esto puede deberse a que el Acces Point está algo retirado y no se nos permitió el acceso</t>
  </si>
  <si>
    <t>La conexión fue rápida pero presento cortes en la navegación aún cuando el ancho de banda es alto</t>
  </si>
  <si>
    <t>La conexión fue rápida pero presento cortes en la navegación, no tiene buena señal nos tuvimos que acercar a 5mts</t>
  </si>
  <si>
    <t>La conexión fue rápida hubo un pequeño lapso que no mostró de manera correcta el Youtube pero lo demás fue fluido, tiene buena señal</t>
  </si>
  <si>
    <t>La conexión es muy intermitente, no permitió realizar el test de velocidad puede deberse a la lejanía del Acces Ponit y no se nos permitió el ingreso a las instalaciones</t>
  </si>
  <si>
    <t>No se puede completar la revisión del sitio debido a la intermitencia puede deberse a la lejanía del Acces Point no se nos permitio el ingreso al plantel</t>
  </si>
  <si>
    <t>En este sitio no hay servicio, tampoco en las oficinas del ISSEG y tampoco en la farmacia, se revisa las inmediaciones y no se visualiza placa distintiva, se pregunta a guardia de seguridad y comenta que nunca ha habido servicio de internet libre para la gente</t>
  </si>
  <si>
    <t>La conexión fue rápida y constante, la navegación fue fluida, no se observan anomalías, tiene buena señal</t>
  </si>
  <si>
    <t>La conexión fue rápida y constante, la navegación fue fluida, no se observan anomalías, tiene buena señal, el ancho de banda es bajo sobre todo en la descarga</t>
  </si>
  <si>
    <t>La conexión fue rápida y constante, la navegación fue fluida, no se observan anomalías, tiene buena señal pero es bajo el ancho de banda</t>
  </si>
  <si>
    <t>La conexión fue rápida y constante, la navegación fue fluida, no se observan anomalías, tiene buena señal solo que presentó perdida de paquetes puede deberse a la lejanía del Acces Point y no se nos permitio el ingreso al plantel</t>
  </si>
  <si>
    <t>La conexión fue rápida y constante, la navegación fue fluida, no se observan anomalías, tiene buena señal, solo cargó la página web algo lento, lo demás sin problema.</t>
  </si>
  <si>
    <t>La conexión fue rápida y constante, la navegación fue fluida, no se observan anomalías, tiene buena señal aunque un poco bajo el ancho de banda</t>
  </si>
  <si>
    <t>La conexión es intermitente, no se pudo realizar el test de velocidad puede deberse a la lejanía del Acces Point, no se nos permitio ingresar al plantel</t>
  </si>
  <si>
    <t>Calificación</t>
  </si>
  <si>
    <t>COLONIA SANTA FE</t>
  </si>
  <si>
    <t>COLONIA SAN SEBASTIAN</t>
  </si>
  <si>
    <t>COLONIA VILLA DE LAS FLORES</t>
  </si>
  <si>
    <t>COLONIA EL LUCERO</t>
  </si>
  <si>
    <t>COLONIA LOS ANGELES</t>
  </si>
  <si>
    <t>COLONIA BALCONES DE LA JOYA</t>
  </si>
  <si>
    <t>COLONIA LEÓN I</t>
  </si>
  <si>
    <t>COLONIA ECHEVESTE 2000</t>
  </si>
  <si>
    <t>COLONIA HACIENDA ECHEVESTE</t>
  </si>
  <si>
    <t>COLONIA HIDALGO</t>
  </si>
  <si>
    <t>COLONIA LOMAS DE LAS HILAMAS</t>
  </si>
  <si>
    <t>COLONIA SAN NICOLAS</t>
  </si>
  <si>
    <t>COLONIA VALLE DE SEÑORA</t>
  </si>
  <si>
    <t>COLONIA LA MARTINICA</t>
  </si>
  <si>
    <t>COLONIA AZTECAS</t>
  </si>
  <si>
    <t>COLONIA PANORAMA</t>
  </si>
  <si>
    <t>COLONIA ORIENTAL</t>
  </si>
  <si>
    <t>COLONIA PORTALES DE SAN SEBASTIAN</t>
  </si>
  <si>
    <t>COLONIA CHAPALITA</t>
  </si>
  <si>
    <t>COLONIA PILETAS SEGUNDA SECCION</t>
  </si>
  <si>
    <t>COLONIA JARDIN DE JEREZ SEGUNDA SECCION</t>
  </si>
  <si>
    <t>COLONIA LOMAS DE LOS OLIVOS</t>
  </si>
  <si>
    <t>COLONIA LEON II</t>
  </si>
  <si>
    <t>COLONIA LOMAS DE JEREZ</t>
  </si>
  <si>
    <t>COLONIA VALLE VERDE</t>
  </si>
  <si>
    <t>COLONIA ESPAÑA</t>
  </si>
  <si>
    <t>COLONIA ESPAÑITA</t>
  </si>
  <si>
    <t>COLONIA FUTURAMA MONTERREY</t>
  </si>
  <si>
    <t>COLONIA AZTECA</t>
  </si>
  <si>
    <t>COLONIA KENNEDY</t>
  </si>
  <si>
    <t>COLONIA JARDINES DEL ORIRNTE</t>
  </si>
  <si>
    <t>COLONIA CHULAVISTA</t>
  </si>
  <si>
    <t>COLONIA VISTA HERMOSA SUR</t>
  </si>
  <si>
    <t>COLONIA LAS AMERICAS</t>
  </si>
  <si>
    <t>COLONIA SAN JUAN BOSCO</t>
  </si>
  <si>
    <t>COLONIA SANTA RITA DE LOS NARANJOS</t>
  </si>
  <si>
    <t>COLONIA ARBOLEDAS</t>
  </si>
  <si>
    <t>COLONIA LOMAS DE LA TRINIDAD</t>
  </si>
  <si>
    <t>COLONIA JESUS DE NAZARET</t>
  </si>
  <si>
    <t>COLONIA PROLONGACIÓN JUÁREZ</t>
  </si>
  <si>
    <t>COLONIA CUMBRES DE LA PISCINA</t>
  </si>
  <si>
    <t>COLONIA CERRITO DE JEREZ</t>
  </si>
  <si>
    <t>COLONIA SAN CARLOS LA ROCHA</t>
  </si>
  <si>
    <t>COLONIA VILLAS DE SAN NICOLAS</t>
  </si>
  <si>
    <t>COLONIA SATELITE</t>
  </si>
  <si>
    <t>COLONIA BARRIO GUADALUPE</t>
  </si>
  <si>
    <t>COLONIA PERIODISTAS DE MEXICO</t>
  </si>
  <si>
    <t>COLONIA MORELOS</t>
  </si>
  <si>
    <t>COLONIA LIBERTAD</t>
  </si>
  <si>
    <t>COLONIA LAS TROJES LEON DE LOS ALDAMA</t>
  </si>
  <si>
    <t>COLONIA SAN PEDRO DE LOS HERNANDEZ</t>
  </si>
  <si>
    <t>COLONIA JARDINES DE JEREZ 1ERA SECCION</t>
  </si>
  <si>
    <t>COLONIA SAN JOSE EL ALTO</t>
  </si>
  <si>
    <t>COLONIA LAS HILAMAS</t>
  </si>
  <si>
    <t>COLONIA LAS PALMAS</t>
  </si>
  <si>
    <t>COLONIA RINCON DE LA FLORIDA</t>
  </si>
  <si>
    <t xml:space="preserve">COLONIA INFONAVIT GRANADA </t>
  </si>
  <si>
    <t>COLONIA LA SOLEDAD</t>
  </si>
  <si>
    <t xml:space="preserve">COMUNIDAD LA JOYA </t>
  </si>
  <si>
    <t>COLONIA SAN ISIDRO</t>
  </si>
  <si>
    <t>COLONIA MIRADOR CAMPESTRE</t>
  </si>
  <si>
    <t>COLONIA VIBAR</t>
  </si>
  <si>
    <t>COLONIA REAL DE LA JOYA</t>
  </si>
  <si>
    <t>COLONIA ARBIDE</t>
  </si>
  <si>
    <t>COLONIA DELTA DE JEREZ</t>
  </si>
  <si>
    <t>COLONIA GRANJENO IVEG</t>
  </si>
  <si>
    <t>COLONIA LA ERMITA</t>
  </si>
  <si>
    <t>COLONIA LA MOREÑA</t>
  </si>
  <si>
    <t>COLONIA AMPLIACION SAN FRANCISCO</t>
  </si>
  <si>
    <t>COLONIA DELTA 2000</t>
  </si>
  <si>
    <t>COLONIA JARDINES DE JEREZ 1RA. SECCION</t>
  </si>
  <si>
    <t>COLONIA HEROES DE CHAPULTEPEC</t>
  </si>
  <si>
    <t>COLONIA LINDAVISTA</t>
  </si>
  <si>
    <t>COLONIA PLAZA DE TOROS</t>
  </si>
  <si>
    <t>COLONIA LAS ARBOLEDAS</t>
  </si>
  <si>
    <t>COLONIA LOMAS DE ARBIDE</t>
  </si>
  <si>
    <t>COLONIA BUGAMBILIAS</t>
  </si>
  <si>
    <t>COLONIA LOS OLIVOS</t>
  </si>
  <si>
    <t>COLONIA INDUSTRIAL JUAREZ</t>
  </si>
  <si>
    <t>COLONIA PARQUE MANZANARES</t>
  </si>
  <si>
    <t>COLONIA PONIENTE LOMA BONITA</t>
  </si>
  <si>
    <t>COLONIA VISTA HERMOSA</t>
  </si>
  <si>
    <t>COLONIA LAS AMALIAS</t>
  </si>
  <si>
    <t>COLONIA PEÑITAS</t>
  </si>
  <si>
    <t>COLONIA SAN MARCOS</t>
  </si>
  <si>
    <t>COLONIA LAS PILETAS</t>
  </si>
  <si>
    <t>COLONIA SAN ANATONIO</t>
  </si>
  <si>
    <t>COLONIA JARDINES DEL ORIENTE</t>
  </si>
  <si>
    <t>COLONIA LA BRISA</t>
  </si>
  <si>
    <t>COLONIA JARDINES DE SAN JUAN</t>
  </si>
  <si>
    <t>COLONIA INDUSTRIAL (HAB.)</t>
  </si>
  <si>
    <t>COMUNIDAD SAN JUAN DE ABAJO</t>
  </si>
  <si>
    <t>COLONIA JARDINES DEL MORAL</t>
  </si>
  <si>
    <t>COLONIA SANTA RITA</t>
  </si>
  <si>
    <t>COLONIA OBSERVATORIO II</t>
  </si>
  <si>
    <t>COLONIA OBRERA</t>
  </si>
  <si>
    <t>COLONIA EL GRANJENO PLUS</t>
  </si>
  <si>
    <t>COLONIA LAURELES DE LA FLORIDA</t>
  </si>
  <si>
    <t>COLONIA REAL PROVIDENCIA II</t>
  </si>
  <si>
    <t>COLONIA LOS LIMONES</t>
  </si>
  <si>
    <t>COLONIA CASA BLANCA</t>
  </si>
  <si>
    <t>COLONIA INDUSTRIAL</t>
  </si>
  <si>
    <t>COLONIA LA RESERVA</t>
  </si>
  <si>
    <t>COLONIA SAN CARLOS</t>
  </si>
  <si>
    <t>COLONIA PILETAS</t>
  </si>
  <si>
    <t>COLONIA LAS TORRES</t>
  </si>
  <si>
    <t>COLONIA PONIENTE PILETAS IV SECCION</t>
  </si>
  <si>
    <t>COLONIA PERIODISTAS MEXICANOS</t>
  </si>
  <si>
    <t>COLONIA JARDINES DE SAN SEBASTIAN</t>
  </si>
  <si>
    <t>COLONIA BOULEVARD EPSILON VALLE DORADO</t>
  </si>
  <si>
    <t>COLONIA LA NORIA</t>
  </si>
  <si>
    <t>COLONIA VALLE DE LA LUZ</t>
  </si>
  <si>
    <t>COLONIA VILLAS DE SAN NICOLAS II</t>
  </si>
  <si>
    <t>COLONIA LAS MANDARINAS</t>
  </si>
  <si>
    <t>COLONIA LOMA BONITA</t>
  </si>
  <si>
    <t>COLONIA INFONAVIT GRANADA</t>
  </si>
  <si>
    <t>COLONIA JARDINES DE JEREZ II SECCION</t>
  </si>
  <si>
    <t>COLONIA SAN JUAN DE ABAJO</t>
  </si>
  <si>
    <t>COLONIA JESUS DE NAZARETH</t>
  </si>
  <si>
    <t>COLONIA JOYAS DE CASTILLA</t>
  </si>
  <si>
    <t>COLONIA INFONAVIT EL GRANJENO</t>
  </si>
  <si>
    <t>COLONIA PUEBLO SAN NICOLAS DE LOS GONZALEZ</t>
  </si>
  <si>
    <t>COLONIA RESIDENCIAL CAMELINAS</t>
  </si>
  <si>
    <t>COLONIA LA JOYA</t>
  </si>
  <si>
    <t>COLONIA JARDINES DE JEREZ II</t>
  </si>
  <si>
    <t>COLONIA REFUGIO DE SAN JOSE</t>
  </si>
  <si>
    <t>COLONIA HILAMAS 3RA. SECCION</t>
  </si>
  <si>
    <t>COLONIA LA GLORIA</t>
  </si>
  <si>
    <t>COLONIA SINARQUISTAS</t>
  </si>
  <si>
    <t>COLONIA VALLE DORADO</t>
  </si>
  <si>
    <t>COLONIA ZONA CENTRO</t>
  </si>
  <si>
    <t>COLONIACOLINA DE LA HACIENDA</t>
  </si>
  <si>
    <t>COLONIA LA LUZ</t>
  </si>
  <si>
    <t>COLONIA PASEOS DEL MOLINO</t>
  </si>
  <si>
    <t>COLONIA LOS LAURELES</t>
  </si>
  <si>
    <t>COLONIA VILLAS DE SAN LUIS</t>
  </si>
  <si>
    <t>COLONIA POPULAR INCA</t>
  </si>
  <si>
    <t>COLONIA FRANCISCO DE ASIS</t>
  </si>
  <si>
    <t>COLONIA PILETAS II</t>
  </si>
  <si>
    <t>COLONIA LAS FUENTES</t>
  </si>
  <si>
    <t>COLONIA LOMAS VISTA HERMOSA SUR</t>
  </si>
  <si>
    <t>COLONIA SAN ISIDRO 37530.</t>
  </si>
  <si>
    <t>COLONIACONJUNTO HABITACIONAL VILLA DE LAS FLORES</t>
  </si>
  <si>
    <t xml:space="preserve">COLONIA VALLE DE SAN JOSE </t>
  </si>
  <si>
    <t>COLONIA JOL GUA VER</t>
  </si>
  <si>
    <t>COLONIA SAN IGNACIO</t>
  </si>
  <si>
    <t>COLONIA SAN RAFAEL</t>
  </si>
  <si>
    <t>COLONIA FLORES MAGON</t>
  </si>
  <si>
    <t>COLONIA EL BARRIO</t>
  </si>
  <si>
    <t>COLONIA PASEOS DE LA CATELLANA</t>
  </si>
  <si>
    <t>COLONIA PUERTA DORADA</t>
  </si>
  <si>
    <t>COLONIA 10 DE MAYO</t>
  </si>
  <si>
    <t>COLONIA EL PAISAJE</t>
  </si>
  <si>
    <t>COLONIA PARQUE DE LA NORIA</t>
  </si>
  <si>
    <t>COLONIA AMPLIACION LEON I</t>
  </si>
  <si>
    <t>COLONIA SAN FRANCISCO DE ASIS</t>
  </si>
  <si>
    <t>COLONIA ANGELES Y MEDINA</t>
  </si>
  <si>
    <t>COLONIA JOLGUABER</t>
  </si>
  <si>
    <t>COLONIA RIZOS DEL SAUCILLO</t>
  </si>
  <si>
    <t>COLONIA LOMAS DEL MIRADOR</t>
  </si>
  <si>
    <t>COLONIA OBSERVATORIO</t>
  </si>
  <si>
    <t>COLONIA ERMITA</t>
  </si>
  <si>
    <t>COLONIA PASEOS</t>
  </si>
  <si>
    <t>COLONIA MARIA DOLORES</t>
  </si>
  <si>
    <t>COLONIA SAN FELIPE DE JESUS</t>
  </si>
  <si>
    <t>COLONIA BUENA VISTA</t>
  </si>
  <si>
    <t>COLONIA LA FLORIDA</t>
  </si>
  <si>
    <t>COLONIA SAN JOSE DEL ALTO</t>
  </si>
  <si>
    <t>COLONIA LOS PINOS</t>
  </si>
  <si>
    <t>COLONIA SAN NICOLAS DE LOS GONZALEZ</t>
  </si>
  <si>
    <t>COLONIA VALLE DE SAN JOSE</t>
  </si>
  <si>
    <t>COLONIA EL CARMEN (C.T.M.)</t>
  </si>
  <si>
    <t>COLONIA ESPARRAGO DE JEREZ S/N</t>
  </si>
  <si>
    <t>COLONIA LAS VILLAS</t>
  </si>
  <si>
    <t>COLONIA DESARROLLO EL POTRERO</t>
  </si>
  <si>
    <t>COLONIA VILLAS SANTA TERESITA</t>
  </si>
  <si>
    <t>COLONIA VISTA ESMERALDA</t>
  </si>
  <si>
    <t>COLONIA UNIDAD DEPORTIVA</t>
  </si>
  <si>
    <t>COLONIA SAN ISIDRO DE JEREZ</t>
  </si>
  <si>
    <t>COLONIA ALBAZUL RESIDENCIAL</t>
  </si>
  <si>
    <t>COLONIA PARQUES DEL SUR</t>
  </si>
  <si>
    <t>COLONIA VALLE DELTA</t>
  </si>
  <si>
    <t>COLONIA KILLIAN</t>
  </si>
  <si>
    <t>COLONIA LEON I</t>
  </si>
  <si>
    <t>COLONIA SANTO DOMINGO</t>
  </si>
  <si>
    <t>COLONIA LOS CASTILLOS</t>
  </si>
  <si>
    <t>COLONIA PRESITAS DELCONSUELO</t>
  </si>
  <si>
    <t>COLONIA FRACCIONES DE SANTA JULIA</t>
  </si>
  <si>
    <t>COLONIA CAÑADA DEL REFUGIO</t>
  </si>
  <si>
    <t>COLONIA LOS FRESNOS LEÓN</t>
  </si>
  <si>
    <t>COLONIA INDUSTRIAL DELTA</t>
  </si>
  <si>
    <t>COLONIACONJUNTO ESTRELLA</t>
  </si>
  <si>
    <t>COLONIA VILLA INSURGENTES</t>
  </si>
  <si>
    <t>COLONIACONSTELACION</t>
  </si>
  <si>
    <t>COLONIA VILLAS DE SANTA JULIA</t>
  </si>
  <si>
    <t>COLONIA REAL PROVIDENCIA</t>
  </si>
  <si>
    <t>COLONIA OBREGÓN</t>
  </si>
  <si>
    <t>COLONIA LA PISCINA KILÓMETRO 3.5</t>
  </si>
  <si>
    <t>COLONIA STA MARÍA DEL GRANJENO</t>
  </si>
  <si>
    <t>COLONIA PILETAS I Y II</t>
  </si>
  <si>
    <t>COLONIA VALLE DE IRTICH S/N ESQ. MADRE TIERRA</t>
  </si>
  <si>
    <t>COLONIA SAN MIGUEL INFONAVIT</t>
  </si>
  <si>
    <t>COLONIA JOAQUÍN PARDAVE 213</t>
  </si>
  <si>
    <t>COLONIA SAN FRANCISCO AMPLIACIÓN</t>
  </si>
  <si>
    <t>COLONIA LAS TROJES</t>
  </si>
  <si>
    <t>COLONIA SAN JOSE DE CEMENTOS</t>
  </si>
  <si>
    <t>COLONIA SANTA MARIA DE CEMENTOS</t>
  </si>
  <si>
    <t>COLONIA SANTA ROSA DE LIMA</t>
  </si>
  <si>
    <t>COLONIA SAN JOSE DELCONSUELO</t>
  </si>
  <si>
    <t>COLONIA RIVERA DE LA PRESA</t>
  </si>
  <si>
    <t>COLONIA VALLE DE SAN BERNARDO</t>
  </si>
  <si>
    <t>COLONIA LOMAS DE GUADALUPE</t>
  </si>
  <si>
    <t>COLONIA PALOMARES</t>
  </si>
  <si>
    <t>COLONIA PRESIDENTES DE MEXICO</t>
  </si>
  <si>
    <t>COLONIA LOURDES</t>
  </si>
  <si>
    <t>COLONIA LOMAS DE ECHEVESTE</t>
  </si>
  <si>
    <t>COLONIA ARBOLEDAS DE LOS CASTILLOS II</t>
  </si>
  <si>
    <t>COLONIA 8 DE MARZO</t>
  </si>
  <si>
    <t>COLONIA SAN MANUEL</t>
  </si>
  <si>
    <t>COLONIA JARDINES DE ECHEVESTE</t>
  </si>
  <si>
    <t>COLONIA MISION DE LA LUZ</t>
  </si>
  <si>
    <t>COLONIA PILETAS IV</t>
  </si>
  <si>
    <t>COLONIA INDUSTRIAL DELTA LEÓN</t>
  </si>
  <si>
    <t>COLONIA LOMAS DEL CAMPESTRE</t>
  </si>
  <si>
    <t>COLONIA JARDINES DE JEREZ</t>
  </si>
  <si>
    <t>COLONIA VALLE DE JEREZ</t>
  </si>
  <si>
    <t>COLONIA CONVIVE</t>
  </si>
  <si>
    <t>COLONIA CONDOMINIO BUENOS AIRES</t>
  </si>
  <si>
    <t>COLONIA DUARTE</t>
  </si>
  <si>
    <t>Fibra óptica</t>
  </si>
  <si>
    <t>DEPORTIVA MUNICIPAL DE SILAO</t>
  </si>
  <si>
    <t>CALLE RAÚL BAILLERES ORIENTE 161.  ZONA CENTRO.  CÓDIGO POSTAL 36100.</t>
  </si>
  <si>
    <t>SILAO</t>
  </si>
  <si>
    <t>ECO PARQUE LOS EUCALIPTOS</t>
  </si>
  <si>
    <t>CAMPAMENTO DEL FERROCARRIL S/N. COLONIA  LA ESTRELLA. CÓDIGO POSTAL 36150.</t>
  </si>
  <si>
    <t>JARDIN PRINCIPAL SILAO</t>
  </si>
  <si>
    <t>CALLE PORTAL DE VICTORIA Y 5 DE MAYO. COLONIA ZONA CENTRO. CÓDIGO POSTAL 36100.</t>
  </si>
  <si>
    <t xml:space="preserve"> COLONIA ZONA CENTRO</t>
  </si>
  <si>
    <t>MERCADO VICTORIA</t>
  </si>
  <si>
    <t>CALLE IGNACIO ALLENDE Y PINO SUAREZ. ZONA CENTRO. CÓDIGO POSTAL 36100.</t>
  </si>
  <si>
    <t>PARQUE LA ALAMEDA</t>
  </si>
  <si>
    <t>CALLE ALAMEDA S/N.  COLONIA ESTACIÓN DE FERROCARRIL. CÓDIGO POSTAL 36100.</t>
  </si>
  <si>
    <t>CALLE CAMPAMENTO DEL FERROCARRIL S/N. COLONIA  LA ESTRELLA. CÓDIGO POSTAL 36150.</t>
  </si>
  <si>
    <t>PLAZA LIBERTAD</t>
  </si>
  <si>
    <t>CALLE LIBERTAD Y ALVARO OBREGÓN. COLONIA ZONA CENTRO. CÓDIGO POSTAL 36100.</t>
  </si>
  <si>
    <t>POLIDEPORTIVO LOS EUCALIPTOS</t>
  </si>
  <si>
    <t>CALLE CARRETERA A TREJO S/N. COLONIA CAMPAMENTO DEL FERROCARRIL. CÓDIGO POSTAL 36150.</t>
  </si>
  <si>
    <t>PARQUE GUADALUPE</t>
  </si>
  <si>
    <t>CALLE NUESTRA SEÑORA DEL CARMEN 24. FRACC. GUADALUPE I. CÓDIGO POSTAL 36100.</t>
  </si>
  <si>
    <t>COLONIA GUADALUPE I</t>
  </si>
  <si>
    <t>PARQUE SOPEÑA</t>
  </si>
  <si>
    <t>CALLE EULALIO GUTIERREZ 1 Y REVOLUCION. COLONIA SOPEÑA.  CÓDIGO POSTAL 36100.</t>
  </si>
  <si>
    <t>11DES0055Z - EFRAIN HUERTA</t>
  </si>
  <si>
    <t>CALLE AGUSTÍN DE ITURBIDE S/N. COLONIA SILAO CENTRO. CÓDIGO POSTAL 36100.</t>
  </si>
  <si>
    <t>11DJN0035B - CATALINA D' ERSELL DULCHE E.</t>
  </si>
  <si>
    <t>CALLE RAUL BALLERES S/N A UN COSTADO DEL ESTADIO DE BEISBOL MUNICIPAL. COLONIA CENTRO. CÓDIGO POSTAL 36100.</t>
  </si>
  <si>
    <t xml:space="preserve"> COLONIA CENTRO</t>
  </si>
  <si>
    <t>11DJN0258K - MIGUEL HIDALGO Y COSTILLA</t>
  </si>
  <si>
    <t>CALLE PROLONGACION FUNDACION S/N. COLONIA CENTRO. CÓDIGO POSTAL 36100.</t>
  </si>
  <si>
    <t>11DJN0317J - EVA SAMANO DE LOPEZ MATEOS</t>
  </si>
  <si>
    <t>AVENIDA REFORMA NUM. 1-A. COLONIA  REFORMA. CÓDIGO POSTAL 36149.</t>
  </si>
  <si>
    <t>11DJN0322V - BRIGIDA ALFARO</t>
  </si>
  <si>
    <t>BOULEVARD EMILIANO ZAPATA NÚMERO EXTERIOR S/N. COLONIA LORENZO MOSQUEDA. CÓDIGO POSTAL 36112.</t>
  </si>
  <si>
    <t>11DJN0618F - FRAY PEDRO DE GANTE</t>
  </si>
  <si>
    <t>CALLE JUAN ESCUTIA NUMERO 2. COLONIA INDEPENDENCIA. CÓDIGO POSTAL 36160.</t>
  </si>
  <si>
    <t>11DJN0622S - ELENA TORRES CUELLAR</t>
  </si>
  <si>
    <t>CALLE AQUILES SERDAN S/N. COLONIA LOS ANGELES. CÓDIGO POSTAL 36120.</t>
  </si>
  <si>
    <t xml:space="preserve"> COLONIA LOS ANGELES</t>
  </si>
  <si>
    <t>11DJN1105N - BERTHA VON GLUMER LEYVA</t>
  </si>
  <si>
    <t>CALLE CALZADA HIDALGO S/N. COLONIA CENTRO. CÓDIGO POSTAL 36100.</t>
  </si>
  <si>
    <t>11DJN3446Y - PROGRESO</t>
  </si>
  <si>
    <t>CALLE PLAN DE GUANAJUATO S/N. COLONIA PROGRESO. CÓDIGO POSTAL 36135.</t>
  </si>
  <si>
    <t>11DPR0333R - PROFR. Y GENERAL CANDIDO NAVARRO</t>
  </si>
  <si>
    <t xml:space="preserve">CALLE MUNICIPIO LIBRE NUM. 39 B. COLONIA PORGRESO. CÓDIGO. POSTAL 36135. </t>
  </si>
  <si>
    <t>11DPR0334Q - NIÑOS HEROES</t>
  </si>
  <si>
    <t>AVENIDA RAMAL DE GUANAJUATO NUMERO 95. COLONIA REFORMA.  CÓDIGO POSTAL 36149.</t>
  </si>
  <si>
    <t>11DPR0336O - IGNACIO RAMIREZ LOPEZ</t>
  </si>
  <si>
    <t>CALLE FUNDACIÓN NÚMERO EXTERIOR 41 . COLONIA SILAO CENTRO. CÓDIGO POSTAL 36100.</t>
  </si>
  <si>
    <t>11DPR0338M - J. JESUS GONZALEZ ORTEGA</t>
  </si>
  <si>
    <t>CALLE JOSÉ ROCHA 18-28. COLONIA BARRIO NUEVO. CÓDIGO POSTAL 36100.</t>
  </si>
  <si>
    <t>11DPR0542X - LAZARO CARDENAS DEL RIO</t>
  </si>
  <si>
    <t>CALLE NARDO NUMERO 6. COLONIA LA JOYITA. CÓDIGO POSTAL 36130.</t>
  </si>
  <si>
    <t>COLONIA LA JOYITA</t>
  </si>
  <si>
    <t>11DPR0728B - LIC. ADOLFO LOPEZ MATEOS</t>
  </si>
  <si>
    <t>CALLE ANTIGUO CAMINO A TREJO S/N FRENTE AL LIENZO CHARRO. COLONIA ADOLFO LOPEZ MATEOS. CÓDIGO POSTAL  36150.</t>
  </si>
  <si>
    <t>11DPR1366P - BENITO JUAREZ</t>
  </si>
  <si>
    <t>CALLE EULALIO GUTIÉRREZ NÚMERO EXTERIOR S/N. COLONIA SOPEÑA. CÓDIGO POSTAL 36119.</t>
  </si>
  <si>
    <t>11DPR1394L - LIC. LUIS I. RODRIGUEZ</t>
  </si>
  <si>
    <t>CALLE PINO SUAREZ NUMERO EXTERIOR 117. COLONIA SILAO CENTRO. CÓDIGO POSTAL 36100.</t>
  </si>
  <si>
    <t>11DPR1443D - GENERAL FELIPE ANGELES</t>
  </si>
  <si>
    <t>CALLE IGNACIO RAMIREZ S/N. COLONIA  LOS ANGELES. CÓDIGO POSTAL 36120.</t>
  </si>
  <si>
    <t>11DES0111A - BICENTENARIO DE LA INDEPENDENCIA</t>
  </si>
  <si>
    <t>CALLE MADROÑO S/N. COLONIA  NORIA DE SOPEÑA 2A. SECCION. CÓDIGO POSTAL   36112.</t>
  </si>
  <si>
    <t>11DPR3314X - RAUL BAILLERES</t>
  </si>
  <si>
    <t>BOULEVARD BAILLERES NÚMERO EXTERIOR 46 . COLONIA JARDINES DE LA VICTORIA. CÓDIGO POSTAL 36110.</t>
  </si>
  <si>
    <t>11EES0043T - MIGUEL HIDALGO Y COSTILLA</t>
  </si>
  <si>
    <t>CALLE PALMA NÚMERO EXTERIOR 5 . COLONIA SILAO CENTRO. CÓDIGO POSTAL 36100.</t>
  </si>
  <si>
    <t>11ETV1087C - JOSE VASCONCELOS</t>
  </si>
  <si>
    <t>CALLE LOMA AZUL NÚMERO EXTERIOR SN. COLONIA LA LOMA. CÓDIGO POSTAL 36119.</t>
  </si>
  <si>
    <t>11EJN0181L - "SOLIDARIDAD"</t>
  </si>
  <si>
    <t>CALLE 16 DE SEPTIEMBRE NUMERO 93. COLONIA CENTRO. CÓDIGO POSTAL 36100.</t>
  </si>
  <si>
    <t>11EJN0330C - LA MALINCHE</t>
  </si>
  <si>
    <t>CALLE NIÑOS HEROES S/N. COMUNIDAD DE FRANCO CÓDIGO POSTAL 36126</t>
  </si>
  <si>
    <t xml:space="preserve"> COMUNIDAD DE FRANCO</t>
  </si>
  <si>
    <t>ESPACIO CULTURAL</t>
  </si>
  <si>
    <t>MUSEO JOSE Y TOMAS CHAVEZ MORADO</t>
  </si>
  <si>
    <t>CALLE GENERAL VICENTE GUERRERO. 1. COLONIA CENTRO. CÓDIGO POSTAL 36100</t>
  </si>
  <si>
    <t>11EJN0422T - JUAN DE JASSO</t>
  </si>
  <si>
    <t>CALLE TIERRA Y LIBERTAD. COLONIA TIERRA Y LIBERTAD. CÓDIGO POSTAL 36143.</t>
  </si>
  <si>
    <t>11EPR0312D - IGNACIO FREYRE</t>
  </si>
  <si>
    <t>AVENIDA REFORMA S/N. COLONIA REFORMA. CÓDIGO POSTAL  36149.</t>
  </si>
  <si>
    <t>11EPR0308R - EVERARDA ROMERO ARENAS</t>
  </si>
  <si>
    <t>CALLE PALMA NÚMERO EXTERIOR 1. COLONIA SILAO CENTRO. CÓDIGO POSTAL 36100.</t>
  </si>
  <si>
    <t>11EPR0313C - VICTORIANO RODRIGUEZ</t>
  </si>
  <si>
    <t>CALLE ALAMEDA S/N. COLONIA  ZONA CENTRO. CÓDIGO POSTAL  36100.</t>
  </si>
  <si>
    <t>11EPR0377N - J NATIVIDAD MACIAS</t>
  </si>
  <si>
    <t>BOULEVARD RAÚL BAILLERES NORTE S/N. COLONIA SILAO CENTRO. CÓDIGO POSTAL 36100.</t>
  </si>
  <si>
    <t>11EPR0838G - MA. GUADALUPE ARAIZA GODINEZ</t>
  </si>
  <si>
    <t>CALLE JUAREZ NUMERO 63. COLONIA  ZONA CENTRO. CÓDIGO POSTAL 36100.</t>
  </si>
  <si>
    <t>11ETV0399Y - MANUEL TOUSSAINT</t>
  </si>
  <si>
    <t>CALLE SOPEÑA S/N. COLONIA SOPEÑA. CÓDIGO POSTAL 36119.</t>
  </si>
  <si>
    <t>11ETV0612Z - TELESECUNDARIA NUM. 611</t>
  </si>
  <si>
    <t>CALLE NUESTRA SEÑORA DEL CARMEN NUMERO 2. COLONIA  GUADALUPE. CÓDIGO POSTAL 36142.</t>
  </si>
  <si>
    <t>11EPR0911Z - LUIS CHAVEZ OROZCO</t>
  </si>
  <si>
    <t>CALLE JOSE ZORRILLA NÚMERO EXTERIOR 63. COLONIA HACIENDA DE CERRITOS. CÓDIGO POSTAL 36143.</t>
  </si>
  <si>
    <t>11ETV0448Q - TELESECUNDARIA NUM. 443</t>
  </si>
  <si>
    <t>CALLE JUAN ESCUTIA  S/N. COLONIA INDEPENDENCIA. CÓDIGO POSTAL 36160.</t>
  </si>
  <si>
    <t>COLONIA INDEPENDENCIA</t>
  </si>
  <si>
    <t>MODULO EDUCATIVO USAE SILAO</t>
  </si>
  <si>
    <t>CALLE 5 DE MAYO 19. COLONIA CENTRO. CÓDIGO POSTAL 36100.</t>
  </si>
  <si>
    <t>SUPERVISION DE ZONA ESCOLAR DE EDUCACION PREESCOLAR NUM. 72</t>
  </si>
  <si>
    <t>CALLE SANTOS DEGOLLADO 4. COLONIA CENTRO. CÓDIGO POSTAL 36100.</t>
  </si>
  <si>
    <t>CASA DE LA CULTURA ISAURO RIONDA ARREGUIN</t>
  </si>
  <si>
    <t>CALLE DR. DOMENZAIN # 31. COLONIA ZONA CENTRO. CÓDIGO POSTAL  36100.</t>
  </si>
  <si>
    <t>CENTRO IMPULSO LOS ESPARRAGOS</t>
  </si>
  <si>
    <t>CALLE ADOLFO RUIZ CORTINEZ #27. COLONIA LOS ESPARRAGOS.  CÓDIGO POSTAL 36159.</t>
  </si>
  <si>
    <t>SECRETARÍA DE FINANZAS. (OFICINA RECAUDADORA) OLT</t>
  </si>
  <si>
    <t>CALLE 5 DE MAYO 13. COLONIA CENTRO. CÓDIGO POSTLA 36100.</t>
  </si>
  <si>
    <t>SECRETARÍA DE GOBIERNO (DEFENSORÍA EN MATERIA CIVIL)</t>
  </si>
  <si>
    <t>CALLE FRANCISCO I MADERO 2-A. COLONIA CENTRO. CÓDIGO POSTAL 36100.</t>
  </si>
  <si>
    <t>11DPT0010Y - PLANTEL CONALEP 204.  SILAO</t>
  </si>
  <si>
    <t>CALLE BUGAMBILIAS # 21. COLONIA SOPEÑA. CÓDIGO POSTAL 36119.</t>
  </si>
  <si>
    <t>PRESIDENCIA MUNICIPAL DE SILAO DE LA VICTORIA</t>
  </si>
  <si>
    <t>CALLE MELCHOR OCAMPO 1. COLONIA CENTRO. CÓDIGO POSTAL  36100.</t>
  </si>
  <si>
    <t>11DJN0324T - LAURO AGUIRRE</t>
  </si>
  <si>
    <t>CALLE ANTONIO FUNES Y RAMIREZ NÚMERO EXTERIOR S/N. COLONIA EJIDO COECILLO. CÓDIGO POSTAL 36270.</t>
  </si>
  <si>
    <t xml:space="preserve"> COMUNIDAD COECILLO</t>
  </si>
  <si>
    <t>11DJN0597J - JOSE MA PINO SUAREZ</t>
  </si>
  <si>
    <t>CALLE ADOLFO LÓPEZ MATEOS LUCERO DE RAMALES. COLONIA NO APLICA. CÓDIGO POSTAL 36283.</t>
  </si>
  <si>
    <t xml:space="preserve"> COMUNIDAD LUCERO DE RAMALES</t>
  </si>
  <si>
    <t>11ETV0611A - TELESECUNDARIA 612 AGUSTIN YAÑEZ</t>
  </si>
  <si>
    <t>CALLE GUSTAVO DIAZ ORDAZ. COLONIA FRANCISCO JAVIER MINA. CÓDIGO POSTAL  36100.</t>
  </si>
  <si>
    <t>COLONIA FRANCISCO JAVIER MINA</t>
  </si>
  <si>
    <t>11DJN2843Q - SILAO DE LA VICTORIA</t>
  </si>
  <si>
    <t>CALLE VILLA DE GUADALUPE. COLONIA VILLA DE GUADALUPE. CÓDIGO POSTAL 36100.</t>
  </si>
  <si>
    <t>11DJN2844P - JOHANN HEINRICH</t>
  </si>
  <si>
    <t>CALLE NIÑOS HEROES. COMUNIDAD DE MENORES. CÓDIGO POSTAL 36294</t>
  </si>
  <si>
    <t xml:space="preserve"> COMUNIDAD DE MENORES</t>
  </si>
  <si>
    <t>11DJN3225N - JOSEFA ORTIZ DE DOMINGUEZ</t>
  </si>
  <si>
    <t>CALLE REFUGIO DE PILA S/N. COLONIA COLONIA CONDADO DE LA PILA. CÓDIGO POSTAL 36170.</t>
  </si>
  <si>
    <t>11DJN3277T - MIGUEL BORJA</t>
  </si>
  <si>
    <t>CALLE SAN JUAN DE LOS DURAN. COLONIA SAN JUAN DE LOS DURAN. CÓDIGO POSTAL 36100.</t>
  </si>
  <si>
    <t>11DJN4063Z - LIC. DON JOSE NATIVIDAD MACIAS</t>
  </si>
  <si>
    <t>CALLE RIO HONDO S/N. COLONIA   VALLE DE SAN JOSE. CÓDIGO POSTAL 36112.</t>
  </si>
  <si>
    <t>11DJN4064Y - ANTONIO ZUÑIGA</t>
  </si>
  <si>
    <t>CALLE JUVENTINO ROSAS S/N. COLONIA MEXICO. CÓDIGO POSTAL 36122.</t>
  </si>
  <si>
    <t>11DPR0345W - AGUSTIN MELGAR</t>
  </si>
  <si>
    <t>IGNACIO ALLENDE # 461. ZONA CENTRO. C.P. 38000. CELAYA. GTO</t>
  </si>
  <si>
    <t>ZONA CENTRO</t>
  </si>
  <si>
    <t>11DPR2361A - MANUEL M. DIEGUEZ</t>
  </si>
  <si>
    <t>CAMINO A VETA DE RAMALES S/N. COMUNIDAD VETA DE RAMALES CÓDIGO POSTAL  36100.</t>
  </si>
  <si>
    <t xml:space="preserve"> COMUNIDAD VETA DE RAMALES</t>
  </si>
  <si>
    <t>11DPR3357V - GUADALUPE VICTORIA</t>
  </si>
  <si>
    <t>CALLE VILLAS DE GUADALUPE S/N. COLONIA VILLAS DE GUADALUPE. CÓDIGO POSTAL 36132.</t>
  </si>
  <si>
    <t>11EPR0901S - BICENTENARIO DE LA INDEPENDENCIA</t>
  </si>
  <si>
    <t>CALLE HACIENDA DE CHICHIMEQUILLAS S/N. COLONIA LA HACIENDA. CÓDIGO POSTAL 36112.</t>
  </si>
  <si>
    <t>11DPR3666Z - ANTONIO ZUÑIGA NAVARRO</t>
  </si>
  <si>
    <t>CALLE FRANCISCO JAVIER MINA  S/N. COLONIA FRANCISCO JAVIER MINA. CÓDIGO POSTAL 36113.</t>
  </si>
  <si>
    <t>11DPR0367H-VENUSTIANO CARRANZA - PRIMARIA</t>
  </si>
  <si>
    <t>CALLE SAN JUAN DE LOS DURAN. COL SAN JUAN DE LOS DURAN. CÓDIGO POSTAL 36283.</t>
  </si>
  <si>
    <t>COMUNIDAD SAN JUAN DE LOS DURAN</t>
  </si>
  <si>
    <t>11ETV1088B - TELESECUNDARIA NUM. 1088</t>
  </si>
  <si>
    <t>CALLE LOS OLIVOS S/N. COLONIA  VALLE DE LAS HUERTAS. CÓDIGO POSTAL 36120.</t>
  </si>
  <si>
    <t>COLONIA VALLE DE LAS HUERTAS</t>
  </si>
  <si>
    <t>11EJN0026T - "IGNACIO RAMIREZ"</t>
  </si>
  <si>
    <t>CALLE COLONIA VIA I S/N. COLONIA VIA 1. CÓDIGO POSTAL 36126.</t>
  </si>
  <si>
    <t>11EJN0278X - AGUSTIN MELGAR</t>
  </si>
  <si>
    <t>CALLE COLONIA EL OLIVO S/N. COLONIA  EL OLIVO.  CÓDIGO POSTAL 36155.</t>
  </si>
  <si>
    <t>11EJN0331B - EFRAIN HUERTA</t>
  </si>
  <si>
    <t>CALLE QUETA JIMENEZ S/N. COLONIA ESTRELLASA. CÓDIGO POSTAL 36170.</t>
  </si>
  <si>
    <t>11EPR0319X - EMILIANO ZAPATA</t>
  </si>
  <si>
    <t>CALLE MENORES NÚMERO EXTERIOR S/N. COLONI MENORES. CÓDIGO POSTAL 36294.</t>
  </si>
  <si>
    <t>COMUNIDAD MENORES</t>
  </si>
  <si>
    <t>11DJN4613L - FEDERICO FROEBEL</t>
  </si>
  <si>
    <t>CALLE PEDRO MORENO S/N. COLONIA LOS ANGELES. CÓDIGO POSTAL 36120.</t>
  </si>
  <si>
    <t>11ETV0169F - DIEGO RIVERA</t>
  </si>
  <si>
    <t>CALLE EL COECILLO  S/N. COLONIA EJIDO COECILLO. CÓDIGO POSTAL   36270.</t>
  </si>
  <si>
    <t>11ETV0544T - TELESECUNDARIA NUM. 530</t>
  </si>
  <si>
    <t>CALLE RIO SILAO NUMERO 12. COLONIA VÍA 1 CÓDIGO POSTAL 36126.</t>
  </si>
  <si>
    <t>COLONIA VÍA 1</t>
  </si>
  <si>
    <t>11DJN4356M - NIÑOS HEROES</t>
  </si>
  <si>
    <t xml:space="preserve">CALLE SAN BARTOLO S/N. COLONIA SAN BARTOLO CÓDIGO POSTAL 36283. </t>
  </si>
  <si>
    <t>11DJN4450R - JARDIN DE NIÑOS ROSAURA ZAPATA CANO</t>
  </si>
  <si>
    <t>CALLE VETA DE RAMALES. COMUNIDAD DE VETA DE RAMALES. CÓDIGO POSTAL 36279.</t>
  </si>
  <si>
    <t xml:space="preserve"> COMUNIDAD DE VETA DE RAMALES</t>
  </si>
  <si>
    <t>11DPR1435V ESCUELA ALFREDO V BONFIL</t>
  </si>
  <si>
    <t>CALLE ADOLFO LOPEZ MATEOS S/N. COMUNIDAD DE LUCERO DE RAMALES. CÓDIGO POSTAL 36280.</t>
  </si>
  <si>
    <t xml:space="preserve"> COMUNIDAD DE LUCERO DE RAMALES</t>
  </si>
  <si>
    <t>CENTRO DE CAPACITACIÓN</t>
  </si>
  <si>
    <t>INSTITUTO ESTATAL DE CAPACITACIÓN PLANTEL SILAO</t>
  </si>
  <si>
    <t>COMUNIDAD DE CERRITOS CARRETERA LIBRE KM. 2.5. COLONIA LOS CERRITOS.  CÓDIGO POSTAL 36100.</t>
  </si>
  <si>
    <t>INSTITUTO GUANAJUATENSE PARA LAS PERSONAS CON DISCAPACIDAD (CEREVI)</t>
  </si>
  <si>
    <t>CALLE HACIENDA SILAO 900. COLONIA LA HACIENDA. CÓDIGO POSTAL 36100.</t>
  </si>
  <si>
    <t>COLONIA LA HACIENDA</t>
  </si>
  <si>
    <t>CENTRO IMPULSO LA HUERTA</t>
  </si>
  <si>
    <t>CALLE MEMBRILLO #14. COLONIA  LA HUERTA. CÓDIGO POSTAL 36119 .</t>
  </si>
  <si>
    <t>11ETC0028S - COLEGIO DE ESTUDIOS CIENTIFICOS Y TECNOLOGICOS DEL ESTADO DE GUANAJUATO PLANTEL SILAO</t>
  </si>
  <si>
    <t>CALLE CATALUÑA. COLONIA CONDADO DE LA PILA. CÓDIGO POSTAL 36172.</t>
  </si>
  <si>
    <t>CENTRO DE ATENCIÓN INTEGRAL Y SERVICIOS ESENCIALES EN SALUD (CAISES SILAO)</t>
  </si>
  <si>
    <t>CALLE HACIENDA DE LA VICTORIA 178. COLONIA EX HACIENDA DE FRANCO CÓDIGO POSTAL 36126.</t>
  </si>
  <si>
    <t>COLONIA EX HACIENDA DE FRANCO</t>
  </si>
  <si>
    <t>HOSPITAL GENERAL SILAO</t>
  </si>
  <si>
    <t>BOULEVARD SAN BERNARDO 39.  COLONIA BRISAS DE LOS RIOS. CÓDIGO POSTAL 36133.</t>
  </si>
  <si>
    <t xml:space="preserve">	11EPO0003B - UNIVERSIDAD POLITÉCNICA DEL BICENTENARIO</t>
  </si>
  <si>
    <t>CARRETERA ESTATAL SILAO ROMITA KM. 2. COLONIA SAN JUAN DE LOS DURAN. C.P. 36283. SILAO DE LA VICTORIA. GUANAJUATO.  COLONIA SAN JUAN LOS DURÁN</t>
  </si>
  <si>
    <t>11ETH0264Q - BACHILLERATO SABES MENORES</t>
  </si>
  <si>
    <t>CALLE AGUSTIN MELGAR ESQUINA CALZADA DE LOS HEROES. COMUNIDAD DE MENORES CÓDIGO POSTAL 36294</t>
  </si>
  <si>
    <t>NA</t>
  </si>
  <si>
    <t>Gustavo Villagomez</t>
  </si>
  <si>
    <t>El sitio presenta muchas interrupciones (pérdida de paquetes) puede deberse a que el Acces Point se encuentra muy retirado</t>
  </si>
  <si>
    <t>27b</t>
  </si>
  <si>
    <t>27a</t>
  </si>
  <si>
    <t>La conexión fue rápida y constante, la navegación fue fluida, no se observan anomalías, pero tiene muy bajo el ancho de banda</t>
  </si>
  <si>
    <t>La conexión fue rápida, pero la navegación en la página web presentó cortes (pérdidas de paquetes) esto puede deberse a que el Acces Point se encuenta algo retirado</t>
  </si>
  <si>
    <t>La conexión fue rápida y constante, la navegación presentó algo de lentitud puede deberse a que el Acces Point se encuentra lejos</t>
  </si>
  <si>
    <t>La conexión fue rápida y constante, la navegación fue fluida, no se observan anomalías, tiene buena señal pero el ancho de banda es muy bajo, en ese momento se encontraba personal de CEMER haciendo la revisión y se le comentó el resultado del test de velocidad, dijo que iba a subir el ancho de banda</t>
  </si>
  <si>
    <t>La conexión fue rápida y constante, la navegación fue fluida excepto por el Youtube que tardó en cargar un poco, tiene buena señal</t>
  </si>
  <si>
    <t>La conexión fue rápida y constante, la navegación fue fluida, no se observan anomalías, tiene buena señal, pero el ancho de banda es muy bajo</t>
  </si>
  <si>
    <t>No se puede acceder a la red no se visualiza el SSID ha de ser por que el Acces Point se encuentra muy lejos y no permitieron el ingreso al sitio</t>
  </si>
  <si>
    <t>Hay mucha intermitencia en la navegación (pérdida de paquetes) y no se pudo generar el test de velocidad, el Acces Point se encuentra a unos 30mts de distancia</t>
  </si>
  <si>
    <t>Hay mucha intermitencia en la navegación (pérdida de paquetes) y no se pudo generar el test de velocidad esto se puede deber a que el Acces Point se encuentra muy lejos</t>
  </si>
  <si>
    <t>No se puede acceder a la red no se visualiza el SSID ha de ser por que el Acces Point se encuentra muy lejos y ya no hay nadie en sitio para poder ingresar</t>
  </si>
  <si>
    <t>No se puede conectar a la red puede ser por que el Acces Point está muy lejos y no se nos dio acceso</t>
  </si>
  <si>
    <t>Presentó algo de intermitencia el Acces Point se encuentra muy retirado y no se nos permitió el ingreso</t>
  </si>
  <si>
    <t>La conexión fue rápida y constante, la navegación fue fluida, no permitió cargar videos en youtube, lo demás lo cargó sin problema</t>
  </si>
  <si>
    <t>La conexión fue rápida y constante, no permitio navegar en chrome, tiene buena señal pero el ancho de banda es muy bajo</t>
  </si>
  <si>
    <t>El Acces Point se encuentra muy alejado de la calle y no se nos permitió el ingreso a las instalaciones</t>
  </si>
  <si>
    <t>Mensajero</t>
  </si>
  <si>
    <t>Día</t>
  </si>
  <si>
    <t>Mes</t>
  </si>
  <si>
    <t>Año</t>
  </si>
  <si>
    <t>ALAMEDA HIDALGO</t>
  </si>
  <si>
    <t>ALAMEDA, 38050 LA ALAMEDA, GTO.</t>
  </si>
  <si>
    <t>CELAYA</t>
  </si>
  <si>
    <t>PARQUE LAS HUERTAS</t>
  </si>
  <si>
    <t>AV LAS HUERTAS, VALLE DE LOS NARANJOS, 38013, CELAYA.GTO</t>
  </si>
  <si>
    <t>PLAZA SAN AGUSTIN</t>
  </si>
  <si>
    <t>CALLE ALVARO OBREGON 97, COL. CENTRO, 38000 CELAYA, GTO.</t>
  </si>
  <si>
    <t>PLAZA PERFECTO IGNACIO ARANDA RUIZA DE ESPARZA (BOLA DE AGUA)</t>
  </si>
  <si>
    <t>JOSÉ MARIA MORELOS, COL. CENTRO, 38000 CELAYA, GTO.</t>
  </si>
  <si>
    <t>PARQUE FUNDADORES 450</t>
  </si>
  <si>
    <t>C. FUENTE DE TREVI 301, LAS FUENTES, 38040 CELAYA, GTO.</t>
  </si>
  <si>
    <t>PARQUE JOSÉ MARIA MORELOS Y PAVÓN</t>
  </si>
  <si>
    <t>SEGUNDA PRIV. FRANCISCO VILLA 14, EL DORADO, 38079 CELAYA, GTO.</t>
  </si>
  <si>
    <t>PARQUE XIMHAI</t>
  </si>
  <si>
    <t>AV JUAN JOSÉ TORRES LANDA LB, BAJIO DE LAS AMERICAS, 38014 CELAYA, GTO.</t>
  </si>
  <si>
    <t>PARQUE LOS NARANJOS</t>
  </si>
  <si>
    <t>AVENA, 38028 CELAYA, GTO.</t>
  </si>
  <si>
    <t>UNIDAD DEPORTIVA MIGUEL ALEMÁN VALDÉZ</t>
  </si>
  <si>
    <t>DEPORTIVA, 38033 CELAYA, GTO.</t>
  </si>
  <si>
    <t>UNIDAD DEPORTIVA NORTE CELAYA</t>
  </si>
  <si>
    <t>MANUEL OROZCO Y BERRA, NUEVO TECNOLOGICO, 38010 CELAYA, GTO.</t>
  </si>
  <si>
    <t>POLIDEPORTIVO EMILIANO ZAPATA</t>
  </si>
  <si>
    <t>UNIDAD DEPORTIVA, CARLOS M. PERALTA, EMILIANO ZAPATA, 38030 CELAYA, GTO.</t>
  </si>
  <si>
    <t>ESTACIONAMIENTO</t>
  </si>
  <si>
    <t>ESTACIONAMIENTO SUBTERRANEO ISSEG CELAYA</t>
  </si>
  <si>
    <t>COLONIA CENTRO CELAYA C.P.38000</t>
  </si>
  <si>
    <t>11DJN4297N - FEDERICO FROEBEL</t>
  </si>
  <si>
    <t>AVENIDA CASUARINAS NUM. 604</t>
  </si>
  <si>
    <t>11DES0008O - SECUNDARIA GENERAL GENERAL FRANCISCO VILLA</t>
  </si>
  <si>
    <t>MANUEL OROZCO Y BERRA NUM. 101 UNIDEC</t>
  </si>
  <si>
    <t>11DES0018V - SECUNDARIA GENERAL PROF. RAMON GARCIA GARIBAY</t>
  </si>
  <si>
    <t>CAMICHIN NUM. 101</t>
  </si>
  <si>
    <t>11DES0085T - MELCHOR OCAMPO</t>
  </si>
  <si>
    <t>LAGO ZIRAHUEN NUM. SN</t>
  </si>
  <si>
    <t>11DJN0024W - JOSE MA MORELOS Y PAVON</t>
  </si>
  <si>
    <t>J. BAUTISTA Y MARTE S/N ZONA DE ORO</t>
  </si>
  <si>
    <t>11DJN0045I - LIC. BENITO JUAREZ</t>
  </si>
  <si>
    <t>BOLIVIA NUM. 102</t>
  </si>
  <si>
    <t>11DJN0050U - S E R T O M A</t>
  </si>
  <si>
    <t>GENERAL GENOVEVO DE LA O NUM. 116 DESPUES DE LA CURVA</t>
  </si>
  <si>
    <t>11DJN0057N - EMILIO CARRANZA</t>
  </si>
  <si>
    <t>RANCHO TERCERA PRIVADA DE CHIHUAHUA NUM. 10 RANCHO SECO</t>
  </si>
  <si>
    <t>11DJN0058M - ROSAURA ZAPATA</t>
  </si>
  <si>
    <t>ANDADOR S/N UNIDAD INDEPENDENCIA</t>
  </si>
  <si>
    <t>11DJN0061Z - DOÑA MARGARITA MAZA DE JUAREZ</t>
  </si>
  <si>
    <t>NOCHEBUENA NUM. 103 HOTEL SAN DIEGO</t>
  </si>
  <si>
    <t>11DJN0132D - VALENTIN GOMEZ FARIAS</t>
  </si>
  <si>
    <t>LIC. ALFONSO TRUEBA OLIVARES NUM. 216 POR TELMEX</t>
  </si>
  <si>
    <t>11DJN0270F - MIGUEL HIDALGO Y COSTILLA</t>
  </si>
  <si>
    <t>ABASOLO S/N</t>
  </si>
  <si>
    <t>11DJN0279X - MOISES SAENZ GARZA</t>
  </si>
  <si>
    <t>AVENIDA REVOLUCION S/N</t>
  </si>
  <si>
    <t>11DJN0280M - IGNACIO RAMIREZ LOPEZ</t>
  </si>
  <si>
    <t>ANDADOR APASEO EL ALTO S/N</t>
  </si>
  <si>
    <t>11DJN0282K - RAMON GARCIA GARIBAY</t>
  </si>
  <si>
    <t>AZTLAN S/N</t>
  </si>
  <si>
    <t>11DJN0296N - ROSA MARTINEZ RIOS DE MACIAS</t>
  </si>
  <si>
    <t>PROLONGACION SIERRA HIMALAYA NUM. 106-A</t>
  </si>
  <si>
    <t>11DJN0419G - FRANCISCO GABILONDO SOLER</t>
  </si>
  <si>
    <t>CALLE SAN ISIDRO DE TROJES NUMERO EXTERIOR: SN, COLONIA SAN ISIDR</t>
  </si>
  <si>
    <t>11DJN0421V - ROSA MARIA MARTINEZ RIOS</t>
  </si>
  <si>
    <t>ABEDUL NUM. 100</t>
  </si>
  <si>
    <t>11DJN0422U - NETZAHUALCOYOTL</t>
  </si>
  <si>
    <t>TEXCOCO NUM. 218</t>
  </si>
  <si>
    <t>11DJN0510O - ESPERANZA FRANCO ESTRADA</t>
  </si>
  <si>
    <t>REAL DE PALMAR NUM. 118</t>
  </si>
  <si>
    <t>11DJN0522T - GENERAL IGNACIO ALLENDE</t>
  </si>
  <si>
    <t>ROSAL NUM. 303</t>
  </si>
  <si>
    <t>11DJN0624Q - DOROTEO ARANGO</t>
  </si>
  <si>
    <t>LAZARO CARDENAS Y MIGUEL ALEMAN S/N</t>
  </si>
  <si>
    <t>11DJN0625P - BERTHA VON GLUMER</t>
  </si>
  <si>
    <t>CALLE SOR JUANA INES DE LA CRUZ NUMERO EXTERIOR: 501 , COLONIA BO</t>
  </si>
  <si>
    <t>11DJN0713J - CRISTINA E FRITZCHE</t>
  </si>
  <si>
    <t>ESTACIONAMIENTO S/N</t>
  </si>
  <si>
    <t>11DJN0829J - JAVIER BONILLA CORTES</t>
  </si>
  <si>
    <t>IGNACIO ALLENDE NUM. 461</t>
  </si>
  <si>
    <t>11DJN0853J - CARMEN PEREZ VENEGAS</t>
  </si>
  <si>
    <t>EJIDO SAN FELIPE NUM. 103</t>
  </si>
  <si>
    <t>11DJN0934U - PABLO NERUDA</t>
  </si>
  <si>
    <t>RINCONADA DEL CIRUELO S/N</t>
  </si>
  <si>
    <t>11DJN0974V - ROSA GONZALEZ DE CARMONA</t>
  </si>
  <si>
    <t>MARMOL NUM. 100</t>
  </si>
  <si>
    <t>11DJN2866A - JUAN ENRIQUE PESTALOZZI</t>
  </si>
  <si>
    <t>CANAL DE LABRADORES NUM. 100</t>
  </si>
  <si>
    <t>11DJN2664E - FRANCISCO EDUARDO TRESGUERRAS</t>
  </si>
  <si>
    <t>SANTA MARTHA NUM. 115</t>
  </si>
  <si>
    <t>11DJN2846N - DIEGO RIVERA</t>
  </si>
  <si>
    <t>MIGUEL G. PUEBLITA S/N</t>
  </si>
  <si>
    <t>11DJN3041G - ESTEFANIA CASTAÑEDA NUÑEZ DE CACERES</t>
  </si>
  <si>
    <t>CAMELIA NUM. 814</t>
  </si>
  <si>
    <t>11DJN3042F - SOR JUANA INES DE LA CRUZ</t>
  </si>
  <si>
    <t>SANTA RITA NUM. 242</t>
  </si>
  <si>
    <t>11DJN3370Z - FEDERICO FROEBEL</t>
  </si>
  <si>
    <t>CRUZ NUM. 2</t>
  </si>
  <si>
    <t>11DJN4118L - LOS DERECHOS DE LOS NIÑOS</t>
  </si>
  <si>
    <t>ANTONIO BARONA S/N</t>
  </si>
  <si>
    <t>11DJN4138Z - PROFRA. MA. GUADALUPE ANGELICA MEDINA SANCHEZ</t>
  </si>
  <si>
    <t>ARQUITECTOS NUM. 300 NO APLICA</t>
  </si>
  <si>
    <t>11DJN4139Y - DIEGO RIVERA</t>
  </si>
  <si>
    <t>VILLAS DEL PUEBLECITO S/N NO APLICA</t>
  </si>
  <si>
    <t>11DPR0045Z - MELCHOR OCAMPO</t>
  </si>
  <si>
    <t>PLAN DE HOSPICIO S/N</t>
  </si>
  <si>
    <t>11DPR1653I - JOSEFA O DE DOMINGUEZ</t>
  </si>
  <si>
    <t>CALLE FRANCISCO I. MADERO NUMERO EXTERIOR: 7 , COLONIA SAN ISIDRO</t>
  </si>
  <si>
    <t>11DPR0773O - MIGUEL HIDALGO</t>
  </si>
  <si>
    <t>AVENIDA TRESGUERRAS NUM. 7 FRENTE AL LOTE VALDIO</t>
  </si>
  <si>
    <t>11DPR0284Z - FELIPE CARRILLO PUERTO</t>
  </si>
  <si>
    <t>ROSAL S/N ENTRE PASEO DEL BAJIO Y PASEO DE GUANAJUATO</t>
  </si>
  <si>
    <t>11DPR1270C - LEYES DE REFORMA</t>
  </si>
  <si>
    <t>AVENIDA EL SAUZ NUMERO EXTERIOR: SN, COLONIA LOS LAURELES 1A SECC</t>
  </si>
  <si>
    <t>11DPR0565H - LIBERTAD</t>
  </si>
  <si>
    <t>IGNACIO ALLENDE NUM. 501 A UNA CUADRA DE COMBATES DE CELAYA</t>
  </si>
  <si>
    <t>11DPR1604Z - HEROES DE CELAYA</t>
  </si>
  <si>
    <t>INSURGENTES Y 20 DE NOVIEMBRE S/N CASI ESQUINA CON AV TECNOLOGICO</t>
  </si>
  <si>
    <t>11DPR0567F - RUBEN M. CAMPOS</t>
  </si>
  <si>
    <t>CALLEJON FRANCISCO ZARCO NUMERO EXTERIOR: 149 , COLONIA LOS ANGEL</t>
  </si>
  <si>
    <t>11DPR0696Z - DR. JOSE MARIA LUIS MORA</t>
  </si>
  <si>
    <t>TEXCOCO NUM. 225 NO APLICA</t>
  </si>
  <si>
    <t>11DPR0697Z - REVOLUCION</t>
  </si>
  <si>
    <t>ANA BARA NUM. 301</t>
  </si>
  <si>
    <t>11DPR0943S - MTRO. LIBRADO ACEVEDO ULLOA</t>
  </si>
  <si>
    <t>ANENECUILCO NUM. 201 LA ULSAB</t>
  </si>
  <si>
    <t>11DPR0963F - J JESUS MACIAS GARMA</t>
  </si>
  <si>
    <t>CALLE ALVARO OBREGON NUMERO EXTERIOR: 123 , COLONIA SAN MARTIN DE</t>
  </si>
  <si>
    <t>11DPR1024T - ARMIRO CARRANZA</t>
  </si>
  <si>
    <t>MA. DOMINGA NUM. SN</t>
  </si>
  <si>
    <t>11DPR1034Z - PROFR. JOAQUIN BARRERA BRAVO</t>
  </si>
  <si>
    <t>CALLE CAMPECHE NUMERO EXTERIOR: 322 , COLONIA VILLA DE LOS REYES,</t>
  </si>
  <si>
    <t>11DPR1607X - CONSTITUCION DE 1857</t>
  </si>
  <si>
    <t>MARIANO ABASOLO NUM. 732</t>
  </si>
  <si>
    <t>11DPR1068Q - JOSEFA ORTIZ DE DOMINGUEZ</t>
  </si>
  <si>
    <t>AVENIDA AVENIDA TORRES LANDA NUM. 2 CARRETERA CELAYA QUERETARO</t>
  </si>
  <si>
    <t>11DPR1689X - CRISTOBAL COLON</t>
  </si>
  <si>
    <t>RANCHO MIGUEL HIDALGO NUM. 13</t>
  </si>
  <si>
    <t>11DPR1186E - JAIME NUNO</t>
  </si>
  <si>
    <t>AVENIDA LAS FUENTES NUMERO EXTERIOR: 902 , FRACCIONAMIENTO LAS FU</t>
  </si>
  <si>
    <t>11DPR1268O - INDIO DE GUELATAO</t>
  </si>
  <si>
    <t>CALLE HELIOTROPO NUMERO EXTERIOR: SN, COLONIA LAS FLORES, CODIGO</t>
  </si>
  <si>
    <t>11DPR1606Y - ALVARO OBREGON</t>
  </si>
  <si>
    <t>CALLE CAMINOS DE GUANAJUATO NUMERO EXTERIOR: 200 , COLONIA EL CAN</t>
  </si>
  <si>
    <t>11DPR1616E - CLUB DE LEONES 1</t>
  </si>
  <si>
    <t>LUIS VELAZCO MENDOZA NUM. 225 POR LA CRUZ ROJA VIEJA</t>
  </si>
  <si>
    <t>11DPR1685A - EMILIANO ZAPATA</t>
  </si>
  <si>
    <t>ROSAS MORENO S/N POR EL CESBA</t>
  </si>
  <si>
    <t>11DPR1974S - PROFR. ELISEO BANDALA</t>
  </si>
  <si>
    <t>CAMELIA NUM. 50</t>
  </si>
  <si>
    <t>11DPR2079C - PROFR. MOISES HERNANDEZ NAVARRO</t>
  </si>
  <si>
    <t>FRANCISCO JUAREZ S/N</t>
  </si>
  <si>
    <t>11DPR2099Q - JUAN ESCUTIA</t>
  </si>
  <si>
    <t>AVENIDA 12 DE OCTUBRE NUMERO EXTERIOR: SN, FRACCIONAMIENTO CONJUN</t>
  </si>
  <si>
    <t>11DPR2166Y - GENERAL LAZARO CARDENAS</t>
  </si>
  <si>
    <t>SANTA CLARA NUM. 104</t>
  </si>
  <si>
    <t>11DPR2472F - JUANA DE ASBAJE</t>
  </si>
  <si>
    <t>CERRADA ING. CARLOS M. PERALTA NUM. 448</t>
  </si>
  <si>
    <t>11DPR2496P - CARMEN SERDAN</t>
  </si>
  <si>
    <t>LEON Y URIANGATO NUM. 117</t>
  </si>
  <si>
    <t>11DPR2658K - LIC. JOSE LOPEZ PORTILLO</t>
  </si>
  <si>
    <t>SAN JOSE DE CASTRO</t>
  </si>
  <si>
    <t>11DPR2933Z - JOSEFA ORTIZ DE DOMINGUEZ</t>
  </si>
  <si>
    <t>FRANCISCO JAVIER ALEGRE NUM. 100</t>
  </si>
  <si>
    <t>11DPR3113Z - JUSTO SIERRA</t>
  </si>
  <si>
    <t>CHILE NUM. 203</t>
  </si>
  <si>
    <t>11DPR3363F - AMADO NERVO</t>
  </si>
  <si>
    <t>MARMOL NUM. 100-A VIALIDAD POSTERIOR: AV. BRILLANTE</t>
  </si>
  <si>
    <t>11DPR3377I - GUILLERMO PRIETO</t>
  </si>
  <si>
    <t>SANTA MARTHA S/N</t>
  </si>
  <si>
    <t>11DPR3446O - VALENTIN GOMEZ FARIAS</t>
  </si>
  <si>
    <t>LAGUNA DE YURIRIA NUM. 601</t>
  </si>
  <si>
    <t>11DPR3570N - SOLIDARIDAD</t>
  </si>
  <si>
    <t>CASUARINAS NUM. 600</t>
  </si>
  <si>
    <t>11DPR3613V - LAZARO CARDENAS DEL RIO</t>
  </si>
  <si>
    <t>PLAN DE ACULCO NUM. 103</t>
  </si>
  <si>
    <t>11DPR3691Z - DIANA LAURA RIOJAS DE COLOSIO</t>
  </si>
  <si>
    <t>ECOLOGISTAS S/N</t>
  </si>
  <si>
    <t>11DPR3693X - LUIS DONALDO COLOSIO MURRIETA</t>
  </si>
  <si>
    <t>PRIVADA DE GUADALUPE NUM. 140</t>
  </si>
  <si>
    <t>11DPR3822A - PROFR. FRANCISCO SOLORIO MURILLO</t>
  </si>
  <si>
    <t>RIO VERDE NUM. 132 PARALELA A RIO BALSAS</t>
  </si>
  <si>
    <t>11DES0088Q - PROFR. SALVADOR ZUÑIGA CARDONA</t>
  </si>
  <si>
    <t>ACERINA NUM. 300-A</t>
  </si>
  <si>
    <t>11DST0003L - SECUNDARIA TECNICA NUM. 3</t>
  </si>
  <si>
    <t>AVENIDA IRRIGACION Y G. DE ALMANZA S/N</t>
  </si>
  <si>
    <t>11DST0056Q - SECUNDARIA TECNICA NUM. 37</t>
  </si>
  <si>
    <t>AVENIDA IGNACIO BORUNDA NUMERO EXTERIOR: SN, ZONA INDUSTRIAL CIUD</t>
  </si>
  <si>
    <t>11DST0069U - SECUNDARIA TECNICA NUM. 47</t>
  </si>
  <si>
    <t>CALLE SAN JOSE NUMERO EXTERIOR: SN, COLONIA RANCHO SECO, CODIGO P</t>
  </si>
  <si>
    <t>11EES0019T - DR. FRANCISCO PAREDES VELASCO</t>
  </si>
  <si>
    <t>PROLONGACION DE ALBINO GARCIA NUM. 408 A UN COSTADO DE LA TIENDA</t>
  </si>
  <si>
    <t>11DJN4501H - BICENTENARIO 2010</t>
  </si>
  <si>
    <t>CALLE SITIO DE QUERETARO NUMERO EXTERIOR: SN, COLONIA RANCHO SECO</t>
  </si>
  <si>
    <t>11EJN0174B - NIÑOS HEROES DE CHAPULTEPEC</t>
  </si>
  <si>
    <t>CALLE GALAXIA NUMERO EXTERIOR: SN, FRACCIONAMIENTO SANTA ANITA, C</t>
  </si>
  <si>
    <t>11EJN0178Y - JOSE VASCONCELOS</t>
  </si>
  <si>
    <t>SAN NICOLAS DE PARRA S/N FRENTE A LA EJIDAL</t>
  </si>
  <si>
    <t>11EJN0203G - JUAN DE LA BARRERA</t>
  </si>
  <si>
    <t>QUETZAL NUM. 302 CASI ULTIMA CALLE</t>
  </si>
  <si>
    <t>11EJN0244G - SOR JUANA INES DE LA CRUZ</t>
  </si>
  <si>
    <t>SALAMANCA NUM. 209</t>
  </si>
  <si>
    <t>11EJN0263V - FRANCISCO JAVIER MINA</t>
  </si>
  <si>
    <t>CALLE TUXTLA GUTIERREZ NUMERO EXTERIOR: SN, COLONIA SANTA RITA, C</t>
  </si>
  <si>
    <t>11EJN0267R - JAIME TORRES BODET</t>
  </si>
  <si>
    <t>VAINILLA NUM. 100 NORTE</t>
  </si>
  <si>
    <t>11DES0107O - JOSE MARIA MORELOS Y PAVON</t>
  </si>
  <si>
    <t>BLVD JOSE CHAVEZ MORADO NTE, FRACCIONAMIENTO HACIENDA DEL BOSQUE, 38020, CELAYA, GTO</t>
  </si>
  <si>
    <t>11EJN0387D - REVOLUCION MEXICANA</t>
  </si>
  <si>
    <t>FRESNILLO NUM. 8 CERCA DE LA AVENIDA LAZARO CARDENAS, SALIDA A SA</t>
  </si>
  <si>
    <t>11EJN0409Z - MARGARITA PAZ PAREDES</t>
  </si>
  <si>
    <t>CASUARINAS NUM. 502 POR LA ESCUELA SOLIDARIDAD</t>
  </si>
  <si>
    <t>11EJN0411N - JOSE JOAQUIN FERNANDEZ DE LIZARDI</t>
  </si>
  <si>
    <t>ACULCO S/N FRENTE A LOTE VALDIO</t>
  </si>
  <si>
    <t>11EJN0414K - FRANCISCO GABILONDO SOLER</t>
  </si>
  <si>
    <t>COLIBRI NUM. 9 POR LA VIA</t>
  </si>
  <si>
    <t>11EJN1172K - QUETZALCOATL</t>
  </si>
  <si>
    <t>GARZA NUM. 243 ANTE PENULTIMA CALLE</t>
  </si>
  <si>
    <t>11EPR0048V - EMETERIA VALENCIA</t>
  </si>
  <si>
    <t>MANUEL DOBLADO NUM. 329</t>
  </si>
  <si>
    <t>11EPR0049U - ESCUADRON 201</t>
  </si>
  <si>
    <t>RIO LERMA NUM. 214 POR EL CESBA</t>
  </si>
  <si>
    <t>11EPR0056D - CENTRO ESCOLAR TRESGUERRAS</t>
  </si>
  <si>
    <t>A. O. Y P. NUNEZ DE LA RIOJA NUM. 102 POR EL TEMPLO DEL CARMEN</t>
  </si>
  <si>
    <t>11EPR0061P - MIGUEL HIDALGO</t>
  </si>
  <si>
    <t>MARGARITA NUM. 1104</t>
  </si>
  <si>
    <t>11EPR0405T - NIÑOS HEROES</t>
  </si>
  <si>
    <t>OAXACA NUM. 114</t>
  </si>
  <si>
    <t>11EPR0406S - MORELOS</t>
  </si>
  <si>
    <t>MIGUEL HIDALGO NUM. 307</t>
  </si>
  <si>
    <t>11EPR0428D - NICOLAS BRAVO</t>
  </si>
  <si>
    <t>MIGUEL HIDALGO NUM. 507</t>
  </si>
  <si>
    <t>11EPR0619U - INDEPENDENCIA</t>
  </si>
  <si>
    <t>P. NUNEZ DE LA RIOJA NUM. 102</t>
  </si>
  <si>
    <t>11EPR0738H - LIC. ADOLFO LOPEZ MATEOS</t>
  </si>
  <si>
    <t>EJIDAL MONTE BLANCO NUM. 603</t>
  </si>
  <si>
    <t>11EPR0742U - CARMEN SERDAN</t>
  </si>
  <si>
    <t>CUERNAVACA NUM. 100</t>
  </si>
  <si>
    <t>11EPR0853Z - JUAN DE ZUMARRAGA</t>
  </si>
  <si>
    <t>GRULLAS S/N</t>
  </si>
  <si>
    <t>11EPR0856W - DIEGO RIVERA</t>
  </si>
  <si>
    <t>LIC.J. NATIVIDAD M. S/N</t>
  </si>
  <si>
    <t>11EPR0886Q - JOSE VASCONCELOS</t>
  </si>
  <si>
    <t>FAISAN NUM. 602</t>
  </si>
  <si>
    <t>11ETV0400X - TELESECUNDARIA NUM. 29</t>
  </si>
  <si>
    <t>CALLE RIO CHURUBUSCO NUMERO EXTERIOR: SN, COLONIA JACARANDAS, COD</t>
  </si>
  <si>
    <t>11ETV0412B - TELESECUNDARIA NUM. 416</t>
  </si>
  <si>
    <t>CACAO NUM. 412</t>
  </si>
  <si>
    <t>11ETV0515Y - TELESECUNDARIA NUM. 509</t>
  </si>
  <si>
    <t>TEPIC NUM. 111 ESQUINA CON CHETUMAL</t>
  </si>
  <si>
    <t>11ETV0921E - TELESECUNDARIA NUM. 921</t>
  </si>
  <si>
    <t>ARQUITECTOS NUM. 306</t>
  </si>
  <si>
    <t>11ETV0946N - TELESECUNDARIA NUM. 946</t>
  </si>
  <si>
    <t>CALLE LAS TROJES NUMERO EXTERIOR: SN, COLONIA SAN ISIDRO DE TROJE</t>
  </si>
  <si>
    <t>11EJN1231J - EMMA GODOY</t>
  </si>
  <si>
    <t>MISION DE SAN PEDRO NUM. 227 JUNTO AL CENTRO DEL CIRCUITO PRINCIP</t>
  </si>
  <si>
    <t>11DJN4558I - ALONSO LUJAMBIO IRAZABAL</t>
  </si>
  <si>
    <t>CALLE PORTALES NUMERO EXTERIOR: SN, FRACCIONAMIENTO ARBOLEDAS DE</t>
  </si>
  <si>
    <t>11DST0047I - SECUNDARIA TECNICA NUM. 27</t>
  </si>
  <si>
    <t>CALLE NARANJOS NUMERO EXTERIOR: SN, FRACCIONAMIENTO LA ESPERANZA,</t>
  </si>
  <si>
    <t>11DPR3237I - JOSE MARIA MORELOS Y PAVON</t>
  </si>
  <si>
    <t>AVENIDA MEXICO JAPON NUMERO EXTERIOR: 150 , FRACCIONAMIENTO LOS S</t>
  </si>
  <si>
    <t>11DES0042V - NAT TAH HI</t>
  </si>
  <si>
    <t>MARIA DOMINGA NO. 1000, LAS INSURGENTES, 38080, CELAYA, GTO</t>
  </si>
  <si>
    <t>11ECT0005H - BACHILLERATO BIVALENTE MILITARIZADO "BATALLÓN PRIMER LIGERO", PLANTEL CELAYA</t>
  </si>
  <si>
    <t>AVENIDA EJIDO DE SAN NICOLÁS DE PARRA, NO. 506</t>
  </si>
  <si>
    <t>11DPR1633V - MOISES SAENZ</t>
  </si>
  <si>
    <t>CALLE:MADERO 338 ZONA CENTRO COLOLIA:</t>
  </si>
  <si>
    <t>11DPR3471N - JUAN JOSE TORRES LANDA</t>
  </si>
  <si>
    <t>CALLE:CIRCUITO MARIANO REYES S/N COLOLIA:</t>
  </si>
  <si>
    <t>11DPR1795G - JOSE MARIA MORELOS</t>
  </si>
  <si>
    <t>CALLE:CAMARGO COLOLIA:</t>
  </si>
  <si>
    <t>COMISIÓN ESTATAL DE CONCILIACIÓN Y ARBITRAJE MÉDICO CELAYA</t>
  </si>
  <si>
    <t>EJE NORPONIENTE MANUEL J. CLOUTHIER, NUMERO 101 LOCAL 11, CIUDADELA, 38017</t>
  </si>
  <si>
    <t>INSTITUTO ESTATAL DE CAPACITACIÓN PLANTEL CELAYA</t>
  </si>
  <si>
    <t>AV. PASEO DEL SOL, 1000, COL. SAN FRANCISCO INFONAVIT, 38090</t>
  </si>
  <si>
    <t>DIRECCIÓN GENERAL DE TRANSPORTE EL ESTADO DE GUANAJUATO (OLT)</t>
  </si>
  <si>
    <t>PIPILA ESQUINA IGNACIO CAMARGO S/N, CENTRO, CELAYA, 38000</t>
  </si>
  <si>
    <t>VILLAS DEL ROMERAL</t>
  </si>
  <si>
    <t>CALLE VILLAS DE GUADALUPE #505, COL. VILLAS DEL ROMERAL, CELAYA, GTO.</t>
  </si>
  <si>
    <t>MONTE BLANCO</t>
  </si>
  <si>
    <t>CALLE EJIDO DEL MOLINO #301, COL. MONTE BLANCO, CELAYA, GTO.</t>
  </si>
  <si>
    <t>MODULO DE ATENCIÓN CELAYA (OFICINA DEL EMPLEO)</t>
  </si>
  <si>
    <t>C. PIPILA, 148 2º PISO, CENTRO, 38000</t>
  </si>
  <si>
    <t>CENTRO DE GOBIERNO CELAYA</t>
  </si>
  <si>
    <t>MIGUEL HIDALGO, 1121, LAS FUENTES, 38040</t>
  </si>
  <si>
    <t>HUB-I CASA DEL EMPREDEDOR CELAYA</t>
  </si>
  <si>
    <t>ANTIGUAS INSTALACIONES DE LA FERIA, BLVRD ADOLFO LÓPEZ MATEOS 1102, ROSA LINDA, 38060 CELAYA, GTO.</t>
  </si>
  <si>
    <t>REGISTRO CIVIL</t>
  </si>
  <si>
    <t>CALLE PIPILA, ESQ., CAMARGO, CP. 38000</t>
  </si>
  <si>
    <t>OFICIALIA DEL REGISTRO CIVIL CELAYA</t>
  </si>
  <si>
    <t>JUAN JOSÉ TORRES LANDA, 706-A, ESQ. BRILLANTE, COL. SAN JUANICO, 38020</t>
  </si>
  <si>
    <t>REGISTRO PUBLICO DE LA PROPIEDAD Y DEL COMERCIO CELAYA</t>
  </si>
  <si>
    <t>BLVD. ADOLFO LÓPEZ MATEOS, 1524, ROSALINDA, 38044</t>
  </si>
  <si>
    <t>JUNTA LOCAL DE CONCILIACION Y ARBITRAJE DE CELAYA</t>
  </si>
  <si>
    <t>AV. MANUEL J. CLOUTIER, 769, LOS ALAMOS, 38024</t>
  </si>
  <si>
    <t>11DPR3806J - JOSEFA ORTIZ DE DOMINGUEZ</t>
  </si>
  <si>
    <t>C. DEL LIMERO S/N, LOS NARANJOS, 38013, CELAYA, GTO</t>
  </si>
  <si>
    <t>UVEG SANTA RITA</t>
  </si>
  <si>
    <t>AV . MÉXICO-JAPÓN, S/N, CENTRO COMUNITARIO SANTA RITA, (CEDECOM) C.P. 38030</t>
  </si>
  <si>
    <t>11DLT0002T - CENTRO DE ACTUALIZACIÓN DEL MAGISTERIO PLANTEL CELAYA</t>
  </si>
  <si>
    <t>MUTUALISMO #430 COLONIA RESIDENCIAL. CP. 38020. CELAYA GTO.</t>
  </si>
  <si>
    <t>11MSU0035K - UNIVERDIDAD PEDAGÓGICA NACIONAL UNIDAD 112 CELAYA</t>
  </si>
  <si>
    <t>AVE. IRRIGACIÓN 144 COL ALFREDO VAZQUEZ BONFIL. CELAYA, GTO.</t>
  </si>
  <si>
    <t>11ETC0036A - COLEGIO DE ESTUDIOS CIENTIFICOS Y TECNOLOGICOS DEL ESTADO DE GUANAJUATO PLANTEL CELAYA</t>
  </si>
  <si>
    <t>AVENIDA PROLONGACIÓN PERAL, NO. 1901</t>
  </si>
  <si>
    <t>11ETC0050U - COLEGIO DE ESTUDIOS CIENTIFICOS Y TECNOLOGICOS DEL ESTADO DE GUANAJUATO PLANTEL CELAYA III</t>
  </si>
  <si>
    <t>CALLE VILLA DEL PENSAMIENTO, NO. 400</t>
  </si>
  <si>
    <t>11ETC0049E - COLEGIO DE ESTUDIOS CIENTIFICOS Y TECNOLOGICOS DEL ESTADO DE GUANAJUATO PLANTEL CELAYA II</t>
  </si>
  <si>
    <t>MANUEL SANDOVAL VALLARTA, EJIDO DE YUSTIS NO 100, 38143 CELAYA, GTO.</t>
  </si>
  <si>
    <t>11DPT0001Q - PLANTEL CONALEP 028. CELAYA</t>
  </si>
  <si>
    <t>AVE. ORIENTE - PONIENTE. S/N, CIUDAD INDUSTRIAL DE CELAYA, C. P. 38010. CELAYA, GTO.</t>
  </si>
  <si>
    <t>UNEME EC CELAYA</t>
  </si>
  <si>
    <t>VICTOR JOSE LIZARDI ESQUINA JUAN B. CASTELLAZO, 110, ZONA INDUSTRIAL, 38024</t>
  </si>
  <si>
    <t>CAISES CELAYA</t>
  </si>
  <si>
    <t>MARIANO JIMENEZ - MARIANO JIMENEZ NO.519</t>
  </si>
  <si>
    <t>UMAPS RESIDENCIAL TECNOLOGICO</t>
  </si>
  <si>
    <t>MANUEL OROSCO Y BERRA -</t>
  </si>
  <si>
    <t>UMAPS LAGOS</t>
  </si>
  <si>
    <t>LAGO DE CAMECUARO -</t>
  </si>
  <si>
    <t>UNEME CAPA CELAYA</t>
  </si>
  <si>
    <t>REAL DEL POTOSI - A ESPALDAS DEL HOSPITAL GENERAL DE CELAYA</t>
  </si>
  <si>
    <t>HOSPITAL GENERAL DE CELAYA</t>
  </si>
  <si>
    <t>GOBERNADOR VICTOR LIZARDI ESQUINA JUAN B. CASTELAZO - GOB. VICTOR LIZARDI ESQ. JUAN B. CASTELAZO</t>
  </si>
  <si>
    <t>CAPACITS</t>
  </si>
  <si>
    <t>CENTRO DE ATENCION PARA LA PREVENCION Y ATENCION DEL VIH/SIDA Y OTRAS</t>
  </si>
  <si>
    <t>UMAPS PROGRESO SOLIDARIDAD</t>
  </si>
  <si>
    <t>RÍO VERDE -</t>
  </si>
  <si>
    <t>HOSPITAL MATERNO INFANTIL DE CELAYA</t>
  </si>
  <si>
    <t>ING. JAVIER BARROS SIERRA - HOSPITAL MATERNO-INFANTIL ENFRENTE DE LA UNIVERSIDAD DE GUANAJUATO CAMPUS CELAYA-SALVATIERRA</t>
  </si>
  <si>
    <t>CAISES EL BECERRO (SANTOS DEGOLLADO)</t>
  </si>
  <si>
    <t>MIGUEL HIDALGO - HIDALGO S/N</t>
  </si>
  <si>
    <t>CAISES EMILIANO ZAPATA</t>
  </si>
  <si>
    <t>ANASTACIO BUSTAMANTE</t>
  </si>
  <si>
    <t>VILLAS DEL BAJIO</t>
  </si>
  <si>
    <t>AVENIDA EL SAUZ #2034-B, COL. VILLAS DEL BAJÍO, CELAYA, GTO.</t>
  </si>
  <si>
    <t>XOCHIPILI</t>
  </si>
  <si>
    <t>EUSEBIO GONZALEZ #100, COL. BAJIO DE LAS AMERICAS, CELAYA, GTO.</t>
  </si>
  <si>
    <t>11ETH0099H - BACHILLERATO SABES SAN JUANICO</t>
  </si>
  <si>
    <t>AVENIDA TORRES LANDA, NO. 664</t>
  </si>
  <si>
    <t>11ESU0053R - UNIDEG (PLANTEL CELAYA)</t>
  </si>
  <si>
    <t>MANUEL OROZCO Y BERRA 101 , CIUDAD INDUSTRIL CELAYA, CELAYA GTO. 38010</t>
  </si>
  <si>
    <t>11ETH0154K - BACHILLERATO SABES CARRETAS</t>
  </si>
  <si>
    <t>CALLE PASEO DE LAS CARRETAS, NO. 303</t>
  </si>
  <si>
    <t>SECRETARIA DEL CAMPO</t>
  </si>
  <si>
    <t>AV. IRRIGACIÓN # 102-A INT. 4, COL. MONTE CAMARGO, CELAYA, GTO.</t>
  </si>
  <si>
    <t>PRESIDENCIA MUNICIPAL DE CELAYA</t>
  </si>
  <si>
    <t>PORTAL INDEPENDENCIA 101, COL. CENTRO, 38000 CELAYA, GTO.</t>
  </si>
  <si>
    <t>TU PUEDES GUANAJUATO CELAYA</t>
  </si>
  <si>
    <t>MANUEL DOBLADO, 102, CENTRO CELAYA,38000</t>
  </si>
  <si>
    <t>CISAME</t>
  </si>
  <si>
    <t>CENTRO INTEGRAL DE SALUD MENTAL CELAYA</t>
  </si>
  <si>
    <t>OFICINAS ISSEG</t>
  </si>
  <si>
    <t>C. PÍPILA, ESQ. IGNACIO CAMARGO, 2DO. PISO, ZONA CENTRO</t>
  </si>
  <si>
    <t>11ECT0013Q - BACHILLERATO SABES REAL DE CELAYA</t>
  </si>
  <si>
    <t>CALLE PONIENTE 7</t>
  </si>
  <si>
    <t>Unidad de Servicios de Apoyo a la Educación Regular (USAE)</t>
  </si>
  <si>
    <t>TULE S/N, LOS PINOS, 38028, CELAYA, GTO</t>
  </si>
  <si>
    <t>COLONIA BAJIO DE LAS AMERICAS</t>
  </si>
  <si>
    <t>COLONIA LOS NARANJOS</t>
  </si>
  <si>
    <t>COLONIA NUEVO TECNOLOGICO</t>
  </si>
  <si>
    <t xml:space="preserve"> COLONIA LOS PINOS</t>
  </si>
  <si>
    <t>COLONIA ZONA DE ORO I</t>
  </si>
  <si>
    <t xml:space="preserve"> COLONIA GUANAJUATO</t>
  </si>
  <si>
    <t xml:space="preserve"> COLONIA BENITO JUAREZ</t>
  </si>
  <si>
    <t>COLONIA INSURGENTES</t>
  </si>
  <si>
    <t xml:space="preserve"> COLONIA LOS INSURGENTES</t>
  </si>
  <si>
    <t xml:space="preserve"> COLONIA LAZARO CARDENAS</t>
  </si>
  <si>
    <t>COLONIA CAMARGO</t>
  </si>
  <si>
    <t>COLONIA MONTE BLANCO</t>
  </si>
  <si>
    <t>COLONIA RESIDENCIAL</t>
  </si>
  <si>
    <t xml:space="preserve"> COMUNIDAD SANTA MARIA DEL REFUGIO</t>
  </si>
  <si>
    <t xml:space="preserve"> COMUNIDAD SANTAMARIA DEL REFUGIO</t>
  </si>
  <si>
    <t>COLONIA CIUDAD INDUSTRIAL CELAYA</t>
  </si>
  <si>
    <t>COLONIA LAS CARRETAS</t>
  </si>
  <si>
    <t>COLONIA LA ESTRELLA</t>
  </si>
  <si>
    <t>COLONIA ESTACIÓN DE FERROCARRIL</t>
  </si>
  <si>
    <t>COLONIA CAMPAMENTO DEL FERROCARRIL</t>
  </si>
  <si>
    <t>COLONIA SOPEÑA</t>
  </si>
  <si>
    <t>COLONIA SILAO CENTRO</t>
  </si>
  <si>
    <t>COLONIA REFORMA</t>
  </si>
  <si>
    <t>COLONIA LORENZO MOSQUEDA</t>
  </si>
  <si>
    <t>COLONIA VILLA DE GUADALUPE</t>
  </si>
  <si>
    <t>COLONIA CONDADO DE LA PILA</t>
  </si>
  <si>
    <t>COLONIA SAN JUAN DE LOS DURAN</t>
  </si>
  <si>
    <t>COLONIA PROGRESO</t>
  </si>
  <si>
    <t>COLONIA MEXICO</t>
  </si>
  <si>
    <t>COLONIA PORGRESO</t>
  </si>
  <si>
    <t>COLONIA BARRIO NUEVO</t>
  </si>
  <si>
    <t>COLONIA ADOLFO LOPEZ MATEOS</t>
  </si>
  <si>
    <t>COLONIA NORIA DE SOPEÑA 2A. SECCION</t>
  </si>
  <si>
    <t>COLONIA JARDINES DE LA VICTORIA</t>
  </si>
  <si>
    <t>COLONIA VILLAS DE GUADALUPE</t>
  </si>
  <si>
    <t>COLONIA LA LOMA</t>
  </si>
  <si>
    <t>COLONIA VIA 1</t>
  </si>
  <si>
    <t>COLONIA EL OLIVO</t>
  </si>
  <si>
    <t>COLONIA ESTRELLASA</t>
  </si>
  <si>
    <t>COLONIA TIERRA Y LIBERTAD</t>
  </si>
  <si>
    <t>COLONIA HACIENDA DE CERRITOS</t>
  </si>
  <si>
    <t>COLONIA SAN BARTOLO</t>
  </si>
  <si>
    <t>COLONIA LOS CERRITOS</t>
  </si>
  <si>
    <t>COLONIA LA HUERTA</t>
  </si>
  <si>
    <t>COLONIA LOS ESPARRAGOS</t>
  </si>
  <si>
    <t>COLONIA BRISAS DE LOS RIOS</t>
  </si>
  <si>
    <t>COLONIA SAN JUAN LOS DURÁN</t>
  </si>
  <si>
    <t>COLONIA LA ALAMEDA</t>
  </si>
  <si>
    <t>COLONIA VALLE DE LOS NARANJOS</t>
  </si>
  <si>
    <t>COLONIA. CENTRO</t>
  </si>
  <si>
    <t>COLONIA EMILIANO ZAPATA 38030.</t>
  </si>
  <si>
    <t>COLONIA FOVISSTE</t>
  </si>
  <si>
    <t>COLONIA LAGOS</t>
  </si>
  <si>
    <t>COLONIA LATINOAMERICANA</t>
  </si>
  <si>
    <t>COLONIA EMILIANO ZAPATA</t>
  </si>
  <si>
    <t>COLONIA RANCHO SECO</t>
  </si>
  <si>
    <t>COLONIA FOVISSSTE</t>
  </si>
  <si>
    <t>COLONIA LAS FLORES</t>
  </si>
  <si>
    <t>COLONIA VILLAS DEL PARAISO</t>
  </si>
  <si>
    <t>COLONIA SANTA MARIA I</t>
  </si>
  <si>
    <t>COLONIA GUANAJUATO</t>
  </si>
  <si>
    <t>COLONIA IMSS</t>
  </si>
  <si>
    <t>COLONIA SAN ISIDRO DE TROJES</t>
  </si>
  <si>
    <t>COLONIA GIRASOLES</t>
  </si>
  <si>
    <t>COLONIA FUNDACION</t>
  </si>
  <si>
    <t>COLONIA VALLE DEL REAL</t>
  </si>
  <si>
    <t>COLONIA JARDINES DE CELAYA</t>
  </si>
  <si>
    <t>COLONIA TRES GUERRAS</t>
  </si>
  <si>
    <t>COLONIA BOSQUES DEL SOL</t>
  </si>
  <si>
    <t>COLONIA SAN FRANCISCO</t>
  </si>
  <si>
    <t>COLONIA INFONAVIT MALANQUIN</t>
  </si>
  <si>
    <t>COLONIA EJIDAL</t>
  </si>
  <si>
    <t>COLONIA SAN JUANICO</t>
  </si>
  <si>
    <t>COLONIA BENITO JUAREZ</t>
  </si>
  <si>
    <t>COLONIA AV SANTA CLARA</t>
  </si>
  <si>
    <t>COLONIA GOBERNADORES</t>
  </si>
  <si>
    <t>COLONIA LINDA VISTA</t>
  </si>
  <si>
    <t>COLONIA EJIDAL MONTE BLANCO</t>
  </si>
  <si>
    <t>COLONIA VILLA CELAYA</t>
  </si>
  <si>
    <t>COLONIA AMPLIACION EMILIANO ZAPATA</t>
  </si>
  <si>
    <t>COLONIA RESIDENCIAL TECNOLOGICO</t>
  </si>
  <si>
    <t>COLONIA VILLAS REALES</t>
  </si>
  <si>
    <t>COLONIA CIUDADELA</t>
  </si>
  <si>
    <t>COLONIA TRESGUERRAS</t>
  </si>
  <si>
    <t>COLONIA TERCERA SECCION JARDINES DE CELAYA</t>
  </si>
  <si>
    <t>COLONIA LOS LAURELES 1A SECC</t>
  </si>
  <si>
    <t>COLONIA BARRIO DEL ZAPOTE</t>
  </si>
  <si>
    <t>COLONIA SAN MARTIN DE CAMARGO</t>
  </si>
  <si>
    <t>COLONIA LOS INSURGENTES</t>
  </si>
  <si>
    <t>COLONIA VILLA DE LOS REYES</t>
  </si>
  <si>
    <t>COLONIA U.H. DE TIERRAS NEGRAS</t>
  </si>
  <si>
    <t>COLONIA LAS DELICIAS</t>
  </si>
  <si>
    <t>COLONIA EL CANTAR</t>
  </si>
  <si>
    <t>COLONIA RESURECCION</t>
  </si>
  <si>
    <t>COLONIA BARRIO SAN JUAN</t>
  </si>
  <si>
    <t>COLONIA VALLE HERMOSO</t>
  </si>
  <si>
    <t>COLONIA CONJUNTO HABITACIONAL GIRASOLES</t>
  </si>
  <si>
    <t>COLONIA SAN ANTONIO</t>
  </si>
  <si>
    <t>COLONIA EMILIANO ZAPATO</t>
  </si>
  <si>
    <t>COLONIA SANTA MARIA</t>
  </si>
  <si>
    <t>COLONIA SAN JOSE CASTRO</t>
  </si>
  <si>
    <t>COLONIA SANTA ISABEL</t>
  </si>
  <si>
    <t>COLONIA LOS LAGOS</t>
  </si>
  <si>
    <t>COLONIA LAZARO CARENAZ</t>
  </si>
  <si>
    <t>COLONIA TECNOLOGICO</t>
  </si>
  <si>
    <t>COLONIA VILLA ROMERAL</t>
  </si>
  <si>
    <t>COLONIA PROGRESO SOLIDARIDAD</t>
  </si>
  <si>
    <t>COLONIA ALFREDO VAZQUEZ BONFIL</t>
  </si>
  <si>
    <t>COLONIA CIUDAD INDUSTRIAL</t>
  </si>
  <si>
    <t>COLONIA SANTA ANITA</t>
  </si>
  <si>
    <t>COLONIA LAS AVES</t>
  </si>
  <si>
    <t>COLONIA AMERICAS DEL BAJIO</t>
  </si>
  <si>
    <t>COLONIA DEL BOSQUE</t>
  </si>
  <si>
    <t>COLONIA HACIENDA DEL BOSQUE</t>
  </si>
  <si>
    <t>COLONIA LAZARO CARDENAS</t>
  </si>
  <si>
    <t>COLONIA SANTA TERESITA</t>
  </si>
  <si>
    <t>COLONIA LOS ALAMOS</t>
  </si>
  <si>
    <t>COLONIA BARRIO DE SAN MIGUEL</t>
  </si>
  <si>
    <t>COLONIA ALAMEDA</t>
  </si>
  <si>
    <t>COLONIA CELAYA CENTRO</t>
  </si>
  <si>
    <t>COLONIA CUAHUTEMOC</t>
  </si>
  <si>
    <t xml:space="preserve">COLONIA LOS ALAMOS </t>
  </si>
  <si>
    <t>COLONIA JACARANDAS</t>
  </si>
  <si>
    <t>COLONIA LA MISION</t>
  </si>
  <si>
    <t>COLONIA ARBOLEDAS DE SAN RAFAEL</t>
  </si>
  <si>
    <t>COLONIA LA ESPERANZA</t>
  </si>
  <si>
    <t>COLONIA LOS SANTOS</t>
  </si>
  <si>
    <t>COLONIA VALLE DE LA PRIMAVERA</t>
  </si>
  <si>
    <t>COLONIA VIÑAS DE LA HERRADURA</t>
  </si>
  <si>
    <t>COLONIA SAN FRANCISCO INFONAVIT</t>
  </si>
  <si>
    <t>COLONIA VILLAS DEL ROMERAL</t>
  </si>
  <si>
    <t>COLONIA ROSA LINDA</t>
  </si>
  <si>
    <t>COLONIA RENACIMIENTO</t>
  </si>
  <si>
    <t>COLONIA PRADOS EL NARANJAL</t>
  </si>
  <si>
    <t>COLONIA CIUDAD INDUSTRIAL DE CELAYA</t>
  </si>
  <si>
    <t>COLONIA EL BECERRO (SANTOS DEGOLLADO)</t>
  </si>
  <si>
    <t>COLONIA LOS PIRULES</t>
  </si>
  <si>
    <t>COLONIA VILLAS DEL BAJÍO I</t>
  </si>
  <si>
    <t>COLONIA MONTE CAMARGO</t>
  </si>
  <si>
    <t>COLONIA INDUSTRIALES</t>
  </si>
  <si>
    <t>PARQUE IREKUA</t>
  </si>
  <si>
    <t>GRILLITO CANTOR, VIVEROS REVOLUCION, 36699 IRAPUATO, GTO.</t>
  </si>
  <si>
    <t>IRAPUATO</t>
  </si>
  <si>
    <t>PLAZA ABASOLO</t>
  </si>
  <si>
    <t>NO REELECCIÓN 306, COL. CENTRO, 36500 IRAPUATO, GTO.</t>
  </si>
  <si>
    <t>PARQUE LOS COBOS</t>
  </si>
  <si>
    <t>C. SEVILLA, BERNARDO COBOS, 36610, IRAPUATO, GTO</t>
  </si>
  <si>
    <t>PLAZA MADERO (FUENTE FLORENTINA)</t>
  </si>
  <si>
    <t>PORTAL CARRANZA 12-30, COL. CENTRO, 36500 IRAPUATO, GTO.</t>
  </si>
  <si>
    <t>PLAZA DEL RELOJ DE SOL</t>
  </si>
  <si>
    <t>JUAN ÁLVAREZ 272-282, COL. CENTRO, 36500 IRAPUATO, GTO.</t>
  </si>
  <si>
    <t>AGORA DEL HOSPITALITO</t>
  </si>
  <si>
    <t>BARRIO DE LA PIEDRA LISA, IRAPUATO, GTO.</t>
  </si>
  <si>
    <t>PRIMERO DE MAYO</t>
  </si>
  <si>
    <t>FERNANDO AMILPA 2121, 1RO DE MAYO, 36644, IRAPUATO, GTO</t>
  </si>
  <si>
    <t>PLAZA DEL COMERCIO</t>
  </si>
  <si>
    <t>DIAZ ORDAS IXTOC CENTRO, 36500 IRAPUATO, GTO.</t>
  </si>
  <si>
    <t>PLAZA CLOUTHIER</t>
  </si>
  <si>
    <t>PLAZA MANUEL CLOUTHIER, BARRIO DE SAN MIGUEL, 36510 IRAPUATO, GTO.</t>
  </si>
  <si>
    <t>UNIDAD DEPORTIVA NORTE IRAPUATO</t>
  </si>
  <si>
    <t>AV TULIPANES, CD DEPORTIVA, DEPORTIVA NORTE, 36612 IRAPUATO, GTO.</t>
  </si>
  <si>
    <t>PLAZA DEL ARTISTA</t>
  </si>
  <si>
    <t>PLAZA DEL ARTISTA, COL. CENTRO, IRAPUATO, GTO.</t>
  </si>
  <si>
    <t>PARQUE EL ZARAPE "LAS CARMELITAS"</t>
  </si>
  <si>
    <t>EL ZARAPE, LAS CARMELITAS, 36595, IRAPUATO,GTO</t>
  </si>
  <si>
    <t>PLAZUELA DE SANTIAGUITO</t>
  </si>
  <si>
    <t>C. PIPILA 147, BARRIO DE SANTIAGUITO, 36588 IRAPUATO, GTO.</t>
  </si>
  <si>
    <t>JARDIN EXTERIOR MERCADO BENITO JUAREZ</t>
  </si>
  <si>
    <t>OAXACA 13, GUERRERO, 36520 IRAPUATO, GTO.</t>
  </si>
  <si>
    <t>UNIDAD DEPORTIVA SUR</t>
  </si>
  <si>
    <t>DEPORTIVA SUR, 36590 IRAPUATO, GTO.</t>
  </si>
  <si>
    <t>UNIDAD DEPORTIVA EL COPAL</t>
  </si>
  <si>
    <t>CARRETERA IRAPUATO-SILAO</t>
  </si>
  <si>
    <t>MIRADOR DE IRAPUATO</t>
  </si>
  <si>
    <t>CUARTO CIRCUITO VÍAL</t>
  </si>
  <si>
    <t>MEGA PARQUE</t>
  </si>
  <si>
    <t>AVENIDA DEL BOSQUE</t>
  </si>
  <si>
    <t>ZOOLOGICO DE IRAPUATO</t>
  </si>
  <si>
    <t>AVENIDA HACIENDA LA VIRGEN</t>
  </si>
  <si>
    <t>PARQUE ECOLOGICO DE IRAPUATO</t>
  </si>
  <si>
    <t>AV. DE LA ALTIPLANICIE</t>
  </si>
  <si>
    <t>INFORUM</t>
  </si>
  <si>
    <t>AV. SIGLO XXI</t>
  </si>
  <si>
    <t>CASA DEL JUBILADO IRAPUATO</t>
  </si>
  <si>
    <t>C. NUEZ DE LA INDIA, 408, NOGALIA, 36680</t>
  </si>
  <si>
    <t>ESTACIONAMIENTO SUBTERRANEO ISSEG IRAPUATO</t>
  </si>
  <si>
    <t>PLAZA HIDALGO S/N, CENTRO IRAPUATO C.P. 36500</t>
  </si>
  <si>
    <t>11DJN4296O - L.S. VIGOTSKY</t>
  </si>
  <si>
    <t>CALLE HACIENDA DE GAVIA NUMERO EXTERIOR: SN, FRACCIONAMIENTO HACI</t>
  </si>
  <si>
    <t>11DES0022H - SECUNDARIA GENERAL NUM. 1</t>
  </si>
  <si>
    <t>SAN ISIDRO NUM. 999</t>
  </si>
  <si>
    <t>11DES0043U - DR. FRANCISCO FLORES ORNELAS</t>
  </si>
  <si>
    <t>AVENIDA PASEO DE LA ALTIPLANICIE NUM. SN</t>
  </si>
  <si>
    <t>11DES0060K - RICARDO FLORES MAGON</t>
  </si>
  <si>
    <t>TULA NUM. 1524</t>
  </si>
  <si>
    <t>11DES0087R - SECUNDARIA GENERAL NUM. 4</t>
  </si>
  <si>
    <t>TERRAGOÑA NUM. SN</t>
  </si>
  <si>
    <t>11DJN0056O - ESTEFANIA CASTAÑEDA</t>
  </si>
  <si>
    <t>CALLE SOP NUMERO EXTERIOR: 1071 , COLONIA 18 DE AGOSTO, CODIGO PO</t>
  </si>
  <si>
    <t>SISTEMA DEL DESARROLLO INTEGRAL DE LA FAMILIA MUNICIPIO DE IRAPUATO GUANAJUATO</t>
  </si>
  <si>
    <t>RIO USUMACINTA, LA PRADERA, 36630, IRAPUATO, GTO</t>
  </si>
  <si>
    <t>11DJN0093S - MARIA MONTESSORI</t>
  </si>
  <si>
    <t>RIO TANTUAN NUM. 1851</t>
  </si>
  <si>
    <t>11DJN0117L - BERTHA VON GLUMER</t>
  </si>
  <si>
    <t>CALLE DANIEL BAUTISTA NUMERO EXTERIOR: SN, COLONIA CIUDAD DEPORTI</t>
  </si>
  <si>
    <t>11DJN0118K - BEATRIZ ORDOÑEZ ACUÑA</t>
  </si>
  <si>
    <t>REY GUSTAVO ADOLFO XIII NUM. 1285</t>
  </si>
  <si>
    <t>11DJN0350R - 1 DE MAYO</t>
  </si>
  <si>
    <t>LEY DEL SEGURO SOCIAL S/N ESQ. CALLE SEGURIDAD SOCIAL</t>
  </si>
  <si>
    <t>11DJN0215M - EL PRINCIPITO</t>
  </si>
  <si>
    <t>FRAY SEBASTIAN DE APARICIO S/N FRENTE A LOS EDIFICIOS DE FOVISSST</t>
  </si>
  <si>
    <t>11DJN0351Q - NIÑOS HEROES</t>
  </si>
  <si>
    <t>CELAYA NUM. 114</t>
  </si>
  <si>
    <t>11DJN0352P - ANTONIO CASO</t>
  </si>
  <si>
    <t>PROLONGACION AVENIDA MORELOS S/N</t>
  </si>
  <si>
    <t>11DJN0558H - BELISARIO DOMINGUEZ</t>
  </si>
  <si>
    <t>CALLE VILLA COAPA NUMERO EXTERIOR: 1380 , COLONIA SAN JUAN DE RET</t>
  </si>
  <si>
    <t>11DJN0718E - MOISES SAENZ GARZA</t>
  </si>
  <si>
    <t>AVENIDA MARIANO ABASOLO NUMERO EXTERIOR: 2242 , COLONIA LAS DILIG</t>
  </si>
  <si>
    <t>11DJN0870Z - ALFREDO BERNARDO NOBEL</t>
  </si>
  <si>
    <t>DIVISION DEL NORTE NUM. 2670</t>
  </si>
  <si>
    <t>11DJN0872Y - OVIDIO DECROLY</t>
  </si>
  <si>
    <t>JUSTICIA SOCIAL NUM. 124</t>
  </si>
  <si>
    <t>11DJN0876U - GENERAL ALVARO OBREGON</t>
  </si>
  <si>
    <t>MARIANO ARISTA Y MANUEL ACUÑA S/N</t>
  </si>
  <si>
    <t>11DJN0877T - MANUEL LOPEZ COTILLA</t>
  </si>
  <si>
    <t>SAN FRANCISCO DE LA CHARCA8 EL NIDO)</t>
  </si>
  <si>
    <t>11DJN2602S - JOSE ROSAS MORENO</t>
  </si>
  <si>
    <t>CAMINO REAL DE LO DE JUAREZ</t>
  </si>
  <si>
    <t>11DJN2604Q - QUETZALCOATL</t>
  </si>
  <si>
    <t>AGUASCALIENTES NUM. 32</t>
  </si>
  <si>
    <t>11DJN2606O - CITLALI</t>
  </si>
  <si>
    <t>LIVERPOOL NUM. 427</t>
  </si>
  <si>
    <t>11DJN2618T - FRANCISCO GABILONDO SOLER</t>
  </si>
  <si>
    <t>TORIL S/N</t>
  </si>
  <si>
    <t>11DJN2686Q - JOSE MARIA LICEAGA</t>
  </si>
  <si>
    <t>CALLE GALILEO NUMERO EXTERIOR: SN, FRACCIONAMIENTO VILLAS EL DORA</t>
  </si>
  <si>
    <t>11DJN2764D - LEONA VICARIO</t>
  </si>
  <si>
    <t>AZUCENA S/N</t>
  </si>
  <si>
    <t>11DJN2766B - BRIGIDA ALFARO</t>
  </si>
  <si>
    <t>CAMALEON NUM. 30</t>
  </si>
  <si>
    <t>11DJN2768Z - IGNACIO MANUEL ALTAMIRANO</t>
  </si>
  <si>
    <t>RIO NILO NUM. 400 FRACCIONAMIENTO CUARTO DIA</t>
  </si>
  <si>
    <t>11DJN2850Z - IRAPUATO</t>
  </si>
  <si>
    <t>SEVILLA S/N INFONAVIT</t>
  </si>
  <si>
    <t>11DJN3661O - JACINTO CANEK</t>
  </si>
  <si>
    <t>AVENIDA SAN JUAN NUM. 1636</t>
  </si>
  <si>
    <t>11DJN4047H - LIBERTAD</t>
  </si>
  <si>
    <t>SALTILLO NUM. 210 ESQUINA CASETA DE POLICIA</t>
  </si>
  <si>
    <t>11DJN4144J - JOSE VASCONCELOS</t>
  </si>
  <si>
    <t>HERMOSILLO S/N</t>
  </si>
  <si>
    <t>11DJN4212Q - PATRIA MEXICANA</t>
  </si>
  <si>
    <t>SANTA INES ESQ.CON SAN VALENTIN S/N</t>
  </si>
  <si>
    <t>11DJN4293R - FEDERICO FROEBEL</t>
  </si>
  <si>
    <t>SALVADOR DIAZ MIRON S/N</t>
  </si>
  <si>
    <t>11DPR2074H - MAESTRO DAVID ALFARO SIQUEIROS</t>
  </si>
  <si>
    <t>PROLONGACION ABASOLO D/N S/N</t>
  </si>
  <si>
    <t>11DPR0406T - EL NIGROMANTE</t>
  </si>
  <si>
    <t>RIO TUXPAN S/N BOULEVARD LA PRADERA</t>
  </si>
  <si>
    <t>11DPR0537L - LEYES DE REFORMA</t>
  </si>
  <si>
    <t>TERESA VARA S/N</t>
  </si>
  <si>
    <t>11DPR1267P - ALFREDO V BONFIL</t>
  </si>
  <si>
    <t>ABELARDO RODRIGUEZ NUM. 290</t>
  </si>
  <si>
    <t>11DPR0836J - HEROE DE NACOZARI</t>
  </si>
  <si>
    <t>JUAN JOSE TORRES LANDA S/N A UN LADO DEL SINDICATO DE FERROCARRIL</t>
  </si>
  <si>
    <t>11MSU0038H -INSTITUTO TECNOLÓGICO SUPERIOR DE IRAPUATO</t>
  </si>
  <si>
    <t>CARRETERA SILAO-IRAPUATO KM. 12.5, EL COPAL, C.P. 36821, IRAPUATO, GTO.</t>
  </si>
  <si>
    <t>11DPR0918T - ADOLFO LOPEZ MATEOS</t>
  </si>
  <si>
    <t>PARNASO S/N</t>
  </si>
  <si>
    <t>11DPR1499F - GENERAL ALVARO OBREGON</t>
  </si>
  <si>
    <t>JUAN CANO NUM. 70</t>
  </si>
  <si>
    <t>11DPR0951A - DR. JOSE MARIA LUIS MORA</t>
  </si>
  <si>
    <t>JUAN CANO NUM. 340</t>
  </si>
  <si>
    <t>11DPR0997W - CONSTITUYENTES DE 1857</t>
  </si>
  <si>
    <t>CALLE BRISAS NUMERO EXTERIOR: 343 , COLONIA LAS REYNAS, CODIGO PO</t>
  </si>
  <si>
    <t>11DPR0998V - GENERAL VICENTE GUERRERO SALDANA</t>
  </si>
  <si>
    <t>AVENIDA SANTA FE NUM. 200</t>
  </si>
  <si>
    <t>11DPR1505Z - LOPEZ GARCIA</t>
  </si>
  <si>
    <t>ARANDAS</t>
  </si>
  <si>
    <t>11DPR1148B - REVOLUCION</t>
  </si>
  <si>
    <t>AVENIDA CALZADA DE LOS CHINACOS NUM. 1254 CERCA DEL LIENZO CHARRO</t>
  </si>
  <si>
    <t>11DPR1152O - NARCISO MENDOZA</t>
  </si>
  <si>
    <t>CALLE SAGRADO CORAZON DE JESUS NUMERO EXTERIOR: SN, EJIDO CAMINO</t>
  </si>
  <si>
    <t>11DPR1396J - GENERAL MANUEL AVILA CAMACHO</t>
  </si>
  <si>
    <t>AVENIDA IRAPUATO Y SAN ANTONIO S/N</t>
  </si>
  <si>
    <t>11DPR1468M - LAZARO CARDENAS</t>
  </si>
  <si>
    <t>EL REFUGIO NUM. 1513</t>
  </si>
  <si>
    <t>11DPR1492M - FRANCISCO J. MUGICA</t>
  </si>
  <si>
    <t>AVENIDA MORELOS NUMERO EXTERIOR: SN, COLONIA MORELOS, CODIGO POST</t>
  </si>
  <si>
    <t>11DPR1500E - ADOLFO LOPEZ MATEOS</t>
  </si>
  <si>
    <t>AVENIDA JUAN JOSE TORRES LANDA NUM. 30</t>
  </si>
  <si>
    <t>11DPR1648X - MARTIRES DE CANANEA</t>
  </si>
  <si>
    <t>CALLE JUSTICIA SOCIAL NUMERO EXTERIOR: 1271 , COLONIA ESFUERZO OB</t>
  </si>
  <si>
    <t>11DPR2007J - BENITO JUAREZ</t>
  </si>
  <si>
    <t>FCO.I.MADERO S/N</t>
  </si>
  <si>
    <t>11DPR2181Q - VASCO DE QUIROGA</t>
  </si>
  <si>
    <t>CALLE FRAY SEBASTIAN DE APARICIO NUMERO EXTERIOR: SN, UNIDAD HABI</t>
  </si>
  <si>
    <t>11DPR2410T - JOSE VASCONCELOS</t>
  </si>
  <si>
    <t>COAHUILA NUM. 1293</t>
  </si>
  <si>
    <t>11DPR2665U - HERMANOS FLORES MAGON</t>
  </si>
  <si>
    <t>CELAYA Y QUINTANA ROO S/N</t>
  </si>
  <si>
    <t>20.674014711455573,</t>
  </si>
  <si>
    <t>11DPR2672D - CUAUHTEMOC</t>
  </si>
  <si>
    <t>MARIANO J GARCIA NUM. 343</t>
  </si>
  <si>
    <t>11DPR2694P - PRIMERO DE MAYO</t>
  </si>
  <si>
    <t>LEY DEL SEGURO SOCIAL S/N</t>
  </si>
  <si>
    <t>11DPR3326B - FERNANDO MONTES DE OCA</t>
  </si>
  <si>
    <t>REY SOL S/N</t>
  </si>
  <si>
    <t>11DPR3361H - 18 DE MARZO</t>
  </si>
  <si>
    <t>18 DE MARZO NUM. 240</t>
  </si>
  <si>
    <t>11DPR3373M - GUILLERMO PRIETO</t>
  </si>
  <si>
    <t>AVENIDA SANTA MONICA S/N</t>
  </si>
  <si>
    <t>11DPR3393Z - LEONA VICARIO</t>
  </si>
  <si>
    <t>CALLE MARIANO ABASOLO NUMERO EXTERIOR: SN, COLONIA BENITO JUAREZ</t>
  </si>
  <si>
    <t>11DPR3402R - 15 DE SEPTIEMBRE</t>
  </si>
  <si>
    <t>CALLE AVELLANO NUMERO EXTERIOR: SN, COLONIA LOS FRESNOS, CODIGO P</t>
  </si>
  <si>
    <t>11DPR3431M - BERNARDO COBOS</t>
  </si>
  <si>
    <t>SEVILLA S/N</t>
  </si>
  <si>
    <t>11DPR3503P - JUSTO SIERRA</t>
  </si>
  <si>
    <t>JAMAICA NUM. 2082</t>
  </si>
  <si>
    <t>11DPR3582S - SENTIMIENTOS DE LA NACION</t>
  </si>
  <si>
    <t>CALLE VELA NOVA NUMERO EXTERIOR: 44 , COLONIA VALLE DEL SOL, CODI</t>
  </si>
  <si>
    <t>11DPR3815R - ALICIA GARCIA RAMIREZ</t>
  </si>
  <si>
    <t>CASCADA DE AGUA CRISTALINAS NUM. 386</t>
  </si>
  <si>
    <t>11DST0005J - ESCUELA SECUNDARIA TECNICA NUM. 5 ING. GUILLERMO SOTO FIERRO</t>
  </si>
  <si>
    <t>AVENIDA SAN PEDRO NUMERO EXTERIOR: 299 , COLONIA SAN PEDRO, CODIG</t>
  </si>
  <si>
    <t>11DST0032G - SECUNDARIA TECNICA NUM. 32</t>
  </si>
  <si>
    <t>ESQUINA REY GUSTAVO ADOLFO NUM. SN</t>
  </si>
  <si>
    <t>11DST0059N - SECUNDARIA TECNICA NUM. 41</t>
  </si>
  <si>
    <t>ANTONIO GALINDEZ NUM. 170</t>
  </si>
  <si>
    <t>11DST0071I - SECUNDARIA TECNICA NUM. 46</t>
  </si>
  <si>
    <t>AVENIDA DE LOS INSURGENTES NUM. SN</t>
  </si>
  <si>
    <t>11DST0074F - SECUNDARIA TECNICA NUM. 51</t>
  </si>
  <si>
    <t>ANTARES NUM. 469</t>
  </si>
  <si>
    <t>11EES0024E - ESCUELA SECUNDARIA</t>
  </si>
  <si>
    <t>CALLE CAMPESTRE DEL VALLE NUMERO EXTERIOR: SN, COLONIA JARDINES D</t>
  </si>
  <si>
    <t>OFICINAS DE GOBIERNO MUNICIPAL</t>
  </si>
  <si>
    <t>BLVD LAZARO CARDENAS, 3247, LA MODERNA, 36690</t>
  </si>
  <si>
    <t>11DES0113Z - BICENTENARIO DE LA INDEPENDENCIA</t>
  </si>
  <si>
    <t>ARANZAZU NUM. SN</t>
  </si>
  <si>
    <t>11EJN0019J - LAS AMERICAS</t>
  </si>
  <si>
    <t>SUDAMERICA S/N ESQUINA CON CARIBE</t>
  </si>
  <si>
    <t>11EJN0060Z - OSCAR FRANCISCO ALCOCER VILLASEÑOR</t>
  </si>
  <si>
    <t>AVENIDA AVENIDA 2 S/N FRACCIONAMIENTO SAN MARCOS</t>
  </si>
  <si>
    <t>11EJN0202H - EMILIANO ZAPATA</t>
  </si>
  <si>
    <t>18 DE MARZO NUM. 213</t>
  </si>
  <si>
    <t>11EJN0204F - PIERRE FAURE</t>
  </si>
  <si>
    <t>AVENIDA SAN JUAN Y ANTILLAS S/N</t>
  </si>
  <si>
    <t>11EJN0209A - CONVIVENCIA FAMILIAR</t>
  </si>
  <si>
    <t>HACIENDA DE SAN ANTONIO ESQ. BRISAS DE LA MONTAÑA S/N</t>
  </si>
  <si>
    <t>11EJN0312N - LEONA VICARIO</t>
  </si>
  <si>
    <t>CASCADA DE LAS FLORES S/N.</t>
  </si>
  <si>
    <t>11EJN0339U - GABRIELA MISTRAL</t>
  </si>
  <si>
    <t>CALLE JAVIER MINA NUMERO EXTERIOR: SN, COLONIA LUIS ALONSO GONZAL</t>
  </si>
  <si>
    <t>11EJN0355L - MARIA MONTESSORI</t>
  </si>
  <si>
    <t>PRIVADA SAN CLEMENTE S/N PRIVADA</t>
  </si>
  <si>
    <t>11EJN0374Z - ROBERTO OWEN</t>
  </si>
  <si>
    <t>GARDENIA NUM. 1180</t>
  </si>
  <si>
    <t>11EJN0395M - LILIA MENDIOLA</t>
  </si>
  <si>
    <t>22 DE ABRIL S/N</t>
  </si>
  <si>
    <t>11EJN0396L - "DIEGO RIVERA "</t>
  </si>
  <si>
    <t>DIF NUM. 100</t>
  </si>
  <si>
    <t>11EPR0124K - NACIONES UNIDAS</t>
  </si>
  <si>
    <t>16 DE DICIEMBRE S/N</t>
  </si>
  <si>
    <t>11EPR0129F - MIGUEL HIDALGO</t>
  </si>
  <si>
    <t>PROLONGACION GUILLERMO PRIETO NUM. 1390</t>
  </si>
  <si>
    <t>11EPR0130V - CLUB DE LEONES</t>
  </si>
  <si>
    <t>CALLE SINALOA Y OAXACA NUMERO EXTERIOR: SN, COLONIA MIGUEL HIDALG</t>
  </si>
  <si>
    <t>11EPR0131U - BENITO JUAREZ</t>
  </si>
  <si>
    <t>CALLE 5 DE FEBRERO NUMERO EXTERIOR: 329 , COLONIA IRAPUATO CENTRO</t>
  </si>
  <si>
    <t>11EPR0134R - AGUILUCHOS DE CHAPULTEPEC</t>
  </si>
  <si>
    <t>PLAZUELA ABASOLO NUM. 2</t>
  </si>
  <si>
    <t>JUNTA DE AGUA POTABLE, DRENAJE, ALCANTARILLADO Y SANEAMIENTO DEL MUNICIPIO DE IRAPUATO</t>
  </si>
  <si>
    <t>Prolongación, Av. Juan José Torres Landa #1720, Fraccionamiento Independencia, 36559 Irapuato, Gto.</t>
  </si>
  <si>
    <t>11EPR0136P - MARGARITA MAZA DE JUAREZ</t>
  </si>
  <si>
    <t>AVENIDA DE LA REFORMA NUMERO EXTERIOR: SN, COLONIA GAMEZ, CODIGO</t>
  </si>
  <si>
    <t>11EPR0138N - JESUS R. MARQUEZ</t>
  </si>
  <si>
    <t>CALLE CASIMIRO LICEAGA NUMERO EXTERIOR: 655 , COLONIA MODERNA, CO</t>
  </si>
  <si>
    <t>11EPR0139M - JOSE MARIA MORELOS</t>
  </si>
  <si>
    <t>RAMOS ARISPE NUM. 100</t>
  </si>
  <si>
    <t>11EPR0141A - HERMELINDA RIVERA</t>
  </si>
  <si>
    <t>20 DE NOVIEMBRE NUM. 359</t>
  </si>
  <si>
    <t>11EPR0143Z - GABRIELA CHEMALI NASSAR</t>
  </si>
  <si>
    <t>CALLE MOROLEON NUMERO EXTERIOR: 582 , COLONIA PLAN DE GUANAJUATO,</t>
  </si>
  <si>
    <t>11EPR0144Y - 20 DE NOVIEMBRE</t>
  </si>
  <si>
    <t>20 DE NOVIEMBRE NUM. 389</t>
  </si>
  <si>
    <t>11EPR0145X - 18 DE MARZO</t>
  </si>
  <si>
    <t>BOULEVARD SAN ROQUE S/N</t>
  </si>
  <si>
    <t>11EPR0150I - NIÑOS HEROES</t>
  </si>
  <si>
    <t>CALLE FRANCISCO SARABIA NUMERO EXTERIOR: 502 , COLONIA SANTA JULI</t>
  </si>
  <si>
    <t>11EPR0448R - MELCHOR OCAMPO</t>
  </si>
  <si>
    <t>GUILLERMO PRIETO NUM. 310</t>
  </si>
  <si>
    <t>11EPR0552C - JOSEFA ORTIZ DE DOMINGUEZ</t>
  </si>
  <si>
    <t>CASUARINA S/N</t>
  </si>
  <si>
    <t>11EPR0583W - INSURGENTES</t>
  </si>
  <si>
    <t>CALLE TRES NUMERO EXTERIOR: SN, COLONIA SAN MARCOS, CODIGO POSTAL</t>
  </si>
  <si>
    <t>11EPR0603T - RAFAEL BARBA PEREZ</t>
  </si>
  <si>
    <t>ESTRELLA S/N</t>
  </si>
  <si>
    <t>11EPR0789O - MA. ESTHER RODRIGUEZ FLORES</t>
  </si>
  <si>
    <t>CALLE 22 DE ABRIL NUMERO EXTERIOR: SN, COLONIA ERNESTO CHE GUEVAR</t>
  </si>
  <si>
    <t>11EPR0814X - FRANCISCO GONZALEZ BOCANEGRA</t>
  </si>
  <si>
    <t>CALLE CERRO DEL TEPEYAC NUMERO EXTERIOR: SN, COLONIA JOSEFA ORTIZ</t>
  </si>
  <si>
    <t>11EPR0824D - TIERRA Y LIBERTAD</t>
  </si>
  <si>
    <t>LUIS ALONSO GONZALEZ GARCIA</t>
  </si>
  <si>
    <t>11EPR0866C - LAS AMERICAS</t>
  </si>
  <si>
    <t>CALLE SUDAMERICA NUMERO EXTERIOR: SN, COLONIA LAS AMERICAS, CODIG</t>
  </si>
  <si>
    <t>11ETV0001Z - TELESECUNDARIA NUM. 18</t>
  </si>
  <si>
    <t>ZARAGOZA NUM. 381</t>
  </si>
  <si>
    <t>11ETV0002Z - TELESECUNDARIA NUM. 19</t>
  </si>
  <si>
    <t>JORGE NEGRETE S/N</t>
  </si>
  <si>
    <t>11ETV0003Y - TELESECUNDARIA NUM. 20</t>
  </si>
  <si>
    <t>AGUSTIN ZARAGOZA S/N</t>
  </si>
  <si>
    <t>11ETV0420K - TELESECUNDARIA NUM. 403</t>
  </si>
  <si>
    <t>OLIVO NUM. 381</t>
  </si>
  <si>
    <t>11ETV0881U - TELESECUNDARIA NUM. 881</t>
  </si>
  <si>
    <t>CALLE 22 DE ABRIL NUMERO EXTERIOR: 625 , COLONIA ERNESTO CHE GUEV</t>
  </si>
  <si>
    <t>11DPR3926W - SOR JUANA INES DE LA CRUZ</t>
  </si>
  <si>
    <t>CIUDAD VICTORIA NUM. 229</t>
  </si>
  <si>
    <t>11DPR3927V - OCTAVIO PAZ</t>
  </si>
  <si>
    <t>CALLE BRISA DE LA PRADERA NUMERO EXTERIOR: SN, FRACCIONAMIENTO NO</t>
  </si>
  <si>
    <t>11DPR3946J - GENERAL MEDARDO GONZALEZ PEÑA</t>
  </si>
  <si>
    <t>CALLE EINSTEIN NUMERO EXTERIOR: SN,FRACCIONAMIENTO VILLAS EL DORA</t>
  </si>
  <si>
    <t>11DJN0695K - SALVADOR ALMARAZ</t>
  </si>
  <si>
    <t>CALLE HACIENDA DE LA GAVIA NUMERO EXTERIOR: 573 , FRACCIONAMIENTO</t>
  </si>
  <si>
    <t>HUB-I CASA DEL EMPRENDEDOR IRAPUATO</t>
  </si>
  <si>
    <t>CORTAZAR NUM. 64, ZONA CENTRO, IRAPUATO</t>
  </si>
  <si>
    <t>PLAZA COMUNITARIA PURISIMA DEL JARDIN</t>
  </si>
  <si>
    <t>PBRO. PABLO CHAVEZ , PURISIMA DEL JARDIN, IRAPUATO</t>
  </si>
  <si>
    <t>11DJN4339W - 30 DE ABRIL</t>
  </si>
  <si>
    <t>CASTILLO BRETON NUM. 846</t>
  </si>
  <si>
    <t>11DJN4340L - INSURGENTES</t>
  </si>
  <si>
    <t>CUBILETE NUM. 497</t>
  </si>
  <si>
    <t>11DJN4341K - MANUEL M PONCE</t>
  </si>
  <si>
    <t>TOPACIO S/N</t>
  </si>
  <si>
    <t>11DPR3379G - ANDRES QUINTANA ROO</t>
  </si>
  <si>
    <t>CALLE:COLONIA CONSTITUCION DE APATZINGAN COLOLIA:</t>
  </si>
  <si>
    <t>11DJN4143K - NIÑOS HEROES</t>
  </si>
  <si>
    <t>Valle Verde, 36555 Irapuato, Gto.</t>
  </si>
  <si>
    <t>11DJN2767A - JAIME TORRES BODET</t>
  </si>
  <si>
    <t>Calle Miguel Hidalgo, Constitucion de Apatzingan, 36545 Irapuato, Gto.</t>
  </si>
  <si>
    <t>11EJN0375Z - JEAN PIAGET</t>
  </si>
  <si>
    <t>Bambú 521, Los Fresnos, 36555 Irapuato, Gto.</t>
  </si>
  <si>
    <t>PLAZA COMUNITARIA SAN JUAN DE RETANA</t>
  </si>
  <si>
    <t>CALLE LUPITA, ENTRE CAFETALES Y NARVARTE , COLONIA NUEVO MEXICO, C.P. 36576, IRAPUATO, GTO</t>
  </si>
  <si>
    <t>PARQUE BENITO JUAREZ</t>
  </si>
  <si>
    <t>6 DE NOVIEMBRE, RAFAEL ABASCAL 345, BENITO JUAREZ I, 36557, IRAPUATO, GTO</t>
  </si>
  <si>
    <t>INSTITUTO ESTATAL DE CAPACITACIÓN PLANTEL IRAPUATO</t>
  </si>
  <si>
    <t>BLVD. ARANDAS, 1855, FRACC. JARDINES DE SAN ANTONIO, 36660</t>
  </si>
  <si>
    <t>INSTITUTO GUANAJUATENSE PARA LAS PERSONAS CON DISCAPACIDAD</t>
  </si>
  <si>
    <t>CALLE DIF 1, COL. COLÓN 2DA. SECC., IRAPUATO, C.P. 36540</t>
  </si>
  <si>
    <t>BENITO JUAREZ</t>
  </si>
  <si>
    <t>AVENIDA MARIANO J. GARCIA #343, COL. BENITO JUAREZ I., IRAPUATO, GTO.</t>
  </si>
  <si>
    <t>SAN GABRIEL</t>
  </si>
  <si>
    <t>DIVISION DEL NORTE #160, COL. SAN GABRIEL 3RA SECCION, IRAPUATO, GTO.</t>
  </si>
  <si>
    <t>CEDECOM 24 DE ABRIL</t>
  </si>
  <si>
    <t>PORCHE, S/N, 24 DE ABRIL, IRAPUATO.GTO</t>
  </si>
  <si>
    <t>CENTRO DE GOBIERNO IRAPUATO</t>
  </si>
  <si>
    <t>AV. SIGLO XXI, NO. 412, LOS SAUCES, 36823</t>
  </si>
  <si>
    <t>SECRETARÍA DE GOBIERNO REGISTRO CIVIL</t>
  </si>
  <si>
    <t>BLVRD DÍAZ ORDAZ, 155, LOS EUCALIPTOS, 36660</t>
  </si>
  <si>
    <t>OFICIALIA DEL REGISTRO CIVIL LOS EUCALIPTOS</t>
  </si>
  <si>
    <t>C. JESÚS MARÍA COVARRUBIAS, 628, LOS EUCALIPTOS, 36660</t>
  </si>
  <si>
    <t>CENTRO DE GOBIERNO DEL MUNICIPIO DE IRAPUATO (OLT)</t>
  </si>
  <si>
    <t>ÁLVARO OBREGÓN # 100, ZONA CENTRO, C.P. 36588, IRAPUATO, GTO. (OLT)</t>
  </si>
  <si>
    <t>JUNTA LOCAL DE CONCILIACION Y ARBITRAJE DE IRAPUATO</t>
  </si>
  <si>
    <t>BLVD. LUIS DONALDO COLOSIO, 1477, EL RANCHITO, 36559</t>
  </si>
  <si>
    <t>OFICIALIA DEL REGISTRO CIVIL SAN MIGUELITO</t>
  </si>
  <si>
    <t>C. 6 DE NOVIEMBRE NO.166, SAN MIGUELITO, 36550</t>
  </si>
  <si>
    <t>REGISTRO PUBLICO VEHICULAR</t>
  </si>
  <si>
    <t>BLVD. PASEO SOLIDARIDAD, 9928, LÁZARO CÁRDENAS, 36540</t>
  </si>
  <si>
    <t>11ENL0004F - ESCUELA NORMAL OFICIAL DE IRAPUATO</t>
  </si>
  <si>
    <t>LIBRA 275, COL. VALLE DEL SOL, C.P. 36590, IRAPUATO, GTO.</t>
  </si>
  <si>
    <t>11MSU0036J - UNIVERSIDAD PEDAGÓGICA NACIONAL UNIDAD 111 IRAPUATO</t>
  </si>
  <si>
    <t>CECITE PLANTEL III ( COL. VILLAS DE BERNALEJO) 
SOBRE LA AV. PRINCIPAL AL FONDO.</t>
  </si>
  <si>
    <t>11ETC0025V - COLEGIO DE ESTUDIOS CIENTIFICOS Y TECNOLOGICOS DEL ESTADO DE GUANAJUATO PLANTEL IRAPUATO II</t>
  </si>
  <si>
    <t>COMUNIDAD EL COPAL, IRAPUATO, GTO.</t>
  </si>
  <si>
    <t>11ETC0035B - COLEGIO DE ESTUDIOS CIENTIFICOS Y TECNOLOGICOS DEL ESTADO DE GUANAJUATO PLANTEL IRAPUATO III</t>
  </si>
  <si>
    <t>VILLAS DE BERNALEJO, IRAPUATO, GTO.</t>
  </si>
  <si>
    <t>11ETC0015O - COLEGIO DE ESTUDIOS CIENTIFICOS Y TECNOLOGICOS DEL ESTADO DE GUANAJUATO PLANTEL IRAPUATO</t>
  </si>
  <si>
    <t>HELECHOS, COL. VALLE VERDE, IRAPUATO, GTO.</t>
  </si>
  <si>
    <t>11DPT0002P - PLANTEL CONALEP 029. IRAPUATO</t>
  </si>
  <si>
    <t>CALLE FIESTA CHARRA S/N, COLONIA LAS CARMELITAS, C. P. 36500. IRAPUATO, GTO.</t>
  </si>
  <si>
    <t>HOSPITAL GENERAL IRAPUATO</t>
  </si>
  <si>
    <t>REVERTE MEXICANO ESQUINA AVENIDA GUERRERO - CALLE REVERTE MEXICANO ESQ. AV. GUERRERO</t>
  </si>
  <si>
    <t>INSTITUTO TECNOLÓGICO SUPERIOR DE IRAPUATO</t>
  </si>
  <si>
    <t>FLORENCIA 101, RESIDENCIAL CAMPESTRE, 36698, IRAPUATO, GTO</t>
  </si>
  <si>
    <t>CENTRO DE DESARROLLO EDUCATIVO SEG</t>
  </si>
  <si>
    <t>Ejercito Nacional no 842, Colonia las Reynas, Irapuato, Gto</t>
  </si>
  <si>
    <t>CAISES BENITO JUAREZ</t>
  </si>
  <si>
    <t>MARIANO J. GARCIA - A UN COSTADO DE CENTRO IMPULSO SOCIAL</t>
  </si>
  <si>
    <t>CAISES LAS MISIONES</t>
  </si>
  <si>
    <t>SANTA CLARA ESQUINA SAN CARLOS -</t>
  </si>
  <si>
    <t>CISAME IRAPUATO</t>
  </si>
  <si>
    <t>DIEGO DE VELAZQUEZ (ATRÁS DEL CAISES COLON) - DIEGO DE VELASQUEZ S/N FRACC COLÓN (ATRÁS DEL CAISES COLON)</t>
  </si>
  <si>
    <t>CAISES TORRES LANDA</t>
  </si>
  <si>
    <t>TORRES LANDA - BLVD. TORRES LANDA NO. 45, COL. CENTRO</t>
  </si>
  <si>
    <t>CAISES GALAXIA EL NARANJAL</t>
  </si>
  <si>
    <t>CORAL - DENTRO DEL FRACCIONAMIENTO GALAXIA EL NARANJAL</t>
  </si>
  <si>
    <t>CAISES PURISIMA DEL JARIDN</t>
  </si>
  <si>
    <t>JARDÍN ENTRE DIEGO RIVERA Y PEDRO VARGAS COVARRUBIAS - AV. JARDÍN ENTRE DIEGO RIVERA Y PEDRO VARGAS COVARRUBIAS</t>
  </si>
  <si>
    <t>CENTRO NUEVA VIDA</t>
  </si>
  <si>
    <t>GERARDO MURILLO - PROLONGACIÓN AV. JARDÍN ENTRE EL CAPA Y EL CAISES PURÍSIMA DEL JARDÍN, COL. FRACCIONAMIENTO PURÍSIMA DEL JARDÍN</t>
  </si>
  <si>
    <t>UNEME CAPA IRAPUATO</t>
  </si>
  <si>
    <t>AVENIDA JARDÍN ENTRE EL CAPA Y EL CAISES PURÍSIMA DEL JARDÍN - PROLONGACIÓN AV. JARDÍN ESQ. DIEGO RIVERA, COL. FRACCIONAMIENTO PURÍSIMA DEL JARDÍN</t>
  </si>
  <si>
    <t>11ETH0161U - BACHILLERATO SABES VALLE DE LAS FLORES</t>
  </si>
  <si>
    <t>MANUEL A. CAMACHO</t>
  </si>
  <si>
    <t>CENTRO DE INVESTIGACIÓN Y DE ESTUDIOS AVANZADOS DEL IPN</t>
  </si>
  <si>
    <t>LIBRAMIENTO NORTE CARRETERA IRAPUATO LEÓN KILÓMETRO 9.6, CARR PANAMERICANA IRAPUATO LEÓN, 36821 IRAPUATO, GTO.</t>
  </si>
  <si>
    <t>PRESIDENCIA MUNICIPAL DE IRAPUATO</t>
  </si>
  <si>
    <t>JDN. PRINCIPAL S/N, COL. CENTRO, 36500 IRAPUATO, GTO.</t>
  </si>
  <si>
    <t>TU PUEDES GUANAJUATO IRAPUATO</t>
  </si>
  <si>
    <t>BLVD DÍAZ ORDAZ, 3274,LAS REYNAS IRAPUATO,36660</t>
  </si>
  <si>
    <t>PLAZA PÚBLICA BAHIA</t>
  </si>
  <si>
    <t>PONCIANO ARRIAGA 397, BARRIO DE LA PIEDRA LISA, 36588, IRAPUATO,GTO</t>
  </si>
  <si>
    <t>SECRETARÍA DE GOBIERNO DEFENSORIA</t>
  </si>
  <si>
    <t>BLVD. DÍAZ ORDAZ, 155, LOS EUCALIPTOS, 36660</t>
  </si>
  <si>
    <t>11ESU0062Z - UNIVERSIDAD DEL SABES CENTRO IRAPUATO</t>
  </si>
  <si>
    <t>CALLE MEXICALI, NO. 544</t>
  </si>
  <si>
    <t>CENTRO DE INVESTIGACIÓN Y DE ESTUDIOS AVANZADOS DEL IPN UNIDAD DE GEONOMIA</t>
  </si>
  <si>
    <t>COLONIA CIUDAD DEPORTIVA</t>
  </si>
  <si>
    <t>COLONIA VALLE DEL SOL</t>
  </si>
  <si>
    <t>COMUNIDAD EX HACIENDA DEL COPAL</t>
  </si>
  <si>
    <t>COLONIA VILLAS DE IRAPUATO</t>
  </si>
  <si>
    <t>COLONIA HACIENDAS EL CARRIZAL</t>
  </si>
  <si>
    <t>COLONIA SAN ROQUE</t>
  </si>
  <si>
    <t>COLONIA CUARTO DIA</t>
  </si>
  <si>
    <t>COLONIA  JARDINES DE LA HACIENDA</t>
  </si>
  <si>
    <t xml:space="preserve"> COLONIA FRANCISCO VILLA</t>
  </si>
  <si>
    <t>COLONIA EL COPAL</t>
  </si>
  <si>
    <t xml:space="preserve"> COLONIA SANTA FE</t>
  </si>
  <si>
    <t xml:space="preserve"> COLONIA SAN PEDRO</t>
  </si>
  <si>
    <t>COLONIA COLON</t>
  </si>
  <si>
    <t xml:space="preserve"> COLONIA SAN ROQUE</t>
  </si>
  <si>
    <t>COLONIA EL CANTADOR</t>
  </si>
  <si>
    <t>COLONIA COLÓN</t>
  </si>
  <si>
    <t>COLONIA SAN GABRIEL 3RA SECC</t>
  </si>
  <si>
    <t>COLONIA VILLAS DE BERNALEJO</t>
  </si>
  <si>
    <t>COLONIA RESIDENCIAL CAMPESTRE</t>
  </si>
  <si>
    <t>COLONIA ÁLVARO OBREGÓN</t>
  </si>
  <si>
    <t>COLONIA PURISIMA DEL JARDÍN</t>
  </si>
  <si>
    <t xml:space="preserve">COLONIA PURÍSIMA DEL JARDÍN </t>
  </si>
  <si>
    <t>COLONIA VALLE LAS FLORES 2DA. SECC.</t>
  </si>
  <si>
    <t xml:space="preserve"> COMUNIDAD EL COPALILLO</t>
  </si>
  <si>
    <t>COLONIA LAS REYNAS</t>
  </si>
  <si>
    <t>COLONIA LOS EUCALIPTOS</t>
  </si>
  <si>
    <t>COLONIA JARDINES DE IRAPUATO</t>
  </si>
  <si>
    <t>COLONIA BERNARDO COBOS</t>
  </si>
  <si>
    <t>COLONIA 1 DE MAYO</t>
  </si>
  <si>
    <t>COLONIA LAS CARMELITAS</t>
  </si>
  <si>
    <t>COLONIA BARRIO DE SANTIAGUITO</t>
  </si>
  <si>
    <t>COLONIA GUERRERO</t>
  </si>
  <si>
    <t>COLONIA CASCADA DE LAS ESTRELLAS</t>
  </si>
  <si>
    <t>COLONIA LOS SAUCES</t>
  </si>
  <si>
    <t>COLONIA NOGALIA</t>
  </si>
  <si>
    <t>COLONIA VILLA DE IRAPUATO</t>
  </si>
  <si>
    <t>COLONIA LABORATORIO COMISION FEDERAL DE ELECTRICIDAD</t>
  </si>
  <si>
    <t>COLONIA BERNADO COBOS</t>
  </si>
  <si>
    <t>COLONIA 18 DE AGOSTO</t>
  </si>
  <si>
    <t>COLONIA LA PRADERA</t>
  </si>
  <si>
    <t>COLONIA LOS REYES</t>
  </si>
  <si>
    <t>COLONIA SANTA CECILIA (LOS HOYOS)</t>
  </si>
  <si>
    <t>COLONIA SAN JUAN DE RETANA</t>
  </si>
  <si>
    <t>COLONIA LAS DILIGENCIAS</t>
  </si>
  <si>
    <t>COLONIA FLORES MAGON NORTE</t>
  </si>
  <si>
    <t>COLONIA ESFUERSO OBRERO</t>
  </si>
  <si>
    <t>COLONIA SAN FRANCISCO DE LA CHARCA (EL NIDO)</t>
  </si>
  <si>
    <t>COLONIA ARANDAS</t>
  </si>
  <si>
    <t>COLONIA EL COBANO</t>
  </si>
  <si>
    <t>COLONIA LA ESTANCIA</t>
  </si>
  <si>
    <t>COLONIA GANADERA</t>
  </si>
  <si>
    <t>COLONIA VILLAS EL DORADO</t>
  </si>
  <si>
    <t>COLONIA SEGUNDA SECCION LAS HERAS</t>
  </si>
  <si>
    <t>COLONIA FRECCIONAMIENTO VALLE DEL SOL</t>
  </si>
  <si>
    <t>COLONIA INFONAVIT</t>
  </si>
  <si>
    <t>COLONIA III SECC SAN MIGUELITO</t>
  </si>
  <si>
    <t>COLONIA EL MILAGRO</t>
  </si>
  <si>
    <t>COLONIA FRANCISCO VILLA</t>
  </si>
  <si>
    <t>COLONIA SAN MIGUELITO</t>
  </si>
  <si>
    <t>COLONIA LA PRESIDENTES</t>
  </si>
  <si>
    <t>COLONIA ALVARO OBREGON</t>
  </si>
  <si>
    <t>COLONIA FERROCARILERA</t>
  </si>
  <si>
    <t>COLONIA CAMINO REAL DE LO DE JUAREZ</t>
  </si>
  <si>
    <t>COLONIA SAN GABRIEL</t>
  </si>
  <si>
    <t>COLONIA RODRIGUEZ</t>
  </si>
  <si>
    <t>COLONIA ESFUERZO OBRERO</t>
  </si>
  <si>
    <t>COLONIA UNIDAD HABITACIONAL VASCO DE QUIROGA FOVISSSTE</t>
  </si>
  <si>
    <t>COLONIA SOLIDARIA</t>
  </si>
  <si>
    <t>COLONIA LOS HOYOS</t>
  </si>
  <si>
    <t>COLONIA FRACC LOS REYES</t>
  </si>
  <si>
    <t>COLONIA LAS HERAS</t>
  </si>
  <si>
    <t>COLONIA SAN MARTIN DE PORRES</t>
  </si>
  <si>
    <t>COLONIA BENITO JUAREZ 1</t>
  </si>
  <si>
    <t>COLONIA LOS FRESNOS</t>
  </si>
  <si>
    <t>COLONIA LA LUPITA</t>
  </si>
  <si>
    <t>COLONIA BELLA VISTA</t>
  </si>
  <si>
    <t>COLONIA SAN PEDRO</t>
  </si>
  <si>
    <t>COLONIA JARDINES DEL VALLE</t>
  </si>
  <si>
    <t>COLONIA LABORATORIO CFE</t>
  </si>
  <si>
    <t>COLONIA RINCON DE LOS ARCOS</t>
  </si>
  <si>
    <t>COLONIA LAS BRISAS</t>
  </si>
  <si>
    <t>COLONIA LUIS ALONSO GONZALEZ</t>
  </si>
  <si>
    <t>COLONIA CHE GUEVARA</t>
  </si>
  <si>
    <t>COLONIA LO DE JUAREZ</t>
  </si>
  <si>
    <t>COLONIA RENOVACION</t>
  </si>
  <si>
    <t>COLONIA MIGUEL HIDALGO</t>
  </si>
  <si>
    <t>COLONIA IRAPUATO CENTRO</t>
  </si>
  <si>
    <t>COLONIA GAMEZ</t>
  </si>
  <si>
    <t>COLONIA MODERNA</t>
  </si>
  <si>
    <t>COLONIA PLAN DE GUANAJUATO</t>
  </si>
  <si>
    <t>COLONIA BARRIO DE SAN VICENTE</t>
  </si>
  <si>
    <t>COLONIA SANTA JULIA</t>
  </si>
  <si>
    <t>COLONIA LAS ROSAS</t>
  </si>
  <si>
    <t>COLONIA ERNESTO CHE GUEVARA</t>
  </si>
  <si>
    <t>COLONIA JOSEFA ORTIZ</t>
  </si>
  <si>
    <t xml:space="preserve">COLONIA LUIS GONZALEZ GARCIA </t>
  </si>
  <si>
    <t>COLONIA OBRERO</t>
  </si>
  <si>
    <t>COLONIA JARDINES DE LA HACIENDA</t>
  </si>
  <si>
    <t>COLONIA PURISIMA DEL JARDIN</t>
  </si>
  <si>
    <t>COLONIA LA MODERNA</t>
  </si>
  <si>
    <t>COLONIA CONSTITUCION DE APATZINGAN</t>
  </si>
  <si>
    <t>COLONIA NUEVO MEXICO</t>
  </si>
  <si>
    <t>COLONIA BENITO JUAREZ I</t>
  </si>
  <si>
    <t>COLONIA JARDINES DE SAN ANTONIO</t>
  </si>
  <si>
    <t>COLONIA PROGRESIVA EL JARAL</t>
  </si>
  <si>
    <t>COLONIA EL RANCHITO</t>
  </si>
  <si>
    <t>COLONIA VIVEROS REVOLUCION</t>
  </si>
  <si>
    <t>COLONIA LÁZARO CÁRDENAS</t>
  </si>
  <si>
    <t>COLONIA. VALLE DEL SOL</t>
  </si>
  <si>
    <t>COLONIA RANCHERIA CAMPO DE GOLF</t>
  </si>
  <si>
    <t>COLONIA BENITO JUÁREZ</t>
  </si>
  <si>
    <t>COLONIA LAS MISIONES</t>
  </si>
  <si>
    <t xml:space="preserve">COLONIA COLÓN 2da SECCIÓN </t>
  </si>
  <si>
    <t>COLONIA GALAXIA EL NARANAL</t>
  </si>
  <si>
    <t>COLONIA BARRIO DE LA PIEDRA LISA</t>
  </si>
  <si>
    <t>71a</t>
  </si>
  <si>
    <t>71b</t>
  </si>
  <si>
    <t>65a</t>
  </si>
  <si>
    <t>65b</t>
  </si>
  <si>
    <t>No se visualiza el SSID el Acces Point se encuentra muy retirado de nuestro punto aún y cuando se buscó la mejor ubicación y no se nos permitió el ingreso a las instalaciones</t>
  </si>
  <si>
    <t>Hay demasiados cortes (pérdida de paquetes, el ancho de banda también es bajo, puede deberse a que el Acces Point se encuentra muy retirado de la calle, no se nos permitió el ingreso al plantel</t>
  </si>
  <si>
    <t>37a</t>
  </si>
  <si>
    <t>37b</t>
  </si>
  <si>
    <t>45a</t>
  </si>
  <si>
    <t>45b</t>
  </si>
  <si>
    <t>43a</t>
  </si>
  <si>
    <t>43b</t>
  </si>
  <si>
    <t>La conexión fue rápida y constante, la navegación fue fluida, no se observan anomalías, tiene buena señal pero el ancho de banda es bajo, puede deberse a la lejanía del Acces Point</t>
  </si>
  <si>
    <t>La conexión fue sencilla y rápida, la navegación fue constante sin embargo no se pudo realizar el test de velocidad esto puede deberse a que el Acces Point se encuentra retirado de nosotros y no se nos permitió el ingreso</t>
  </si>
  <si>
    <t>68a</t>
  </si>
  <si>
    <t>68b</t>
  </si>
  <si>
    <t>63a</t>
  </si>
  <si>
    <t>63b</t>
  </si>
  <si>
    <t>828a</t>
  </si>
  <si>
    <t>828b</t>
  </si>
  <si>
    <t>70a</t>
  </si>
  <si>
    <t>70b</t>
  </si>
  <si>
    <t>Antonio Morales</t>
  </si>
  <si>
    <t>El sitio presentó buena señal, no hubo intermitencia en la navegación sin embargo cuando se pretendía realizar el test de velocidad marcaba error en todos los intentos</t>
  </si>
  <si>
    <t>La conexión fue rápida y la navegación constante pero al momento de cargar Youtube presentó algo de lentitud, al final si lo cargó bien</t>
  </si>
  <si>
    <t>La conexión fue rápida y la navegación constante solo que en el test de velocidad mostró un ancho de banda muy bajo esto puede deberse a la cantidad de usuario conectados</t>
  </si>
  <si>
    <t>La conexión fue fácil pero presentó algo de lentitud en la navegación puede deberse a la gran cantidad de dispositivos conectados ya que está a un costado de un mercado y un tianguis</t>
  </si>
  <si>
    <t>La conexión fue rápida y la navegación constante, no se observan anomalías solo el ancho de banda muy bajo esto puede deberse a que el Acces Point se encuentra muy lejos</t>
  </si>
  <si>
    <t>En el momento la conexión fue rápida y la navegación fluida, pero comenta el vigilante que el servicio es algo intermitente y que no tiene buena señal, que hay ocasiones que él tiene que estar debajo del Acces Point para poder navegar correctamente</t>
  </si>
  <si>
    <t>La conexión fue rápida y la navegación constante, no se observan anomalías solo el ancho de banda muy bajoa pesar de que el Acces Point se encuentra cerca y no hay dispositivos conectados</t>
  </si>
  <si>
    <t>La conexión fue rápida y la navegación constante, no se observan anomalías pero no se pudo realizar el test de velocidad por intermitencias posiblemente por que el Acces Point se encuentra lejos</t>
  </si>
  <si>
    <t>No se puede realizar el test de velocidad ya que el servicio es muy inestable, el Acces Point se encuentra dentro del inmueble y no se nos permitió ingresar</t>
  </si>
  <si>
    <t>La conexión fue rápida y la navegación constante, no se observan anomalías pero se observa muy bajo el ancho de banda a pesar de que el Acces Point se encuentra cerca y no hay dispositivos conectados</t>
  </si>
  <si>
    <t>11DES0045S- ALFONSO PARTIDA SIERRA</t>
  </si>
  <si>
    <t>PADRE RAFAEL GARCILITA S/N COL. EL DURAZNO</t>
  </si>
  <si>
    <t>SALAMANCA</t>
  </si>
  <si>
    <t>11DES0089P - JOSE VASCONCELOS</t>
  </si>
  <si>
    <t>CALLE SILAO NUMERO EXTERIOR: SN, COLONIA GUANAJUATO</t>
  </si>
  <si>
    <t>11DST0070J - SECUNDARIA TECNICA NUM. 48</t>
  </si>
  <si>
    <t>CALLE EJIDO PARRAL NUMERO EXTERIOR: SN, COLONIA FRANCISCO VILLA,</t>
  </si>
  <si>
    <t>11DPR2261B - MOISES SAENZ GARZA</t>
  </si>
  <si>
    <t>PADRE RAFAEL GARCILITA S/N</t>
  </si>
  <si>
    <t>11DPR2460A - GRAL. LÁZARO CÁRDENAS</t>
  </si>
  <si>
    <t>LAZARO CARDENAS EMILIANO ZAPATA S/N</t>
  </si>
  <si>
    <t>JURISDICCION SANITARIA V SALAMANCA</t>
  </si>
  <si>
    <t>C. ALVARO OBREGON 501, CENTRO, 36750, SALAMANCA</t>
  </si>
  <si>
    <t>USAE SALAMANCA</t>
  </si>
  <si>
    <t>AV COMONFORT 2107, VILLAS DEL VALLE, 36786, SALAMANCA GTO</t>
  </si>
  <si>
    <t>FARMACIA ISSEG F-197</t>
  </si>
  <si>
    <t>TENIXTEPEC 1701 ESQ MONTE AMBERES PLAZA COMERCIAL PREDIO, EL MONTE, 36730, SALAMANCA</t>
  </si>
  <si>
    <t>11DBA0015B - JOSE LOPEZ PORTILLO</t>
  </si>
  <si>
    <t>AV COMONFORT 531, GUANAJUATO, 36780, SALAMANCA</t>
  </si>
  <si>
    <t>11DJN2524E - JOSE IGNACIO BARTOLACHE</t>
  </si>
  <si>
    <t>CALLE PARRAL NUMERO EXTERIOR: 600 , COLONIA FRANCISCO VILLA</t>
  </si>
  <si>
    <t>11DES0016X - SECUNDARIA GENERAL ALBINO GARCIA</t>
  </si>
  <si>
    <t>CALLE SILAO NUMERO EXTERIOR: SN, COLONIA GUANAJUATO, CODIGO POSTA</t>
  </si>
  <si>
    <t>11DJN0081N - PEMEX SECCION 24</t>
  </si>
  <si>
    <t>PANUCO Y EBANO S/N</t>
  </si>
  <si>
    <t>11DJN0083L - AMADO NERVO</t>
  </si>
  <si>
    <t>SILAO E IRAPUATO S/N</t>
  </si>
  <si>
    <t>11DJN0405D - ESTEFANIA CASTAÑEDA</t>
  </si>
  <si>
    <t>RIO LERMA NUM. 232-A</t>
  </si>
  <si>
    <t>11DJN0289D - BARTOLOME SANCHEZ TORRADO</t>
  </si>
  <si>
    <t>PRIVADA RAFAEL CAMPUZANO NUM. 150</t>
  </si>
  <si>
    <t>11DJN0398K - DANIEL DELGADILLO</t>
  </si>
  <si>
    <t>MONTES DE OCA NUM. 404</t>
  </si>
  <si>
    <t>11DJN0399J - LIC. JOSE VASCONCELOS</t>
  </si>
  <si>
    <t>MATAMOROS NUM. 1017</t>
  </si>
  <si>
    <t>11DJN0400I - SOR JUANA INES DE LA CRUZ</t>
  </si>
  <si>
    <t>PRIVADA DE LA PAZ S/N</t>
  </si>
  <si>
    <t>11DJN0402G - FRANCISCO GABILONDO SOLER</t>
  </si>
  <si>
    <t>EFREN SANCHEZ NUM. 206</t>
  </si>
  <si>
    <t>11DJN0403F - FERNANDO GONZALEZ ROA</t>
  </si>
  <si>
    <t>JOSE M. VALTIERRA NUM. 136</t>
  </si>
  <si>
    <t>11DJN0404E - JUAN ENRIQUE PESTALOZZI</t>
  </si>
  <si>
    <t>PROLONGACION GUERRERO NUM. 1500-A</t>
  </si>
  <si>
    <t>11DJN0511N - LAUREANA W. GONZALEZ</t>
  </si>
  <si>
    <t>MIGUEL HIDALGO</t>
  </si>
  <si>
    <t>11DJN2425E - MARIANO MATAMOROS</t>
  </si>
  <si>
    <t>DEL ROSARIO NUM. 201</t>
  </si>
  <si>
    <t>11DJN2804O - JUAN ALDAMA</t>
  </si>
  <si>
    <t>LOS PIRULES NUM. 102</t>
  </si>
  <si>
    <t>11DJN2838E - JEAN PIAGET</t>
  </si>
  <si>
    <t>BENITO JUAREZ NUM. 8</t>
  </si>
  <si>
    <t>11DJN2915T - SANTOS DEGOLLADO</t>
  </si>
  <si>
    <t>RINCON DE SAN PEDRO NUM. 101-A</t>
  </si>
  <si>
    <t>11DJN3720N - ROSAURA ZAPATA CANO</t>
  </si>
  <si>
    <t>LOS CONEJOS</t>
  </si>
  <si>
    <t>11DJN3757A - NEZAHUALCOYOTL</t>
  </si>
  <si>
    <t>CALLE VALLE DEL TORO NUMERO EXTERIOR: 106 , FRACCIONAMIENTO VILLA</t>
  </si>
  <si>
    <t>11DJN4061A - BENITO JUAREZ</t>
  </si>
  <si>
    <t>ORQUIDEAS NUM. 301</t>
  </si>
  <si>
    <t>11DJN4126U - IGNACIO COMONFORT</t>
  </si>
  <si>
    <t>CALLE HIDALGO NUMERO EXTERIOR: 5 , RANCHERIA EL PITAHAYO, CODIGO</t>
  </si>
  <si>
    <t>11DJN4195Q - OCTAVIO PAZ</t>
  </si>
  <si>
    <t>TARANDACUAO NUM. 134</t>
  </si>
  <si>
    <t>11DJN4274C - MARIA MONTESSORI</t>
  </si>
  <si>
    <t>LOS ANGELES DE ARRIBA</t>
  </si>
  <si>
    <t>FARMACIA ISSEG F-026</t>
  </si>
  <si>
    <t>AV. HIDALGO # 105 CENTRO SALAMANCA 36700</t>
  </si>
  <si>
    <t>11DPR0843T - VENUSTIANO CARRANZA</t>
  </si>
  <si>
    <t>XOLOTL S/N</t>
  </si>
  <si>
    <t>11DPR0842U - NIÑOS HEROES</t>
  </si>
  <si>
    <t>RIO MADONTE 300 NUM. 300</t>
  </si>
  <si>
    <t>11DPR0848O - LIC. BENITO JUAREZ</t>
  </si>
  <si>
    <t>ARBOL GRANDE S/N</t>
  </si>
  <si>
    <t>11DPR0904Q - MIGUEL HIDALGO</t>
  </si>
  <si>
    <t>CALLE INDEPENDENCIA NUMERO EXTERIOR: 500 , COLONIA SALAMANCA CENT</t>
  </si>
  <si>
    <t>11DPR1933S - EL PIPILA</t>
  </si>
  <si>
    <t>LABORES S/N</t>
  </si>
  <si>
    <t>11DPR1770Y - ANDRES DELGADO</t>
  </si>
  <si>
    <t>IRAPUATO S/N</t>
  </si>
  <si>
    <t>11DPR2588F - XIDOO</t>
  </si>
  <si>
    <t>PROLONGACION PROLONGACION GUERRERO S/N</t>
  </si>
  <si>
    <t>11DPR2670F - VICENTE GUERRERO</t>
  </si>
  <si>
    <t>CALLE SOR JUANA INES DE LA CRUZ NUMERO EXTERIOR: 200 , COLONIA LO</t>
  </si>
  <si>
    <t>11DPR3429Y - EDUARDO SOTO INNES</t>
  </si>
  <si>
    <t>TENIXTEPEC S/N</t>
  </si>
  <si>
    <t>11DPR3445P - IGNACIO ZARAGOZA</t>
  </si>
  <si>
    <t>SAN JUDAS TADEO S/N</t>
  </si>
  <si>
    <t>11DPR3451Z - 18 DE MARZO</t>
  </si>
  <si>
    <t>SOR JUANA INES DE LA CRUZ NUM. 900</t>
  </si>
  <si>
    <t>CINERGIA UG</t>
  </si>
  <si>
    <t>Ciudad universitaria No. 112, Comunidad de San Rafael de Uruétaro, 36880 Salamanca, Gto.</t>
  </si>
  <si>
    <t>11DPR3630L - LUIS G. ARAUJO</t>
  </si>
  <si>
    <t>ROGELIO GUTIERREZ NUM. 114</t>
  </si>
  <si>
    <t>11DPR3665A - BARTOLOME SANCHEZ TORRADO</t>
  </si>
  <si>
    <t>JAIME NUNO NUM. 600</t>
  </si>
  <si>
    <t>11DPR3710X - LA INDEPENDENCIA DE MEXICO</t>
  </si>
  <si>
    <t>ESTADO DE CAMPECHE NUM. 300</t>
  </si>
  <si>
    <t>11DPR3723A - PEDRO GONZALEZ</t>
  </si>
  <si>
    <t>ENERO NUM. 806</t>
  </si>
  <si>
    <t>11DPR3785N - 21 DE MARZO</t>
  </si>
  <si>
    <t>COMUNICACION PONIENTE NUM. 805</t>
  </si>
  <si>
    <t>11DST0007H - SECUNDARIA TECNICA NUM. 7</t>
  </si>
  <si>
    <t>RUBEN DARIO S/N ATRAS IMSS, ESQ. CALLE PLURIPARTIDISTA</t>
  </si>
  <si>
    <t>11DST0054S - SECUNDARIA TECNICA NUM. 38</t>
  </si>
  <si>
    <t>AVENIDA VALLE DE SANTIAGO NUMERO EXTERIOR: 1929 , COLONIA BENITO</t>
  </si>
  <si>
    <t>11EST0011T - 18 DE MARZO</t>
  </si>
  <si>
    <t>OBREGON NUM. 426 FRENTE A TEMPLO SAN ANTONIO DE PADUA</t>
  </si>
  <si>
    <t>11EJN0004H - NARCISO MENDOZA</t>
  </si>
  <si>
    <t>FRACCIONAMIENTO JOYAS DEL SUR S/N</t>
  </si>
  <si>
    <t>11EJN0024V - FRIDA KAHLO CALDERON</t>
  </si>
  <si>
    <t>SAN BERNARDO S/N</t>
  </si>
  <si>
    <t>11EJN0045H - MARIA ENRIQUETA</t>
  </si>
  <si>
    <t>PIRUL NUM. 112</t>
  </si>
  <si>
    <t>FARMACIA ISSEG F-098</t>
  </si>
  <si>
    <t>EZEQUIEL ORDOÑEZ 403-303, COLONIA BELLAVISTA, C.P. 36730, SALAMANCA GTO.</t>
  </si>
  <si>
    <t>11EJN0292Q - MAESTRA ELENA TORRES CUELLAR</t>
  </si>
  <si>
    <t>GREMIOS NUM. 156</t>
  </si>
  <si>
    <t>11EJN0419F - MARIA GUADALUPE CONTRERAS MORALES</t>
  </si>
  <si>
    <t>CALLE SERAFINES NUMERO EXTERIOR: SN, COLONIA AMPLIACION LA GLORIA</t>
  </si>
  <si>
    <t>11EJN0869J - SAKAY</t>
  </si>
  <si>
    <t>CALLE AGUSTIN MELGAR NUMERO EXTERIOR: 1 , COLONIA SUBURBANA LOS A</t>
  </si>
  <si>
    <t>11EJN1188L - 2004 AÑO DE LA EDUCACION PREESCOLAR OBLIGATORIA</t>
  </si>
  <si>
    <t>LUIS DE VELAZCO ORIENTE NUM. 102</t>
  </si>
  <si>
    <t>11EPR0253E - FRANCISCO I. MADERO</t>
  </si>
  <si>
    <t>PIRUL NUM. 200</t>
  </si>
  <si>
    <t>11EPR0258Z - 15 DE SEPTIEMBRE</t>
  </si>
  <si>
    <t>AVENIDA JUAREZ NUM. 1198-A</t>
  </si>
  <si>
    <t>11EPR0260O - CENTRO ESCOLAR PEMEX NUM. 2</t>
  </si>
  <si>
    <t>CALLE EMILIO CARRANZA NUMERO EXTERIOR: 425 , COLONIA SALAMANCA CE</t>
  </si>
  <si>
    <t>11EPR0468E - HIMNO NACIONAL</t>
  </si>
  <si>
    <t>PROLONGACION AVENIDA SALAMANCA</t>
  </si>
  <si>
    <t>11EPR0470T - CLUB DE LEONES</t>
  </si>
  <si>
    <t>LAURELES</t>
  </si>
  <si>
    <t>11EPR0473Q - MA. GUADALUPE ARROYO</t>
  </si>
  <si>
    <t>CALLE MONTERREY NUMERO EXTERIOR: 338 , COLONIA SALAMANCA CENTRO,</t>
  </si>
  <si>
    <t>11EPR0809L - PROFESOR PRIMITIVO SOTO</t>
  </si>
  <si>
    <t>NICOLAS CANO NUM. 135</t>
  </si>
  <si>
    <t>11EPR0810A - NARCISO MENDOZA</t>
  </si>
  <si>
    <t>EFREN SANCHEZ NUM. 201</t>
  </si>
  <si>
    <t>11EPR0860I - SOLIDARIDAD</t>
  </si>
  <si>
    <t>CALLE SERAFINES NUMERO EXTERIOR: 515 , COLONIA LA GLORIA, CODIGO</t>
  </si>
  <si>
    <t>FARMACIA ISSEG F123</t>
  </si>
  <si>
    <t>AV. FAJA DE ORO 800 EDIFICIO MORELOS ANTIGUO BARRIO SAN ROQUE</t>
  </si>
  <si>
    <t>REGISTRO PÚBLICO DE LA PROPIEDAD Y DE COMERCIO (OLT)</t>
  </si>
  <si>
    <t>LÁZARO CÁRDENAS 600, COLONIA TAMAULIPAS, C.P. 36700, SALAMANCA, GTO.</t>
  </si>
  <si>
    <t>11DJN4614K - CARLOS FUENTES</t>
  </si>
  <si>
    <t>ROSARIO CASTELLANOS NUM. SN</t>
  </si>
  <si>
    <t>11DES0129Z - HEROES SALMANTINOS</t>
  </si>
  <si>
    <t>CALLE LEON NUMERO EXTERIOR: 1110 , COLONIA CONSTELACION, CODIGO P</t>
  </si>
  <si>
    <t>11DCN0004Z - CENTRO DE ESTUDIOS TECNOLOGICOS EN AGUAS CONTINENTALES NUM. 14, SALAMANCA, GUANAJUATO</t>
  </si>
  <si>
    <t>MÉXICO 45 KM 90, 36782, SALAMANCA, GTO</t>
  </si>
  <si>
    <t>11ETK0360G - TELEBACHILLERATO COMUNITARIO SALAMANCA, LA LUZ LA CAL</t>
  </si>
  <si>
    <t>CALLE MIGUEL HIDALGO, NO. 200</t>
  </si>
  <si>
    <t>FARMACIA ISSEG F215</t>
  </si>
  <si>
    <t>AV. VALLE DE SANTIAGO 720 A. GUANAJUATO</t>
  </si>
  <si>
    <t>FARMACIA ISSEG F223</t>
  </si>
  <si>
    <t>COMUNICACIÓN NORTE 110 UNIDAD HABITACIONAL RENOVACIÓN</t>
  </si>
  <si>
    <t>SECRETARÍA DE ECONOMIA SALAMANCA</t>
  </si>
  <si>
    <t>MORELOS 405, CENTRO, SALAMANCA, 36700</t>
  </si>
  <si>
    <t>OFICIALIA DEL REGISTRO CIVIL</t>
  </si>
  <si>
    <t>C. REVOLUCIÓN 103-ALTOS, CENTRO, 36700</t>
  </si>
  <si>
    <t>MODULO DE ATENCIÓN SALAMANCA CASA DEL JUBILADO</t>
  </si>
  <si>
    <t>AV. DE LOS DEPORTES 504, EL DEPORTIVO, 36700 SALAMANCA, GTO.</t>
  </si>
  <si>
    <t>OFICIALIA DEL REGISTRO CIVIL BUGAMBILIAS</t>
  </si>
  <si>
    <t>JAVIER DE BURGOS NO. 510 FRACC. BUGAMBILIAS, SALAMANCA - CP. 36700</t>
  </si>
  <si>
    <t>11ETC0007F - COLEGIO DE ESTUDIOS CIENTIFICOS Y TECNOLOGICOS DEL ESTADO DE GUANAJUATO PLANTEL SALAMANCA</t>
  </si>
  <si>
    <t>JUNIO 819, CONSTELACIÓN 3679, SALAMANCA, GTO.</t>
  </si>
  <si>
    <t>11DPT0015T - PLANTEL CONALEP 321. SALAMANCA</t>
  </si>
  <si>
    <t>AVE. CONALEP # 210, COLONIA SAN RAFAEL DE URUÉTARO. C. P. 36886, SALAMANCA, GTO.</t>
  </si>
  <si>
    <t>CAISES SALAMANCA</t>
  </si>
  <si>
    <t>VALLE DE SANTIAGO - AV. VALLE DE SANTIAGO S/N</t>
  </si>
  <si>
    <t>UMAPS JARDINES DEL SOL</t>
  </si>
  <si>
    <t>MATAMOROS - MATAMOROS 1417</t>
  </si>
  <si>
    <t>CENTRO ESTATAL DE CUIDADOS CRITICOS SALAMANCA</t>
  </si>
  <si>
    <t>TELOCUTLA ESQUINA CON ÁRBOL GRANDE - TELOCUTLA ESQUINA CON ÁRBOL GRANDE, COL. BELLA VISTA</t>
  </si>
  <si>
    <t>HOSPITAL GENERAL DE SALAMANCA</t>
  </si>
  <si>
    <t>DE LOS DEPORTES - AVENIDA DE LOS DEPORTES 515 FRACCIONAMIENTO EL DEPORTIVO, SALAMANCA, GTO.</t>
  </si>
  <si>
    <t>UMAPS LAZARO CARDENAS</t>
  </si>
  <si>
    <t>PRINCIPAL FUERA DE LA COLONIA - CALLE PRINCIPAL FUERA DE LA COLONIA S/N</t>
  </si>
  <si>
    <t>SAN JAVIER</t>
  </si>
  <si>
    <t>CALLE DEL SANTUARIO S/N, COL. SAN JAVIER, SALAMANCA, GTO.</t>
  </si>
  <si>
    <t>LA GLORIA</t>
  </si>
  <si>
    <t>CALLE LA GLORIA # 904, COL. LA GLORIA, SALAMANCA GTO.</t>
  </si>
  <si>
    <t>11ETH0135W - BACHILLERATO SABES 18 DE MARZO - SALAMANCA</t>
  </si>
  <si>
    <t>CALLE ESTADO DE JALISCO, NO. 113</t>
  </si>
  <si>
    <t>11ETH0136V - BACHILLERATO SABES LAS REYNAS</t>
  </si>
  <si>
    <t>NINGUNO PADRE RAFAEL GARCILITA, NO. 115</t>
  </si>
  <si>
    <t>FARMACIA ISSEG F143</t>
  </si>
  <si>
    <t>HIDALGO 404, CENTRO, SALAMANCA, GTO.</t>
  </si>
  <si>
    <t xml:space="preserve"> COLONIA DEPORTIVO</t>
  </si>
  <si>
    <t xml:space="preserve"> COLONIA EL DURAZNO</t>
  </si>
  <si>
    <t xml:space="preserve"> COLONIA VILLAS DEL VALLE</t>
  </si>
  <si>
    <t xml:space="preserve"> COLONIA EL MONTE</t>
  </si>
  <si>
    <t xml:space="preserve"> COLONIA SALAMANCA CENTRO</t>
  </si>
  <si>
    <t xml:space="preserve"> COLONIA BELLAVISTA</t>
  </si>
  <si>
    <t xml:space="preserve"> COLONIA SAN GONZALO</t>
  </si>
  <si>
    <t xml:space="preserve"> COLONIA SAN JUAN CHIHUAHUA</t>
  </si>
  <si>
    <t xml:space="preserve"> COLONIA ALAMOS</t>
  </si>
  <si>
    <t xml:space="preserve"> COLONIA INFONAVIT I</t>
  </si>
  <si>
    <t xml:space="preserve"> COLONIA HUMANISTA</t>
  </si>
  <si>
    <t xml:space="preserve"> COLONIA CONTRIBUYENTES</t>
  </si>
  <si>
    <t xml:space="preserve"> COLONIA JARDINES DEL SOL</t>
  </si>
  <si>
    <t xml:space="preserve"> COLONIA LA LUZ</t>
  </si>
  <si>
    <t xml:space="preserve"> COLONIA SAN JAVIER</t>
  </si>
  <si>
    <t xml:space="preserve"> COLONIA SAN JUAN DE RAZOS</t>
  </si>
  <si>
    <t xml:space="preserve"> COLONIA LA CRUZ</t>
  </si>
  <si>
    <t xml:space="preserve"> COLONIA INFONAVIT II</t>
  </si>
  <si>
    <t xml:space="preserve"> COLONIA SAN NICOLAS DE URUETARO</t>
  </si>
  <si>
    <t>COLONIA VILLAS DEL VALLE</t>
  </si>
  <si>
    <t xml:space="preserve"> COLONIA SAN JOSE CODOGO</t>
  </si>
  <si>
    <t>COMUNIDAD EL PITAHAYO</t>
  </si>
  <si>
    <t xml:space="preserve"> COLONIA DEL PARQUE 3ª SECCION</t>
  </si>
  <si>
    <t xml:space="preserve"> COLONIA RANCHERIA LOS ANGELES DE ARRIBA</t>
  </si>
  <si>
    <t xml:space="preserve"> COLONIA EL PARAISO SECCION 2</t>
  </si>
  <si>
    <t xml:space="preserve"> COLONIA SAN JUAN DE LA PRESA</t>
  </si>
  <si>
    <t xml:space="preserve"> COMUNIDAD DE SAN RAFAEL DE URUÉTARO</t>
  </si>
  <si>
    <t xml:space="preserve"> COLONIA SAN JOSE</t>
  </si>
  <si>
    <t xml:space="preserve"> COLONIA 18 DE MARZO</t>
  </si>
  <si>
    <t xml:space="preserve"> COLONIA OLIMPO</t>
  </si>
  <si>
    <t xml:space="preserve"> COLONIA LAS JOYAS DEL SUR</t>
  </si>
  <si>
    <t xml:space="preserve"> COLONIA EL BELEM</t>
  </si>
  <si>
    <t xml:space="preserve"> COLONIA VILLARREAL</t>
  </si>
  <si>
    <t>COLONIA INFONAVIT I</t>
  </si>
  <si>
    <t xml:space="preserve"> COLONIA AMPLIACION LA GLORIA</t>
  </si>
  <si>
    <t xml:space="preserve"> COLONIA SUBURBANA LOS ANGELES DE ABAJO</t>
  </si>
  <si>
    <t xml:space="preserve"> COLONIA LOS VIRREYES I</t>
  </si>
  <si>
    <t xml:space="preserve"> COLONIA NATIVITAS</t>
  </si>
  <si>
    <t xml:space="preserve"> COLONIA CONSTITUYENTES</t>
  </si>
  <si>
    <t xml:space="preserve"> COLONIA HUMANISTA 1</t>
  </si>
  <si>
    <t xml:space="preserve"> COLONIA LA GLORIA</t>
  </si>
  <si>
    <t xml:space="preserve"> COLONIA TAMAULIPAS</t>
  </si>
  <si>
    <t xml:space="preserve"> COLONIA CONSTELACION</t>
  </si>
  <si>
    <t xml:space="preserve"> COMUNIDAD SAN JUAN DE RAZOS</t>
  </si>
  <si>
    <t xml:space="preserve"> COLONIA RENOVACIÓN</t>
  </si>
  <si>
    <t xml:space="preserve"> COLONIA EL DEPORTIVO</t>
  </si>
  <si>
    <t xml:space="preserve"> COLONIA BUGAMBILIAS</t>
  </si>
  <si>
    <t xml:space="preserve"> COLONIA CONSTELACIÓN 3679</t>
  </si>
  <si>
    <t>COMUNIDAD SAN NICOLAS DE URUETARO</t>
  </si>
  <si>
    <t xml:space="preserve"> COLONIA JUAREZ</t>
  </si>
  <si>
    <t>COLONIA JARDINES DEL SOL</t>
  </si>
  <si>
    <t xml:space="preserve">COLONIA DEPORTIVO </t>
  </si>
  <si>
    <t xml:space="preserve"> COLONIA EL MOLINO II</t>
  </si>
  <si>
    <t>CANCHA DE USOS MÚLTIPLES LOMAS DE MARFIL</t>
  </si>
  <si>
    <t>LOMAS DE MARFIL</t>
  </si>
  <si>
    <t>GUANAJUATO</t>
  </si>
  <si>
    <t>CANCHA DE USOS MÚLTIPLES LAS TERESAS</t>
  </si>
  <si>
    <t>FRACC. EX HACIENDA LS TERESAS</t>
  </si>
  <si>
    <t>EX ESTACIÓN DEL FERROCARRIL</t>
  </si>
  <si>
    <t>ZONA CENTRO, 36000 GUANAJUATO, GTO.</t>
  </si>
  <si>
    <t>ZONA CERRO DEL GALLO (PIPILA)</t>
  </si>
  <si>
    <t>CERRO DE SAN MIGUEL S/N, ZONA CENTRO, 36000 GUANAJUATO, GTO.</t>
  </si>
  <si>
    <t>UNIDAD DEPORTIVA TORRES LANDA</t>
  </si>
  <si>
    <t>ZONA NORIA ALTA</t>
  </si>
  <si>
    <t>UNIDAD DEPORTIVA ARNULFO VÁZQUEZ NIETO</t>
  </si>
  <si>
    <t>MEZQUITE MOCHO, ARROYO VERDE, 36251 MARFIL, GTO.</t>
  </si>
  <si>
    <t>OFICINA DE ATENCION ISSEG</t>
  </si>
  <si>
    <t>POZUELOS, COMPLEJO ADMINISTRATIVO POZUELOS, 36089</t>
  </si>
  <si>
    <t>CENTRO DE INVESTIGACIÓN EN MATEMATICAS A.C.</t>
  </si>
  <si>
    <t>JALISCO S/N, COL. VALENCIANA, GUANAJUATO, GTO.</t>
  </si>
  <si>
    <t>ESTACIONAMIENTO SAN PEDRO</t>
  </si>
  <si>
    <t>SOSTENES ROCHA NO. 35, CENTRO GUANAJUATO C.P. 36000</t>
  </si>
  <si>
    <t>DIRECCION GENERAL DEL REGISTRO CIVIL</t>
  </si>
  <si>
    <t>CARR. GUANAJUATO-JUVENTINO ROSAS 9.5 CONJUNTO ADMINISTRATIVO, 36259, YERBABUENA GTO</t>
  </si>
  <si>
    <t>FARMACIA ISSEG F089</t>
  </si>
  <si>
    <t>CARR. GUANAJUATO - JUVENTINO ROSAS KM. 7.5, LOC. 3 (EL ESTABLO) YERBABUENA GUANAJUATO 36259</t>
  </si>
  <si>
    <t>FARMACIA ISSEG F100</t>
  </si>
  <si>
    <t>PASEO DE LA PRESA # 091 - BAJOS CENTRO GUANAJUATO 36000</t>
  </si>
  <si>
    <t>FARMACIA ISSEG F102</t>
  </si>
  <si>
    <t>CARR. CUOTA GUANAJUATO - SILAO KM. 555 S/N BUROCRATAS GUANAJUATO 36250</t>
  </si>
  <si>
    <t>FARMACIA ISSEG 070</t>
  </si>
  <si>
    <t>GTA. SAN CLEMENTE NÚM. 8, LA GUALDRA, GUANAJUATO, GTO. CP 36000</t>
  </si>
  <si>
    <t>FARMACIA ISSEG F219</t>
  </si>
  <si>
    <t>AV. SANTA FE # 89 BARRIO DE CERVERA GUANAJUATO 36250</t>
  </si>
  <si>
    <t>OFICINAS CENTRALES ISSEG</t>
  </si>
  <si>
    <t>CARR. GUANAJUATO-JUVENTINO ROSAS KM. 10, YERBABUENA, 36250</t>
  </si>
  <si>
    <t>11EJN1232I - JARDIN DE NIÑOS</t>
  </si>
  <si>
    <t>BOULEVARD GUANAJUATO NUM. 98 FRENTE A LA COMISION FEDERAL DE ELEC</t>
  </si>
  <si>
    <t>11DPR3581T - LIC. EUQUERIO GUERRERO LOPEZ</t>
  </si>
  <si>
    <t>CALLE ALONSO QUIJANO NUMERO EXTERIOR: SN,COLONIA LAS TERESAS, COD</t>
  </si>
  <si>
    <t>11DES0021I - GUADALUPE VICTORIA</t>
  </si>
  <si>
    <t>AVENIDA CERRO TROZADO NUMERO EXTERIOR: 54 , COLONIA PUEBLITO DE R</t>
  </si>
  <si>
    <t>11DES0091D - QUANAX-HUATO</t>
  </si>
  <si>
    <t>PASEO MADERO NUM. SN FRENTE AL JARDIN EMBAJADORAS</t>
  </si>
  <si>
    <t>11DJN0072F - MA. CONCEPCION DOVALINA</t>
  </si>
  <si>
    <t>PIPILA S/N PRIV. SAN MATIAS</t>
  </si>
  <si>
    <t>11DJN0088G - PROFR. EDUARDO ZARZA OCAMPO</t>
  </si>
  <si>
    <t>PASTITA NUM. 156 SALIDA A LA CARR. PANORAMICA</t>
  </si>
  <si>
    <t>11DJN0260Z - DIEGO RIVERA</t>
  </si>
  <si>
    <t>CALLE CERRO TROZADO NUMERO EXTERIOR: 54 , COLONIA PUEBLITO DE ROC</t>
  </si>
  <si>
    <t>11DJN0268R - PROFRA. ELISA LOPEZ LOPEZ</t>
  </si>
  <si>
    <t>BOULEVARD CONJUNTO ADMINISTRATIVO POZUELOS S/N A UN LADO DE LA ME</t>
  </si>
  <si>
    <t>11DJN0313N - RAMON LOPEZ VELARDE</t>
  </si>
  <si>
    <t>LA YERBABUENA ATRAS DE LA PARROQUIA DE LA COMUNIDAD</t>
  </si>
  <si>
    <t>11DJN3105A - PROFRA. BEATRIZ ORDOÑEZ ACUÑA</t>
  </si>
  <si>
    <t>LAS TERESAS A UN LADO DE LA PRIMARIA</t>
  </si>
  <si>
    <t>11DJN4199M - DAVID ALFARO SIQUEIROS</t>
  </si>
  <si>
    <t>TIRO CAPULIN S/N</t>
  </si>
  <si>
    <t>11DJN4227S - DRA. LAURA ROTTER HERNANDEZ</t>
  </si>
  <si>
    <t>LAS BATEAS</t>
  </si>
  <si>
    <t>11DPR2065Z - ELISA BAZ DE ARMIDA</t>
  </si>
  <si>
    <t>CERRO DEL GALLO S/N</t>
  </si>
  <si>
    <t>11DPR1551L - VICENTE GUERRERO</t>
  </si>
  <si>
    <t>YERBABUENA AUN LADO DE LA TELESECUNDARIA</t>
  </si>
  <si>
    <t>11DPR1758C - 22 DE ABRIL</t>
  </si>
  <si>
    <t>CALLE CAMINO CARRETERO NUMERO EXTERIOR: 18 -BIS, COLONIA EL CARR</t>
  </si>
  <si>
    <t>11DPR1756E - LUIS GONZALEZ OBREGON</t>
  </si>
  <si>
    <t>JARDIN JARDIN EMBAJADORAS-PASEO MADERO S/N A UN LADO DE LA SEC. G</t>
  </si>
  <si>
    <t>11DPR1625M - GENERAL SOSTENES ROCHA</t>
  </si>
  <si>
    <t>JALAPITA S/N PUENTE MARLBORO</t>
  </si>
  <si>
    <t>11DPR1827I - INSURGENTE PIPILA</t>
  </si>
  <si>
    <t>PUEBLITO DE ROCHA NUM. 54-BIS CENTRO DE CONVIVENCIA EL ENCINO</t>
  </si>
  <si>
    <t>11DPR1932T - JUAN B DIOSDADO</t>
  </si>
  <si>
    <t>CALLE GUALDRA NUMERO EXTERIOR: 3 , COLONIA LA GUALDRA, CODIGO POS</t>
  </si>
  <si>
    <t>11DES0096Z - IGNACIO RAMIREZ</t>
  </si>
  <si>
    <t>CALLE LOMAS DE SAN MIGUEL NUMERO EXTERIOR: 1 , FRACCIONAMIENTO LO</t>
  </si>
  <si>
    <t>11DPR3808H - JUAN BAUTISTA MORALES</t>
  </si>
  <si>
    <t>NAPOLEON GOMEZ SADA S/N</t>
  </si>
  <si>
    <t>11DST0051V - SECUNDARIA TECNICA NUM. 34</t>
  </si>
  <si>
    <t>CALLE CAMINO A LA ALDANA NUMERO EXTERIOR: SN, COLONIA PUEBLITO DE</t>
  </si>
  <si>
    <t>11DST0075E - SECUNDARIA TECNICA NUM. 52</t>
  </si>
  <si>
    <t>CALLE SANCHO PANZA NUMERO EXTERIOR: 10 , COLONIA LAS TERESAS, COD</t>
  </si>
  <si>
    <t>11EJN0189D - JOSE VASCONCELOS</t>
  </si>
  <si>
    <t>CALLE CHIAPAS NUMERO EXTERIOR: SN, COLONIA ENCINO, CODIGO POSTAL</t>
  </si>
  <si>
    <t>11EJN0002J - ROSAURA ZAPATA</t>
  </si>
  <si>
    <t>MUNICIPIO LIBRE FTE. A INSTALACIONES DEPORTIVAS DE LA UG</t>
  </si>
  <si>
    <t>11EJN0094Q - MARIA MONTESSORI</t>
  </si>
  <si>
    <t>ANTIGUO CAMINO MINERO S/N</t>
  </si>
  <si>
    <t>11EJN0211P - PIERRE FAURE</t>
  </si>
  <si>
    <t>NORIA ALTA S/N SECCION 6 EDIFICIO 29-A, ATRAS DE LA FACULTAD DE Q</t>
  </si>
  <si>
    <t>11EJN0234Z - GREGORIO TORRES QUINTERO</t>
  </si>
  <si>
    <t>CAMINO CAMINO VIEJO A LA ALDANA S/N ATRAS DE LA PLAZA DE TOROS</t>
  </si>
  <si>
    <t>11EJN0394N - ESPERANZA LOPEZ LOPEZ</t>
  </si>
  <si>
    <t>JAZMIN S/N ATRAS DE LA UNIVERSIDAD DE LEON</t>
  </si>
  <si>
    <t>11EJN0420V - ELENA TORRES CUELLAR</t>
  </si>
  <si>
    <t>MORELOS S/N</t>
  </si>
  <si>
    <t>11EPR0044Z - MA. CONCEPCION AMEZQUITA</t>
  </si>
  <si>
    <t>CARRETERA PANORAMICA CARRIZO</t>
  </si>
  <si>
    <t>11EPR0110H - MTRO. JUSTO SIERRA</t>
  </si>
  <si>
    <t>PUEBLITO DE ROCHA S/N A UN ALDO DEL LA PRIMARIA "INSURGENTE PIPIL</t>
  </si>
  <si>
    <t>11EPR0112F - MAESTRO JUAN B. DIOSDADO</t>
  </si>
  <si>
    <t>CALLE SOSTENES ROCHA NUMERO EXTERIOR: 33 AUN COSTADO DEL TEATRO</t>
  </si>
  <si>
    <t>11EPR0115C - BENITO JUAREZ</t>
  </si>
  <si>
    <t>CALLE CONSTANCIA NUMERO EXTERIOR: 1 DETRAS DEL TEMPLO DE SAN DIE</t>
  </si>
  <si>
    <t>DIRECCIÓN GENERAL DE RECURSOS HUMANOS DE LA SECRETARIA DE SALUD</t>
  </si>
  <si>
    <t>CARR A PUENTECILLAS S/N, 36259 FRACCIONAMIENTO COLONIAL GUANAJUATO, GTO.</t>
  </si>
  <si>
    <t>11EES0148N - CENTRO EDUCACIONAL PILOTO</t>
  </si>
  <si>
    <t>CALLE DE LOS PINOS NUMERO EXTERIOR: SN, COLONIA SANTA FE, CODIGO</t>
  </si>
  <si>
    <t>11ETV0575M - LEONARDO DA VINCI</t>
  </si>
  <si>
    <t>DE LOS CORRALES S/N</t>
  </si>
  <si>
    <t>11DJN0266T - JAIME TORRES BODET</t>
  </si>
  <si>
    <t>PRIVADA DOCTOR J. JESUS RODRIGUEZ GAONA NUMERO EXTERIOR: SN, FRAC</t>
  </si>
  <si>
    <t>11DPR3985L - INDEPENDENCIA</t>
  </si>
  <si>
    <t>CALLE GUADALUPE VICTORIA NUMERO EXTERIOR: 74 A, COLONIA LOMAS DE</t>
  </si>
  <si>
    <t>11DES0025E - JORGE IBARGÜENGOITIA</t>
  </si>
  <si>
    <t>CALLE BELLO AMANECER NUMERO EXTERIOR: 25 A, COLONIA CUPULAS, COD</t>
  </si>
  <si>
    <t>11EES0118T- PRESIDENTE BENITO JUAREZ</t>
  </si>
  <si>
    <t>PASTITA S/N</t>
  </si>
  <si>
    <t>11DPR1769I - IGNACIO ALLENDE</t>
  </si>
  <si>
    <t>CARRETERA PANORAMICA TRAMO PRESA DE LA OLLA - ESC. NORMAL</t>
  </si>
  <si>
    <t>11DPR1554I - AMADO NERVO</t>
  </si>
  <si>
    <t>VALENCIANA</t>
  </si>
  <si>
    <t>11ETV0093G - TELESECUNDARIA NUM . 93</t>
  </si>
  <si>
    <t>CALLE VALENCIANA NUMERO EXTERIOR: SN, CONGREGACION VALENCIANA, CO</t>
  </si>
  <si>
    <t>11DJN0311P - ING PONCIANO AGUILAR</t>
  </si>
  <si>
    <t>CARRETERA PANORAMICA TRAMO MELLADO RUMBO A MINA DE RAYAS</t>
  </si>
  <si>
    <t>11DPR2027X MOISES SÁENZ "FEDERAL 7"</t>
  </si>
  <si>
    <t>PASEO DE LA PRESA # 34, BARRIO DE LA PRESA, C.P. 36000 GUANAJUATO, GTO.</t>
  </si>
  <si>
    <t>11ETV0261M - SOR JUANA INES DE LA CRUZ</t>
  </si>
  <si>
    <t>PLATEROS NUM. 2 FRACC. LAS PALMAS CERRO DEL CUARTO</t>
  </si>
  <si>
    <t>SECRETARIA DE EDUCACION DE GUANAJUATO</t>
  </si>
  <si>
    <t>POZUELOS SUPERMANZANA CIRCUITO SUPERIOR, 5, COMPLEJO ADMINISTRATIVO POZUELOS, 36080</t>
  </si>
  <si>
    <t>SECRETARIA DE MEDIO AMBIENTE Y ORDENAMIENTO TERRITORIAL</t>
  </si>
  <si>
    <t>CAMINO ALDANA, 12, PUEBLITO DE ROCHA, 36040</t>
  </si>
  <si>
    <t>COMISIÓN ESTATAL DEL AGUA DE GUANAJUATO</t>
  </si>
  <si>
    <t>AUTOPISTA GUANAJUATO - SILAO, KM. 1, LOS ALCALDES, 36255</t>
  </si>
  <si>
    <t>COORDINACIÓN GENERAL DE COMUNICACIÓN SOCIAL</t>
  </si>
  <si>
    <t>PASEO DE LA PRESA 113</t>
  </si>
  <si>
    <t>COORDINACIÓN GENERAL JURÍDICA</t>
  </si>
  <si>
    <t>BOULEVARD GUANAJUATO, , POZUELOS, 36089</t>
  </si>
  <si>
    <t>COMISION DEL DEPORTE DEL ESTADO DE GUANAJUATO (POLI-DEPORTIVO)</t>
  </si>
  <si>
    <t>BUROCRATA, , MARFIL, 36251</t>
  </si>
  <si>
    <t>SISTEMA ESTATAL PARA EL DESARROLLO INTEGRAL DE LA FAMILIA MARFIL</t>
  </si>
  <si>
    <t>CALLE ACCESO A LA NUEVA CENTRAL DE AUTOBUSES Y CARRETERA DE CUOTA GUANAJUATO-SILAO, MARFIL, 36250</t>
  </si>
  <si>
    <t>DIF ESTATAL</t>
  </si>
  <si>
    <t>SECRETARIA DE FINANZAS</t>
  </si>
  <si>
    <t>PASEO DE LA PRESA # 172, ZONA CENTRO, C.P. 36000, GUANAJUATO, GTO.</t>
  </si>
  <si>
    <t>MACROCENTRO 1, CENTRO ACUATICO</t>
  </si>
  <si>
    <t>CARRETARA DE GUANAJUATO A DOLORES HIDALGO KM 1.5, VALENCIANA, 36240. GUANAJUATO,GTO</t>
  </si>
  <si>
    <t>CALLEJÓN DEL CHAN, NÚMERO 42 Y 43, ZONA CENTRO, 36000</t>
  </si>
  <si>
    <t>SISTEMA ESTATAL PARA EL DESARROLLO INTEGRAL DE LA FAMILIA SAN GABRIEL DE BARRERA</t>
  </si>
  <si>
    <t>EXHACIENDA SAN GABRIEL DE BARRERA CARRETERA GUANAJUATO-MARFIL, KILÓMETRO 2.5, MARFIL, 36000</t>
  </si>
  <si>
    <t>OFICINAS CENTRALES DIF</t>
  </si>
  <si>
    <t>PASEO DE LA PRESA, 89-A, ZONA CENTRO, 36000</t>
  </si>
  <si>
    <t>SISTEMA ESTATAL PARA EL DESARROLLO INTEGRAL DE LA FAMILIA CAPILLAS</t>
  </si>
  <si>
    <t>INSURGENCIA, 17, ZONA CENTRO, 36000</t>
  </si>
  <si>
    <t>SEDESHU ADMINISTRATIVO</t>
  </si>
  <si>
    <t>CARRETERA A JUVENTINO ROSAS, KILÓMETRO 9.5, C.P. 36250, GUANAJUATO, GTO.</t>
  </si>
  <si>
    <t>AREA DE TRANSPORTES DIF ESTATAL</t>
  </si>
  <si>
    <t>SECRETARÍA DE FINANZAS DGRMSG (DIRECCION GENERAL DE RECURSOS MATERIALES)</t>
  </si>
  <si>
    <t>SIPINNA GUANAJUATO</t>
  </si>
  <si>
    <t>PASEO DE LA PRESA 87, ZONA CENTRO, C.P. 36000, GUANAJUATO, GTO.</t>
  </si>
  <si>
    <t>MUSEO DE ARTE OLGA COSTA - JOSE TOMAS CHAVEZ MORADO</t>
  </si>
  <si>
    <t>PASTITA, 158, CENTRO, 36000</t>
  </si>
  <si>
    <t>INSTITUTO ESTATAL DE CAPACITACIÓN PLANTEL DE GUANAJUATO</t>
  </si>
  <si>
    <t>CONJUNTO ADMINISTRATIVO POZUELOS, , POZUELOS, 36000</t>
  </si>
  <si>
    <t>PALACIO DE GOBIERNO DEL ESTADO DE GUANAJUATO (DTIT)</t>
  </si>
  <si>
    <t>PASEO DE LA PRESA 103, COL CENTRO, C.P. 36,000, GUANAJUATO.GTO</t>
  </si>
  <si>
    <t>AUDITORIO DEL ESTADO</t>
  </si>
  <si>
    <t>PUEBLITO DE ROCHA, 36040 GUANAJUATO, GTO.</t>
  </si>
  <si>
    <t>DIRECCION GENERAL DE ADMINISTRACION</t>
  </si>
  <si>
    <t>Guanajuato-Marfil No 1, Colonia Marfil</t>
  </si>
  <si>
    <t>11EIT0003D - INSTITUTO TECNOLÓGICO SUPERIOR DE GUANAJUATO</t>
  </si>
  <si>
    <t>CARRETERA GUANAJUATO A PUENTECILLAS KM 10.5, PUENTECILLAS, 36262 GUANAJUATO, GTO.</t>
  </si>
  <si>
    <t>PROCURADURÍA DE PROTECCION DE LAS NIÑAS, NIÑOS Y ADOLESCENTES</t>
  </si>
  <si>
    <t>PLAZA GALEREÑA PISO NUM. 5 Y 6, Carr. Gto-Juventino Rosas km 6 Col. Burócratas</t>
  </si>
  <si>
    <t>HUB-I CASA DEL EMPRENDEDOR GUANAJUATO</t>
  </si>
  <si>
    <t>CALLE JARDÍN DE LA UNIÓN GUANAJUATO, “EXCONVENTO DIEGUINO” S/N, EN GUANAJUATO, GTO</t>
  </si>
  <si>
    <t>LAS PALOMAS</t>
  </si>
  <si>
    <t>CALLE PALOMA REAL #76, COL. DE LAS PALOMAS, MARFIL, GUANAJUATO, GTO.</t>
  </si>
  <si>
    <t>OFICINA RECAUDADORA (POZUELOS)</t>
  </si>
  <si>
    <t>POZUELOS, 74, COMPLEJO ADMINISTRATIVO POZUELOS, 36089</t>
  </si>
  <si>
    <t>DIRECCION DE RECURSOS HUMANOS (GALEREÑA)</t>
  </si>
  <si>
    <t>PLAZA GALEREÑA, BUROCRATA, 36251 MARFIL, GTO.</t>
  </si>
  <si>
    <t>SECRETARÍA DE FINANZAS (PUEBLITO DE ROCHA)</t>
  </si>
  <si>
    <t>PUEBLITO DE ROCHA - MARFIL, , 36040,</t>
  </si>
  <si>
    <t>11ETV0084Z - TELESECUNDARIA NUM. 94</t>
  </si>
  <si>
    <t>SUBIDA DEL MOLINO S/N DETRAS DE LA ESCUELA NORMAL</t>
  </si>
  <si>
    <t>ALMACEN REGISTRO CIVIL</t>
  </si>
  <si>
    <t>CARR. GUANAJUATO-SILAO, KM 5, SN GUANAJUATO -CP. 36265</t>
  </si>
  <si>
    <t>DIRECCION GENERAL DE REGISTROS PUBLICOS DE LA PROPIEDAD Y NOTARIAS</t>
  </si>
  <si>
    <t>CALLE NUEVA , 26 - 29, NORIA ALTA, 36050, AUDITORIO DEL ESTADO CENTRO DE CONVENCIONES</t>
  </si>
  <si>
    <t>SECRETARÍA DE GOBIERNO (SUBSECRETARIA DEL TRABAJO Y PREVISION SOCIAL)</t>
  </si>
  <si>
    <t>CARRETERA GUANAJUATO - JUVENTINO ROSAS, KM. 6.5, MMARFIL, 36250</t>
  </si>
  <si>
    <t>OFICINA DE TRANSPORTE DEL ESTADO (GALEREÑA</t>
  </si>
  <si>
    <t>SECRETARÍA DE GOBIERNO (SECRETARIADO EJECUTIVO DEL SISTEMA ESTATAL DE SEGURIDAD PUBLICA SESESP)</t>
  </si>
  <si>
    <t>C. SAN MATÍAS, 25, SAN JAVIER, 36020</t>
  </si>
  <si>
    <t>SECRETARIO EJECUTIVO DEL SISTEMA ESTATAL DE SEGURIDAD PUBLICA</t>
  </si>
  <si>
    <t>CALLE SAN MATÍAS, Nº 18 GUANAJUATO - CP. 36020</t>
  </si>
  <si>
    <t>11ADG0165D USAE GUANAJUATO</t>
  </si>
  <si>
    <t>JESUS RODRIGUEZ GAONA S/N FRACCIONAMIENTO DE LOS SANTOS, MARFIL, GTO</t>
  </si>
  <si>
    <t>DIRECCION GENERAL DE ASUNTOS JURIDICOS</t>
  </si>
  <si>
    <t>CARRETERA PANÓRAMICA KM. 12, GUANAJUATO - CP. 36000</t>
  </si>
  <si>
    <t>SECRETARIA DE OBRA PUBLICA (OLT)</t>
  </si>
  <si>
    <t>SECRETARÍA DE INFRAESTRUCTURA, CONECTIVIDAD Y MOVILIDAD MARFIL</t>
  </si>
  <si>
    <t>SUBSECRETARIA DE INFRAESTRUCTURA VIAL SICOM</t>
  </si>
  <si>
    <t>PLAZA HIDALGO, N. 1, ZONA CENTRO, 36000</t>
  </si>
  <si>
    <t>SECRETARÍA DE MEDIO AMBIENTE Y ORDENAMIENTO TERRITORIAL PUEBLITO DE ROCHA</t>
  </si>
  <si>
    <t>ALDANA, 12, COL. PUEBLITO DE ROCHA, 36040</t>
  </si>
  <si>
    <t>SECRETARÍA DE MEDIO AMBIENTE Y ORDENAMIENTO TERRITORIAL POZUELOS</t>
  </si>
  <si>
    <t>CONJUNTO ADMINISTRATIVO POZUELOS, VIALIDAD 1 , CONJUNTO ADMINISTRATIVO POZUELOS, 36000</t>
  </si>
  <si>
    <t>MUSEO DE LAS MOMIAS</t>
  </si>
  <si>
    <t>EXPLANADA DEL PANTEON MUNICIPAL CENTRO</t>
  </si>
  <si>
    <t>SECRETARÍA DE SEGURIDAD PÚBLICA</t>
  </si>
  <si>
    <t>CARRETERA GUANAJUATO - JUVENTINO ROSAS, KM 7.5, BUROCRATA, 36251</t>
  </si>
  <si>
    <t>SECRETARÍA DE LA TRANSPARENCIA Y RENDICIÓN DE CUENTAS</t>
  </si>
  <si>
    <t>11MSU0036J - UNIVERSIDAD PEDAGÓGICA NACIONAL UNIDAD 111 GUANAJUATO</t>
  </si>
  <si>
    <t>CARRETERA PUEBLITO DE ROCHA, CALLE AL CENTRO DE CONVENCIONES. NO. 3 COL. PUEBLITO DE ROCHA; C.P. 36040. ZONA XIV, GUANAJUATO,GTO.</t>
  </si>
  <si>
    <t>11ENL0002H - BENEMÉRITA Y CENTENARIA ESCUELA NORMAL OFICIAL DE GUANAJUATO</t>
  </si>
  <si>
    <t>PASEO DE LA PRESA NO. 56, BARRIO LA PRESA, GUANAJUATO CAPITAL</t>
  </si>
  <si>
    <t>11DLT0002T - CENTRO DE ACTUALIZACIÓN DEL MAGISTERIO PLANTEL GTO.</t>
  </si>
  <si>
    <t>PRIVADA DE LOS MORALES NO.23 YERBABUAENA GUANAJUATO GTO. C.P. 36250</t>
  </si>
  <si>
    <t>11ENL0003G - ESCUELA NORMAL SUPERIOR OFICIAL DE GUANAJUATO</t>
  </si>
  <si>
    <t>CARRETERA GUANAJUATO -MARFIL KM 2.5, CP 36250 GUANAJUATO, GTO.</t>
  </si>
  <si>
    <t>11ETC0030G - COLEGIO DE ESTUDIOS CIENTIFICOS Y TECNOLOGICOS DEL ESTADO DE GUANAJUATO PLANTEL GUANAJUATO</t>
  </si>
  <si>
    <t>AV. LOMA EXHACIENDA PUENTECILLAS, PUENTECILLAS, GUANAJUATO.</t>
  </si>
  <si>
    <t>SECRETARIA DE SALUD GUANAJUATO</t>
  </si>
  <si>
    <t>DE TAMAZUCA, 4, ZONA CENTRO, 36000</t>
  </si>
  <si>
    <t>COORDINACIÓN DE ASUNTOS JURÍDICOS DE LA SECRETARIA DE SALUD</t>
  </si>
  <si>
    <t>BLVD. GUANAJUATO, 64, BOULEVARD GUANAJUATO, 36000</t>
  </si>
  <si>
    <t>UNIDAD MEDICA DE ESPECIALIDADES GUANAJUATO</t>
  </si>
  <si>
    <t>CUOTA GUANAJUATO-SILAO KM. 6.5 - CARRETERA DE CUOTA GTO-SILAO KM. 6.5 COLONIA LOS ALCALDES</t>
  </si>
  <si>
    <t>CAISES PARDO GUANAJUATO</t>
  </si>
  <si>
    <t>PARDO - CALLE PARDO NO. 5</t>
  </si>
  <si>
    <t>UMAPS MARFIL</t>
  </si>
  <si>
    <t>CARRETERA LIBRE GUANAJUATO-SILAO KM. 5 - CARRETERA LIBRE GTO. SILAO KM. 5</t>
  </si>
  <si>
    <t>HOSPITAL GENERAL DR VALENTIN GRACIA</t>
  </si>
  <si>
    <t>CARRETERA DE CUOTA GUANAJUATO-SILAO KM. 6.5 - CARR. DE CUOTA GTO - SILAO KM. 6.5, COL. LOS ALCALDES</t>
  </si>
  <si>
    <t>UNEME CAPA GUANAJUATO</t>
  </si>
  <si>
    <t>DIRECCION DE RECURSOS MATERIALES Y SERVICIOS GENERALES</t>
  </si>
  <si>
    <t>BO. LA QUINTA, MARFIL, 36251</t>
  </si>
  <si>
    <t>CEPAV</t>
  </si>
  <si>
    <t>CENTRO ESPECIALIZADO EN ATENCION A VICTIMAS</t>
  </si>
  <si>
    <t>C. VÍCTOR CERVERA PACHECO 14, BUROCRATA, 36251</t>
  </si>
  <si>
    <t>COORDINACION DE CONTRALORIA INTERNA</t>
  </si>
  <si>
    <t>C. DE LA VIA 2989, LAS TERESAS, 36254 MARFIL, GTO.</t>
  </si>
  <si>
    <t>DIRECCIÓN DE CONTROL PATRIMONIAL ISSAPEG</t>
  </si>
  <si>
    <t>GTO 67 6123, 36251 YERBABUENA, GTO.</t>
  </si>
  <si>
    <t>UMAPS LA YERBABUENA</t>
  </si>
  <si>
    <t>ATRÁS DEL TEMPLO DE LA COMUNIDAD - ATRÁS DEL TEMPLO DE LA COMUNIDAD</t>
  </si>
  <si>
    <t>DEPARTAMENTO DE SERVICIOS GENERALES (ISAPEG)</t>
  </si>
  <si>
    <t>CARR. GUANAJUATO - JUVENTINO ROSAS ESQUINA, BUROCRATA, 36259 MARFIL, GTO.</t>
  </si>
  <si>
    <t>SECRETARÍA DEL NUEVO COMIENZO</t>
  </si>
  <si>
    <t>PASEO DE LA PRESA #99, ZONA CENTRO, GUANAJUATO, GTO.</t>
  </si>
  <si>
    <t>DIRECCION GENERAL DE DEFENSORIA PÚBLICA</t>
  </si>
  <si>
    <t>CARRETERA A PUENTECILLAS # 26, ARROYO BLANCO, 36263, PUENTECILLAS, GTO.</t>
  </si>
  <si>
    <t>PRESIDENCIA MUNICIPAL DE GUANAJUATO</t>
  </si>
  <si>
    <t>LUIS GONZÁLEZ OBREGÓN 12, ZONA CENTRO, 36000 GUANAJUATO, GTO.</t>
  </si>
  <si>
    <t>OFICINA CENTRAL PUENTECILLAS</t>
  </si>
  <si>
    <t>CARRETERA A GUANAJUATO-PUENTECILLAS KM 9.5, GUANAJUATO, GTO.</t>
  </si>
  <si>
    <t>11ETH0193M - BACHILLERATO SABES LOS PINITOS</t>
  </si>
  <si>
    <t>CALLE ROBLE, NO. 1</t>
  </si>
  <si>
    <t>11ETH0194L - BACHILLERATO SABES LAS TERESAS</t>
  </si>
  <si>
    <t>NINGUNO 2A DE HOSPITALES, NO. 31</t>
  </si>
  <si>
    <t>PLAZA PÚBLICA EL EDÉN</t>
  </si>
  <si>
    <t>EL EDÉN S/N COLONIA MARFIL, GUANAJUATO, GTO.</t>
  </si>
  <si>
    <t>PLAZA PÚBLICA EL ENCINO</t>
  </si>
  <si>
    <t>EL ENCINO S/N, COLONIA PUEBLITO DE ROCHA, GUANAJUATO, GTO.</t>
  </si>
  <si>
    <t>GLORIETA SANTA FE</t>
  </si>
  <si>
    <t>CARR. GUANAJUATO-JUVENTINO ROSAS 3191, BUROCRATA, 36252, MARFIL.GTO</t>
  </si>
  <si>
    <t>PLAZA PÚBLICA CÚPULAS</t>
  </si>
  <si>
    <t>CONOCIDO EN FRACCIONAMIENTO CÚPULAS, GUANAJUATO, GTO.</t>
  </si>
  <si>
    <t>CANCHA DE USOS MULTIPLES LOS ALCALDES</t>
  </si>
  <si>
    <t>CONOCIDO EN FRACCIONAMIENTO LOS ALCALDES, GUANAJUATO, GTO.</t>
  </si>
  <si>
    <t>CANCHA DE USOS MULTIPLES LA HACIENDA</t>
  </si>
  <si>
    <t>CONOCIDO EN FRACCIONAMIENTO LA HACIENDA, MANZANA 11, GUANAJUATO, GTO.</t>
  </si>
  <si>
    <t>CANCHA DE USOS MULTIPLES PUEBLITO DE ROCHA</t>
  </si>
  <si>
    <t>CONOCIDO EN FRACCIONAMIENTO PUEBLITO DE ROCHA, GUANAJUATO, GTO.</t>
  </si>
  <si>
    <t>PLAZUELA DE VALENCIANA</t>
  </si>
  <si>
    <t>CONOCIDO A UN COSTADO DEL TEMPLO DE VALENCIANA C.P. 36023 GUANAJUATO, GTO.</t>
  </si>
  <si>
    <t xml:space="preserve"> COLONIA MARFIL</t>
  </si>
  <si>
    <t>COLONIA MARFIL</t>
  </si>
  <si>
    <t xml:space="preserve"> COLONIA NORIA ALTA</t>
  </si>
  <si>
    <t xml:space="preserve"> COLONIA ARROYO VERDE MARFIL</t>
  </si>
  <si>
    <t>COLONIA COMPLEJO ADMINISTRATIVO POZUELOS</t>
  </si>
  <si>
    <t xml:space="preserve"> COLONIA VALENCIANA</t>
  </si>
  <si>
    <t xml:space="preserve"> COLONIA GUANAJUATO CENTRO</t>
  </si>
  <si>
    <t>COLONIA YERBABUENA</t>
  </si>
  <si>
    <t xml:space="preserve"> COLONIA BURÓCRATAS</t>
  </si>
  <si>
    <t xml:space="preserve"> COLONIA LA GUALDRA</t>
  </si>
  <si>
    <t xml:space="preserve"> COLONIA BARRIO DE CERVERA GUANAJUATO</t>
  </si>
  <si>
    <t xml:space="preserve"> COLONIA LOMAS DE POZUELOS</t>
  </si>
  <si>
    <t>COLONIA LAS TERESAS</t>
  </si>
  <si>
    <t xml:space="preserve"> COLONIA PUEBLITO DE ROCHA</t>
  </si>
  <si>
    <t xml:space="preserve"> COLONIA EMBAJADORAS</t>
  </si>
  <si>
    <t xml:space="preserve"> COLONIA SAN MATIAS</t>
  </si>
  <si>
    <t>COLONIA PAXTITLAN</t>
  </si>
  <si>
    <t xml:space="preserve"> COLONIA POZUELOS</t>
  </si>
  <si>
    <t xml:space="preserve"> COLONIA LAS TERESAS</t>
  </si>
  <si>
    <t xml:space="preserve"> COLONIA MARTIRES</t>
  </si>
  <si>
    <t xml:space="preserve"> COLONIA CERRO DEL GALLO</t>
  </si>
  <si>
    <t xml:space="preserve"> COLONIA EL CARRIZO</t>
  </si>
  <si>
    <t xml:space="preserve"> COLONIA LOMAS DE CERVERA</t>
  </si>
  <si>
    <t xml:space="preserve"> COLONIA MARTIRES 22 DE ABRIL</t>
  </si>
  <si>
    <t xml:space="preserve"> COLONIA ENCINO</t>
  </si>
  <si>
    <t>COLONIA MUNICIPIO LIBRE</t>
  </si>
  <si>
    <t xml:space="preserve"> COLONIA CARRIZO</t>
  </si>
  <si>
    <t>COLONIA NORIA ALTA</t>
  </si>
  <si>
    <t xml:space="preserve"> COLONIA ARROYO VERDE</t>
  </si>
  <si>
    <t xml:space="preserve"> COLONIA COLONIAL GUANAJUATO</t>
  </si>
  <si>
    <t xml:space="preserve"> COLONIA LOMA DE LOS SANTOS</t>
  </si>
  <si>
    <t xml:space="preserve"> COLONIA LOMAS DE SANTA FE II</t>
  </si>
  <si>
    <t xml:space="preserve"> COLONIA CUPULAS</t>
  </si>
  <si>
    <t xml:space="preserve"> COLONIA CARRETERA A DOLORES HIDALGO</t>
  </si>
  <si>
    <t xml:space="preserve"> COLONIA MELLADO</t>
  </si>
  <si>
    <t xml:space="preserve"> COLONIA BARRIO DE LA PRESA</t>
  </si>
  <si>
    <t xml:space="preserve"> COLONIA LAS PALMAS CERRO DEL CUARTO</t>
  </si>
  <si>
    <t xml:space="preserve"> COLONIA LOS ALCALDES</t>
  </si>
  <si>
    <t xml:space="preserve"> COLONIA BUROCRATAS</t>
  </si>
  <si>
    <t xml:space="preserve"> COLONIA YERBABUENA</t>
  </si>
  <si>
    <t>COMUNIDAD DE PUENTECILLAS</t>
  </si>
  <si>
    <t xml:space="preserve"> COLONIA LOMA DE POZUELOS</t>
  </si>
  <si>
    <t xml:space="preserve"> COLONIA BUROCRATA</t>
  </si>
  <si>
    <t xml:space="preserve"> COLONIA GUIJAS 12</t>
  </si>
  <si>
    <t xml:space="preserve"> COLONIA BARRIO LA PRESA</t>
  </si>
  <si>
    <t xml:space="preserve"> COLONIA EQUIPAMIENTO ITESG (TECNOLOGICO)</t>
  </si>
  <si>
    <t>COLONIA CERRO DE LA CAMPANA</t>
  </si>
  <si>
    <t xml:space="preserve"> COLONIA LOS ALCALDFES</t>
  </si>
  <si>
    <t xml:space="preserve"> COLONIA ARROYO BLANCO</t>
  </si>
  <si>
    <t>COMUNIDAD PUENTECILLAS</t>
  </si>
  <si>
    <t xml:space="preserve"> COLONIA CÚPULAS</t>
  </si>
  <si>
    <t xml:space="preserve"> COLONIA MINERAL DE LA HACIENDA</t>
  </si>
  <si>
    <t xml:space="preserve"> COLONIA SANTA FE EN PUEBLITO DE ROCHA</t>
  </si>
  <si>
    <t xml:space="preserve"> COLONIA VELENCIANA</t>
  </si>
  <si>
    <t>Se conecta pero no le da salida a internet, no se pueden realizar las pruebas</t>
  </si>
  <si>
    <t>No es posible conectarse a la red, el Acces Point se encuentra muy lejos y no se nos permitió el acceso</t>
  </si>
  <si>
    <t>La conexión fue rapida, pero hay intermitencia en la navegación puede deberse a que el Acces Point está muy retirado</t>
  </si>
  <si>
    <t>La conexión fue rápida, el Youtube no lo pudo cargar y el ancho de banda es muy bajo, puede ser por que el Acces Point está muy retirado y no se nos permitio accesar al sitio</t>
  </si>
  <si>
    <t>La conexión fue rápida, la navegación no tubo cortes pero el ancho de banda es bajo, puede ser por que el Acces Point está retirado y no se nos permitió ingresar</t>
  </si>
  <si>
    <t>Se acude a sitio pero no se visualiza el Acces Point, no hay señalética y tampoco se observa poste, se consulta con las personas a los alrededores y comentan que ahí no ha habiso internet libre para la gente</t>
  </si>
  <si>
    <t>Este sitio presenta problemas de continuidad y ancho de banda, a pesar de estar cerca había mucha pérdida de paquetes</t>
  </si>
  <si>
    <t>Buen ancho de banda</t>
  </si>
  <si>
    <t>831a</t>
  </si>
  <si>
    <t>831b</t>
  </si>
  <si>
    <t>La conexión fue rápida pero hubo lentitud en la navegación, el youtube lo cargo con problemas al igual que las páginas web, puede deberse a que el Acces Point se encuentra dentro de las instalaciones</t>
  </si>
  <si>
    <t>La conexión fue rápida y al principio se pudo navegar y hacer pruebas pero después de un tiempo se perdió la salida a internet aún y cuando se estaba conectado</t>
  </si>
  <si>
    <t>La conexión fue rápida y al principio se pudo navegar y hacer pruebas pero después de un tiempo se perdió la salida a internet aún y cuando se estaba conectado, puede deberse a la lejanía del Acces Point</t>
  </si>
  <si>
    <t>CONEXIÓN FÁCIL</t>
  </si>
  <si>
    <t>León</t>
  </si>
  <si>
    <t>Silao</t>
  </si>
  <si>
    <t>Guanajuato</t>
  </si>
  <si>
    <t>Irapuato</t>
  </si>
  <si>
    <t>Salamanca</t>
  </si>
  <si>
    <t>Celaya</t>
  </si>
  <si>
    <t>MUNICIPIO</t>
  </si>
  <si>
    <t>TOTAL</t>
  </si>
  <si>
    <t>MENSAJERO</t>
  </si>
  <si>
    <t>FACEBOOK</t>
  </si>
  <si>
    <t>YOUTUBE</t>
  </si>
  <si>
    <t>GOOGLE MAPS</t>
  </si>
  <si>
    <t>NAVEGACIÓN</t>
  </si>
  <si>
    <t>NEVAGACIÓN CONSTANTE</t>
  </si>
  <si>
    <t>BUEN ANCHO DE BANDA</t>
  </si>
  <si>
    <t>Comparación de error en la primer y segunda visita</t>
  </si>
  <si>
    <t>ERROR 1</t>
  </si>
  <si>
    <t>ERROR 2</t>
  </si>
  <si>
    <t>% ERROR 1</t>
  </si>
  <si>
    <t>% ÉXITO 1</t>
  </si>
  <si>
    <t>% ERROR 2</t>
  </si>
  <si>
    <t>% ÉXITO 2</t>
  </si>
  <si>
    <t>No se conectó a la red, no fue posible realizar las pruebas</t>
  </si>
  <si>
    <t>sin video</t>
  </si>
  <si>
    <t>53a</t>
  </si>
  <si>
    <t>53b</t>
  </si>
  <si>
    <t>53c</t>
  </si>
  <si>
    <t>Se tardó demasiado en dar salida a internet, aproxidamente 5 minutos, una vez que tenía servicio todo fue muy bien, no se presentaron anomalias</t>
  </si>
  <si>
    <t>Se ve la red (SSID) pero no se logra la conexión, se intentó en diferentes puntos pero no se consiguió</t>
  </si>
  <si>
    <t>Total</t>
  </si>
  <si>
    <t>Total de sitios visitados</t>
  </si>
  <si>
    <t>Visitado</t>
  </si>
  <si>
    <t>La conexión fue fácil pero presentó algo de lentitud en la navegación puede deberse a la gran cantidad de dispositivos conectados</t>
  </si>
  <si>
    <t>No se visualiza la red (SSID) no se pudieron realizar las pruebas, puede ser por que está muy retirado el Acces Point o se encuentra apagado el equipo.</t>
  </si>
  <si>
    <t>No se visualiza la red (SSID) no se pudieron realizar las pruebas, puede ser por que está muy retirado el Acces Point y no permitieron el ingreso al inmueble</t>
  </si>
  <si>
    <t>El servicio presenta interrupciones y no permitió navegar después de rato, tampoco permitió realizar el test de velocidad y el ancho de banda es muy bajo</t>
  </si>
  <si>
    <t>Tiene mucha intermitencia se desconectó y ya no permitió que se restableciera la salida a internet, el personal del inmueble comenta que hay que estar muy cerca para tener buena señal</t>
  </si>
  <si>
    <t>La conexión fue rápida sólo que al momento de realizar el test de velocidad marcó error en la conexión, se tuvo que realizar dos veces</t>
  </si>
  <si>
    <t>Este sitio presentó interrupciones en la navegación, y el ancho de banda es muy bajo, puede deberse a que el Acces Point se encuentra muy retirado</t>
  </si>
  <si>
    <t>El servicio presentó interrupciones al final al momento de realizar el test de velocidad, y el ancho de banda es muy bajo</t>
  </si>
  <si>
    <t>Permitió la conexión pero no dio salida a internet</t>
  </si>
  <si>
    <t>Este sitio presentó interrupciones en la navegación, y también al momento de generar el test de velocidad</t>
  </si>
  <si>
    <t>Se visualiza el SSID se logra establecer la conexión pero no da salida a internet, se realizó la prueba con diversos dispositivos todos marcan lo mismo.</t>
  </si>
  <si>
    <t>La conexión fue rápida, la navegación fue fluida, tiene buena señal pero no permitió realizar el test de velocidad</t>
  </si>
  <si>
    <t>El sitio presenta muchas interrupciones (pérdida de paquetes) no permitió realizar el test de velocidad</t>
  </si>
  <si>
    <t>La conexión fue rápida, la navegación fue fluida, tiene buena señal pero no permitió realizar el test de velocidad, el personal comenta que el servicio presenta intermitencia, ya que de momentos hay cortes y no les permite navegar</t>
  </si>
  <si>
    <t>Al final se interrumpió la salida a internet y no permitió realizar el test de velocidad ni navegar en youtube</t>
  </si>
  <si>
    <t>Calif 1</t>
  </si>
  <si>
    <t>Calif 2</t>
  </si>
  <si>
    <t>Resultado</t>
  </si>
  <si>
    <t>No fue posible realizar el análisis por que no había señal</t>
  </si>
  <si>
    <t>Sitio sigue presentando intermitencia y el ancho de banda es muy bajo</t>
  </si>
  <si>
    <t>Sitio sigue presentando intermitencia, no se pudo realizar el test de velocidad, personal de la institutción comentó que fueron personas a revisar el internet pero él lo siguie viendo muy intermitente</t>
  </si>
  <si>
    <t>Mejoría</t>
  </si>
  <si>
    <t>Se mantiene</t>
  </si>
  <si>
    <t>Pérdida</t>
  </si>
  <si>
    <t>No terminó el test de velocidad, al parecer hubo un corte de electricidad en la zona</t>
  </si>
  <si>
    <t>Este sitio no tiene señal</t>
  </si>
  <si>
    <t>La conexión fue rápida y constante, la navegación fue fluida, no se observan anomalías, tiene buena señal, el ancho de banda es muy bajo puede deberse a que el Acces Point se encuentra lejos y no se nos permitió el ingreso</t>
  </si>
  <si>
    <t>Se desconecto a la mitad del análisis y cuando se volvió a conectar ya no permitía navegar</t>
  </si>
  <si>
    <t>Errores por tipo de sitio</t>
  </si>
  <si>
    <t>Error visita 1</t>
  </si>
  <si>
    <t>Error visita 2</t>
  </si>
  <si>
    <t>La conexión fue rápida y constante, la navegación fue fluida, no se observan anomalías, tiene buena señal pero es bajo el ancho de banda, pero el ancho de banda es muy bajo</t>
  </si>
  <si>
    <t>La conexión fue rápida pero no permitió navegar en chrome, tiene buena señal</t>
  </si>
  <si>
    <t>El Acces Point se encuentra muy retirado de nuestro punto y no permitieron ingresar al inmueble por estar en paro laboral</t>
  </si>
  <si>
    <t>Se conectó dio muy poco tiempo salida a internet, después de rato ya no permitió navegar</t>
  </si>
  <si>
    <t>Este sitio  no cargó el youtube y tampoco se pudo navegar con chrome puede deberse a que el Acces Point se encuentra muy retirado</t>
  </si>
  <si>
    <t>La conexión fue rápida presentó un pequeño corte en la navegación y el ancho de banda es muy bajo, puede deberse a que el Acces Point está muy lejos</t>
  </si>
  <si>
    <t>1061a</t>
  </si>
  <si>
    <t>1061b</t>
  </si>
  <si>
    <t>1061c</t>
  </si>
  <si>
    <t>Hay 9 sitios que no cuentan con video dando un total de 417 sitios con reporte</t>
  </si>
  <si>
    <t>Se realiza la conexión pero no da salida a internet</t>
  </si>
  <si>
    <t>Servicio con internet muy inestable, no se pudo realiza el test de velocidad, puede deberse a que el Acces Point se encuentra muy lejos</t>
  </si>
  <si>
    <t>No permitió realizar el test de velocidad</t>
  </si>
  <si>
    <t>La conexión fue rápida y constante, la navegación fue fluida, no se observan anomalías, tiene buena señal, pero el ancho de banda es muy bajo puede deberse a que el Acces Point se encuentra muy retirado</t>
  </si>
  <si>
    <t>Permite conectar pero no da salida a internet</t>
  </si>
  <si>
    <t>No permitió navegar con Chrome, y hubo un pequeño corte</t>
  </si>
  <si>
    <t>Situación</t>
  </si>
  <si>
    <t>Estable</t>
  </si>
  <si>
    <t>Se visualiza la red (SSID) pero no se puede lograr la conexión, puede que sea por la lejanía del Acces Point, no se pudo ingresar ya que se encontraba cerrado</t>
  </si>
  <si>
    <t>El sitio cuenta con la señalética correspondiente pero comenta el personal que nunca se instaló ahí equipo</t>
  </si>
  <si>
    <t>Sitio sin servicio, se visualiza el SSID pero no da salida a internet</t>
  </si>
  <si>
    <t>Presentó intermitencia al momento de realizar el test de velocidad</t>
  </si>
  <si>
    <t>El sitio presenta demasiada intermitencia, no permitió realizar el análisis</t>
  </si>
  <si>
    <t>El sitio presentó mucha intermitencia puede deberse a que el Acces Point se encuentra en un tercer piso y no llega bien la señal a planta baja</t>
  </si>
  <si>
    <t>El sitio trabajó bien solo el ancho de banda es bajo puede deberse a que el Acces Point se encuentra muy lejos y no nos permitieron ingresar al inmueble</t>
  </si>
  <si>
    <t>Este sitio no permitió realizar el test de velocidad, muestra muchos cortes (pérdidas de paquetes)</t>
  </si>
  <si>
    <t>No se visualiza la red y no se pudieron realizar las pruebas, el Acces Point se encuentra demasiado lejos y no permitieron el ingreso al inmueble</t>
  </si>
  <si>
    <t>Sitio presenta demasiadas intermitencias</t>
  </si>
  <si>
    <t>Sitio no da salida a internet, se probó con varios dispositivos y con ninguno se consiguió</t>
  </si>
  <si>
    <t>Este sitio funciona de manera correcta, solo la medición de velocidad es baja por que no nos permitieron ingresar al inmueble y el Acces Point se encuentra muy retirado</t>
  </si>
  <si>
    <t>El Acces Point se encuentra demasiado lejos y no permitieron el ingreso al inmueble</t>
  </si>
  <si>
    <t>Personal de TI comenta que el servicio es intermitente y que en ocaciones lo han tenido que desactivar por que se pone como servicio primario en lugar del de presidencia</t>
  </si>
  <si>
    <t>Sitio se encuentra en mantenimiento/reparación</t>
  </si>
  <si>
    <t>41a</t>
  </si>
  <si>
    <t>41b</t>
  </si>
  <si>
    <t>Este sitio presenta demasiada intermitencia, hubo muchas desconexiones</t>
  </si>
  <si>
    <t>El dispositovo se conectó y le dio salida a internet pero solo fue un instante, se desconectó y ya no permitió navegar</t>
  </si>
  <si>
    <t>El Acces Point se encuentra muy retirado de nuestro punto y no permitieron ingresar al inmueble</t>
  </si>
  <si>
    <t>Este sitio no tiene servicio</t>
  </si>
  <si>
    <t>Se estableció la conexión pero no permitió navegar, Acces Point muy lejos</t>
  </si>
  <si>
    <t>Sitio muy intermitente, se desconecto y cuando se volvió a conectar ya no dió salida</t>
  </si>
  <si>
    <t>Se realizó la conexión pero de inmediato se desconetó y ya no dio salida a internet</t>
  </si>
  <si>
    <t>No se pudo realizar el análisis el Acces Point se encuentra muy lejos y no se nos permitió el acceso al plantel</t>
  </si>
  <si>
    <t>La conexión fue rápida y constante, la navegación fue fluida, no se observan anomalías, tiene buena señal, pero el ancho de banda es bajo y no permitió navegar con Chrome puede deberse a que el Acces Point se encuentra muy lejos</t>
  </si>
  <si>
    <t>Se estableció conexión y dio salida por unos segundos, después de desconectarse se volvió a conectar pero ya no dio salida</t>
  </si>
  <si>
    <t>Sitio presentó intermitencia, hubo varios cortes al momento de realizar el análisis</t>
  </si>
  <si>
    <t>Se estableció la conexión pero no dio salida a internet</t>
  </si>
  <si>
    <t>Este sitio no tenía señal al momento del análisis, personal comenta que un equipo estaba alarmado, reiniciaron los aparatos y dio salida aunque el ancho de banda era bajo</t>
  </si>
  <si>
    <t>Sitio sin servicio, no se visualiza el SSID</t>
  </si>
  <si>
    <t>Presentó intermitencia y no se pudo navegar en Youtube ni en Chrome, puede deberse a que el Acces Point se encuentra muy lejos</t>
  </si>
  <si>
    <t>Sitio sin servicio</t>
  </si>
  <si>
    <t>Se estableció la conexión pero se desconectó a mitad del análisis y ya no dio salida</t>
  </si>
  <si>
    <t>Visita 1</t>
  </si>
  <si>
    <t>Funcional con observaciones</t>
  </si>
  <si>
    <t>Rendimiento bajo</t>
  </si>
  <si>
    <t>Parcialmente funcional</t>
  </si>
  <si>
    <t>Inoperativo</t>
  </si>
  <si>
    <t>Crítico</t>
  </si>
  <si>
    <t>Visita 2</t>
  </si>
  <si>
    <t>El Acces Point se encuentra muy alejado de la calle y no se nos permitió el ingreso a las instalaciones, esto pudo afectar el desempeño del análisis</t>
  </si>
  <si>
    <t>La conexión fue rápida y constante, la navegación fue fluida, no permitió cargar videos en youtube, el ancho de banda es algo bajo</t>
  </si>
  <si>
    <t>No permitió navegar en Chrome todo lo demás lo hizo sin problemas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</si>
</sst>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Verdana"/>
      <scheme val="minor"/>
    </font>
    <font>
      <sz val="9"/>
      <color theme="1"/>
      <name val="Calibri"/>
      <family val="2"/>
    </font>
    <font>
      <u/>
      <sz val="11"/>
      <color theme="10"/>
      <name val="Verdana"/>
      <family val="2"/>
      <scheme val="minor"/>
    </font>
    <font>
      <u/>
      <sz val="9"/>
      <color theme="10"/>
      <name val="Calibri"/>
      <family val="2"/>
    </font>
    <font>
      <b/>
      <sz val="9"/>
      <color rgb="FFFF0000"/>
      <name val="Calibri"/>
      <family val="2"/>
    </font>
    <font>
      <sz val="11"/>
      <color theme="1"/>
      <name val="Verdana"/>
      <family val="2"/>
      <scheme val="minor"/>
    </font>
    <font>
      <u/>
      <sz val="11"/>
      <color theme="1"/>
      <name val="Verdana"/>
      <family val="2"/>
      <scheme val="minor"/>
    </font>
    <font>
      <b/>
      <sz val="11"/>
      <color theme="1"/>
      <name val="Calibri"/>
      <family val="2"/>
    </font>
    <font>
      <sz val="11"/>
      <color theme="1"/>
      <name val="Calibri"/>
      <family val="2"/>
    </font>
    <font>
      <b/>
      <sz val="16"/>
      <color theme="0"/>
      <name val="Calibri"/>
      <family val="2"/>
    </font>
    <font>
      <b/>
      <sz val="18"/>
      <color theme="1"/>
      <name val="Calibri"/>
      <family val="2"/>
    </font>
    <font>
      <b/>
      <sz val="14"/>
      <color theme="1"/>
      <name val="Calibri"/>
      <family val="2"/>
    </font>
    <font>
      <b/>
      <sz val="9"/>
      <color theme="1"/>
      <name val="Calibri"/>
      <family val="2"/>
    </font>
    <font>
      <b/>
      <sz val="16"/>
      <color theme="2" tint="-0.749992370372631"/>
      <name val="Calibri"/>
      <family val="2"/>
    </font>
    <font>
      <b/>
      <sz val="12"/>
      <color rgb="FFC00000"/>
      <name val="Calibri"/>
      <family val="2"/>
    </font>
    <font>
      <b/>
      <sz val="12"/>
      <name val="Calibri"/>
      <family val="2"/>
    </font>
    <font>
      <b/>
      <sz val="12"/>
      <color theme="0"/>
      <name val="Calibri"/>
      <family val="2"/>
    </font>
    <font>
      <b/>
      <sz val="12"/>
      <color theme="3" tint="9.9978637043366805E-2"/>
      <name val="Calibri"/>
      <family val="2"/>
    </font>
    <font>
      <sz val="11"/>
      <color rgb="FFFF0000"/>
      <name val="Calibri"/>
      <family val="2"/>
    </font>
    <font>
      <b/>
      <sz val="11"/>
      <color rgb="FF009A04"/>
      <name val="Calibri"/>
      <family val="2"/>
    </font>
    <font>
      <b/>
      <sz val="12"/>
      <color theme="2" tint="-0.749992370372631"/>
      <name val="Calibri"/>
      <family val="2"/>
    </font>
    <font>
      <sz val="9"/>
      <color rgb="FF1A1A1A"/>
      <name val="Calibri"/>
      <family val="2"/>
    </font>
    <font>
      <b/>
      <sz val="9"/>
      <color theme="0"/>
      <name val="Calibri"/>
      <family val="2"/>
    </font>
    <font>
      <b/>
      <sz val="11"/>
      <color theme="2"/>
      <name val="Calibri"/>
      <family val="2"/>
    </font>
    <font>
      <b/>
      <sz val="14"/>
      <color theme="2"/>
      <name val="Calibri"/>
      <family val="2"/>
    </font>
    <font>
      <b/>
      <sz val="11"/>
      <color theme="0"/>
      <name val="Calibri"/>
      <family val="2"/>
    </font>
  </fonts>
  <fills count="22">
    <fill>
      <patternFill patternType="none"/>
    </fill>
    <fill>
      <patternFill patternType="gray125"/>
    </fill>
    <fill>
      <patternFill patternType="solid">
        <fgColor rgb="FFFFFFFF"/>
        <bgColor rgb="FFFFFFFF"/>
      </patternFill>
    </fill>
    <fill>
      <patternFill patternType="solid">
        <fgColor theme="5" tint="0.39997558519241921"/>
        <bgColor indexed="64"/>
      </patternFill>
    </fill>
    <fill>
      <patternFill patternType="solid">
        <fgColor rgb="FFFF0000"/>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theme="5" tint="0.79998168889431442"/>
      </patternFill>
    </fill>
    <fill>
      <patternFill patternType="solid">
        <fgColor theme="5"/>
        <bgColor theme="5"/>
      </patternFill>
    </fill>
    <fill>
      <patternFill patternType="solid">
        <fgColor theme="8" tint="-9.9978637043366805E-2"/>
        <bgColor indexed="64"/>
      </patternFill>
    </fill>
    <fill>
      <patternFill patternType="solid">
        <fgColor theme="7" tint="0.59999389629810485"/>
        <bgColor indexed="64"/>
      </patternFill>
    </fill>
    <fill>
      <patternFill patternType="solid">
        <fgColor rgb="FFFFFF91"/>
        <bgColor indexed="64"/>
      </patternFill>
    </fill>
    <fill>
      <patternFill patternType="solid">
        <fgColor rgb="FF92D050"/>
        <bgColor indexed="64"/>
      </patternFill>
    </fill>
    <fill>
      <patternFill patternType="solid">
        <fgColor theme="4"/>
        <bgColor indexed="64"/>
      </patternFill>
    </fill>
    <fill>
      <patternFill patternType="solid">
        <fgColor rgb="FF009A04"/>
        <bgColor indexed="64"/>
      </patternFill>
    </fill>
    <fill>
      <patternFill patternType="solid">
        <fgColor theme="8" tint="-0.249977111117893"/>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indexed="64"/>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medium">
        <color indexed="64"/>
      </left>
      <right/>
      <top style="medium">
        <color indexed="64"/>
      </top>
      <bottom/>
      <diagonal/>
    </border>
    <border>
      <left style="thin">
        <color indexed="64"/>
      </left>
      <right/>
      <top style="medium">
        <color indexed="64"/>
      </top>
      <bottom/>
      <diagonal/>
    </border>
    <border>
      <left style="medium">
        <color indexed="64"/>
      </left>
      <right/>
      <top style="thin">
        <color theme="5" tint="0.39997558519241921"/>
      </top>
      <bottom/>
      <diagonal/>
    </border>
    <border>
      <left style="medium">
        <color indexed="64"/>
      </left>
      <right/>
      <top style="thin">
        <color indexed="64"/>
      </top>
      <bottom/>
      <diagonal/>
    </border>
    <border>
      <left style="medium">
        <color indexed="64"/>
      </left>
      <right/>
      <top style="thin">
        <color indexed="64"/>
      </top>
      <bottom style="thin">
        <color theme="5" tint="0.39997558519241921"/>
      </bottom>
      <diagonal/>
    </border>
    <border>
      <left style="thin">
        <color indexed="64"/>
      </left>
      <right/>
      <top style="thin">
        <color indexed="64"/>
      </top>
      <bottom style="thin">
        <color theme="5" tint="0.39997558519241921"/>
      </bottom>
      <diagonal/>
    </border>
    <border>
      <left style="thin">
        <color indexed="64"/>
      </left>
      <right/>
      <top style="thin">
        <color theme="5" tint="0.39997558519241921"/>
      </top>
      <bottom style="thin">
        <color theme="5" tint="0.39997558519241921"/>
      </bottom>
      <diagonal/>
    </border>
    <border>
      <left style="dotted">
        <color indexed="64"/>
      </left>
      <right style="dotted">
        <color indexed="64"/>
      </right>
      <top style="dotted">
        <color indexed="64"/>
      </top>
      <bottom style="dotted">
        <color indexed="64"/>
      </bottom>
      <diagonal/>
    </border>
  </borders>
  <cellStyleXfs count="3">
    <xf numFmtId="0" fontId="0" fillId="0" borderId="0"/>
    <xf numFmtId="0" fontId="2" fillId="0" borderId="0" applyNumberFormat="0" applyFill="0" applyBorder="0" applyAlignment="0" applyProtection="0"/>
    <xf numFmtId="9" fontId="5" fillId="0" borderId="0" applyFont="0" applyFill="0" applyBorder="0" applyAlignment="0" applyProtection="0"/>
  </cellStyleXfs>
  <cellXfs count="171">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horizontal="left"/>
    </xf>
    <xf numFmtId="0" fontId="0" fillId="0" borderId="0" xfId="0" applyAlignment="1">
      <alignment horizontal="center"/>
    </xf>
    <xf numFmtId="0" fontId="6" fillId="0" borderId="0" xfId="0" applyFont="1"/>
    <xf numFmtId="0" fontId="7" fillId="0" borderId="5" xfId="0" applyFont="1" applyBorder="1" applyAlignment="1">
      <alignment horizontal="center"/>
    </xf>
    <xf numFmtId="0" fontId="7" fillId="0" borderId="6" xfId="0" applyFont="1" applyBorder="1" applyAlignment="1">
      <alignment horizontal="center"/>
    </xf>
    <xf numFmtId="0" fontId="7" fillId="5" borderId="6" xfId="0" applyFont="1" applyFill="1" applyBorder="1" applyAlignment="1">
      <alignment horizontal="center"/>
    </xf>
    <xf numFmtId="0" fontId="7" fillId="5" borderId="8" xfId="0" applyFont="1" applyFill="1" applyBorder="1" applyAlignment="1">
      <alignment horizontal="center"/>
    </xf>
    <xf numFmtId="0" fontId="7" fillId="5" borderId="5" xfId="0" applyFont="1" applyFill="1" applyBorder="1" applyAlignment="1">
      <alignment horizontal="center"/>
    </xf>
    <xf numFmtId="0" fontId="7" fillId="5" borderId="7" xfId="0" applyFont="1" applyFill="1" applyBorder="1" applyAlignment="1">
      <alignment horizontal="center"/>
    </xf>
    <xf numFmtId="0" fontId="8" fillId="0" borderId="13" xfId="0" applyFont="1" applyBorder="1" applyAlignment="1">
      <alignment horizontal="center"/>
    </xf>
    <xf numFmtId="0" fontId="8" fillId="5" borderId="13" xfId="0" applyFont="1" applyFill="1" applyBorder="1" applyAlignment="1">
      <alignment horizontal="center"/>
    </xf>
    <xf numFmtId="0" fontId="8" fillId="5" borderId="14" xfId="0" applyFont="1" applyFill="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8" fillId="0" borderId="18" xfId="0" applyFont="1" applyBorder="1" applyAlignment="1">
      <alignment horizontal="center"/>
    </xf>
    <xf numFmtId="0" fontId="7" fillId="6" borderId="22" xfId="0" applyFont="1" applyFill="1" applyBorder="1" applyAlignment="1">
      <alignment horizontal="center"/>
    </xf>
    <xf numFmtId="0" fontId="7" fillId="6" borderId="19" xfId="0" applyFont="1" applyFill="1" applyBorder="1" applyAlignment="1">
      <alignment horizontal="center"/>
    </xf>
    <xf numFmtId="0" fontId="7" fillId="6" borderId="21" xfId="0" applyFont="1" applyFill="1" applyBorder="1" applyAlignment="1">
      <alignment horizontal="center"/>
    </xf>
    <xf numFmtId="0" fontId="7" fillId="6" borderId="10" xfId="0" applyFont="1" applyFill="1" applyBorder="1" applyAlignment="1">
      <alignment horizontal="center"/>
    </xf>
    <xf numFmtId="0" fontId="11" fillId="0" borderId="15" xfId="0" applyFont="1" applyBorder="1" applyAlignment="1">
      <alignment horizontal="right"/>
    </xf>
    <xf numFmtId="0" fontId="11" fillId="5" borderId="11" xfId="0" applyFont="1" applyFill="1" applyBorder="1" applyAlignment="1">
      <alignment horizontal="right"/>
    </xf>
    <xf numFmtId="0" fontId="11" fillId="0" borderId="11" xfId="0" applyFont="1" applyBorder="1" applyAlignment="1">
      <alignment horizontal="right"/>
    </xf>
    <xf numFmtId="0" fontId="11" fillId="5" borderId="12" xfId="0" applyFont="1" applyFill="1" applyBorder="1" applyAlignment="1">
      <alignment horizontal="right"/>
    </xf>
    <xf numFmtId="0" fontId="8" fillId="0" borderId="0" xfId="0" applyFont="1"/>
    <xf numFmtId="0" fontId="8" fillId="0" borderId="0" xfId="0" applyFont="1" applyAlignment="1">
      <alignment horizontal="center"/>
    </xf>
    <xf numFmtId="0" fontId="7" fillId="0" borderId="26" xfId="0" applyFont="1" applyBorder="1" applyAlignment="1">
      <alignment horizontal="center"/>
    </xf>
    <xf numFmtId="0" fontId="6" fillId="0" borderId="0" xfId="0" applyFont="1" applyAlignment="1">
      <alignment horizontal="center"/>
    </xf>
    <xf numFmtId="0" fontId="7" fillId="0" borderId="32" xfId="0" applyFont="1" applyBorder="1" applyAlignment="1">
      <alignment horizontal="center"/>
    </xf>
    <xf numFmtId="0" fontId="8" fillId="0" borderId="1" xfId="0" applyFont="1" applyBorder="1" applyAlignment="1">
      <alignment horizontal="center"/>
    </xf>
    <xf numFmtId="0" fontId="8" fillId="0" borderId="23"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8" fillId="0" borderId="33" xfId="0" applyFont="1" applyBorder="1" applyAlignment="1">
      <alignment horizontal="center"/>
    </xf>
    <xf numFmtId="0" fontId="8" fillId="0" borderId="5" xfId="0" applyFont="1" applyBorder="1" applyAlignment="1">
      <alignment horizontal="center"/>
    </xf>
    <xf numFmtId="0" fontId="15" fillId="0" borderId="31" xfId="0" applyFont="1" applyBorder="1" applyAlignment="1">
      <alignment horizontal="center"/>
    </xf>
    <xf numFmtId="0" fontId="15" fillId="0" borderId="13" xfId="0" applyFont="1" applyBorder="1" applyAlignment="1">
      <alignment horizontal="center"/>
    </xf>
    <xf numFmtId="0" fontId="8" fillId="0" borderId="9" xfId="0" applyFont="1" applyBorder="1" applyAlignment="1">
      <alignment horizontal="center"/>
    </xf>
    <xf numFmtId="0" fontId="8" fillId="0" borderId="2" xfId="0" applyFont="1" applyBorder="1" applyAlignment="1">
      <alignment horizontal="center"/>
    </xf>
    <xf numFmtId="0" fontId="8" fillId="0" borderId="34" xfId="0" applyFont="1" applyBorder="1" applyAlignment="1">
      <alignment horizontal="center"/>
    </xf>
    <xf numFmtId="0" fontId="15" fillId="0" borderId="35" xfId="0" applyFont="1" applyBorder="1" applyAlignment="1">
      <alignment horizontal="center"/>
    </xf>
    <xf numFmtId="0" fontId="7" fillId="0" borderId="19" xfId="0" applyFont="1" applyBorder="1" applyAlignment="1">
      <alignment horizontal="center"/>
    </xf>
    <xf numFmtId="0" fontId="16" fillId="10" borderId="10" xfId="0" applyFont="1" applyFill="1" applyBorder="1" applyAlignment="1">
      <alignment horizontal="center"/>
    </xf>
    <xf numFmtId="0" fontId="7" fillId="0" borderId="0" xfId="0" applyFont="1" applyAlignment="1">
      <alignment horizontal="center"/>
    </xf>
    <xf numFmtId="0" fontId="14" fillId="0" borderId="0" xfId="0" applyFont="1"/>
    <xf numFmtId="0" fontId="16" fillId="0" borderId="0" xfId="0" applyFont="1" applyAlignment="1">
      <alignment horizontal="center"/>
    </xf>
    <xf numFmtId="1" fontId="18" fillId="0" borderId="16" xfId="2" applyNumberFormat="1" applyFont="1" applyBorder="1" applyAlignment="1">
      <alignment horizontal="center"/>
    </xf>
    <xf numFmtId="1" fontId="18" fillId="5" borderId="5" xfId="0" applyNumberFormat="1" applyFont="1" applyFill="1" applyBorder="1" applyAlignment="1">
      <alignment horizontal="center"/>
    </xf>
    <xf numFmtId="1" fontId="18" fillId="0" borderId="5" xfId="0" applyNumberFormat="1" applyFont="1" applyBorder="1" applyAlignment="1">
      <alignment horizontal="center"/>
    </xf>
    <xf numFmtId="1" fontId="18" fillId="5" borderId="7" xfId="0" applyNumberFormat="1" applyFont="1" applyFill="1" applyBorder="1" applyAlignment="1">
      <alignment horizontal="center"/>
    </xf>
    <xf numFmtId="1" fontId="19" fillId="0" borderId="17" xfId="2" applyNumberFormat="1" applyFont="1" applyBorder="1" applyAlignment="1">
      <alignment horizontal="center"/>
    </xf>
    <xf numFmtId="1" fontId="19" fillId="5" borderId="6" xfId="0" applyNumberFormat="1" applyFont="1" applyFill="1" applyBorder="1" applyAlignment="1">
      <alignment horizontal="center"/>
    </xf>
    <xf numFmtId="1" fontId="19" fillId="0" borderId="6" xfId="0" applyNumberFormat="1" applyFont="1" applyBorder="1" applyAlignment="1">
      <alignment horizontal="center"/>
    </xf>
    <xf numFmtId="1" fontId="19" fillId="5" borderId="8" xfId="0" applyNumberFormat="1" applyFont="1" applyFill="1" applyBorder="1" applyAlignment="1">
      <alignment horizontal="center"/>
    </xf>
    <xf numFmtId="1" fontId="19" fillId="0" borderId="17" xfId="0" applyNumberFormat="1" applyFont="1" applyBorder="1" applyAlignment="1">
      <alignment horizontal="center"/>
    </xf>
    <xf numFmtId="0" fontId="15" fillId="0" borderId="14" xfId="0" applyFont="1" applyBorder="1" applyAlignment="1">
      <alignment horizontal="center"/>
    </xf>
    <xf numFmtId="0" fontId="7" fillId="9" borderId="44" xfId="0" applyFont="1" applyFill="1" applyBorder="1" applyAlignment="1">
      <alignment horizontal="center"/>
    </xf>
    <xf numFmtId="0" fontId="7" fillId="9" borderId="45" xfId="0" applyFont="1" applyFill="1" applyBorder="1" applyAlignment="1">
      <alignment horizontal="center"/>
    </xf>
    <xf numFmtId="0" fontId="14" fillId="9" borderId="46" xfId="0" applyFont="1" applyFill="1" applyBorder="1" applyAlignment="1">
      <alignment horizontal="center"/>
    </xf>
    <xf numFmtId="0" fontId="7" fillId="9" borderId="42" xfId="0" applyFont="1" applyFill="1" applyBorder="1" applyAlignment="1">
      <alignment horizontal="center"/>
    </xf>
    <xf numFmtId="0" fontId="7" fillId="9" borderId="47" xfId="0" applyFont="1" applyFill="1" applyBorder="1" applyAlignment="1">
      <alignment horizontal="center"/>
    </xf>
    <xf numFmtId="0" fontId="9" fillId="7" borderId="19" xfId="0" applyFont="1" applyFill="1" applyBorder="1" applyAlignment="1">
      <alignment horizontal="center"/>
    </xf>
    <xf numFmtId="0" fontId="9" fillId="7" borderId="20" xfId="0" applyFont="1" applyFill="1" applyBorder="1" applyAlignment="1">
      <alignment horizontal="center"/>
    </xf>
    <xf numFmtId="0" fontId="9" fillId="7" borderId="21" xfId="0" applyFont="1" applyFill="1" applyBorder="1" applyAlignment="1">
      <alignment horizontal="center"/>
    </xf>
    <xf numFmtId="0" fontId="8" fillId="0" borderId="11" xfId="0" applyFont="1" applyBorder="1" applyAlignment="1">
      <alignment horizontal="right"/>
    </xf>
    <xf numFmtId="0" fontId="8" fillId="0" borderId="29" xfId="0" applyFont="1" applyBorder="1" applyAlignment="1">
      <alignment horizontal="right"/>
    </xf>
    <xf numFmtId="0" fontId="8" fillId="9" borderId="11" xfId="0" applyFont="1" applyFill="1" applyBorder="1" applyAlignment="1">
      <alignment horizontal="right"/>
    </xf>
    <xf numFmtId="0" fontId="8" fillId="9" borderId="29" xfId="0" applyFont="1" applyFill="1" applyBorder="1" applyAlignment="1">
      <alignment horizontal="right"/>
    </xf>
    <xf numFmtId="0" fontId="8" fillId="9" borderId="12" xfId="0" applyFont="1" applyFill="1" applyBorder="1" applyAlignment="1">
      <alignment horizontal="right"/>
    </xf>
    <xf numFmtId="0" fontId="8" fillId="9" borderId="30" xfId="0" applyFont="1" applyFill="1" applyBorder="1" applyAlignment="1">
      <alignment horizontal="right"/>
    </xf>
    <xf numFmtId="0" fontId="10" fillId="0" borderId="23" xfId="0" applyFont="1" applyBorder="1" applyAlignment="1">
      <alignment horizontal="center"/>
    </xf>
    <xf numFmtId="0" fontId="10" fillId="0" borderId="24" xfId="0" applyFont="1" applyBorder="1" applyAlignment="1">
      <alignment horizontal="center"/>
    </xf>
    <xf numFmtId="0" fontId="10" fillId="0" borderId="25" xfId="0" applyFont="1" applyBorder="1" applyAlignment="1">
      <alignment horizontal="center"/>
    </xf>
    <xf numFmtId="0" fontId="20" fillId="8" borderId="19" xfId="0" applyFont="1" applyFill="1" applyBorder="1" applyAlignment="1">
      <alignment horizontal="center"/>
    </xf>
    <xf numFmtId="0" fontId="20" fillId="8" borderId="21" xfId="0" applyFont="1" applyFill="1" applyBorder="1" applyAlignment="1">
      <alignment horizontal="center"/>
    </xf>
    <xf numFmtId="0" fontId="17" fillId="9" borderId="43" xfId="0" applyFont="1" applyFill="1" applyBorder="1" applyAlignment="1">
      <alignment horizontal="center"/>
    </xf>
    <xf numFmtId="0" fontId="17" fillId="9" borderId="44" xfId="0" applyFont="1" applyFill="1" applyBorder="1" applyAlignment="1">
      <alignment horizontal="center"/>
    </xf>
    <xf numFmtId="0" fontId="13" fillId="8" borderId="19" xfId="0" applyFont="1" applyFill="1" applyBorder="1" applyAlignment="1">
      <alignment horizontal="center"/>
    </xf>
    <xf numFmtId="0" fontId="13" fillId="8" borderId="26" xfId="0" applyFont="1" applyFill="1" applyBorder="1" applyAlignment="1">
      <alignment horizontal="center"/>
    </xf>
    <xf numFmtId="0" fontId="13" fillId="8" borderId="32" xfId="0" applyFont="1" applyFill="1" applyBorder="1" applyAlignment="1">
      <alignment horizontal="center"/>
    </xf>
    <xf numFmtId="0" fontId="8" fillId="0" borderId="27" xfId="0" applyFont="1" applyBorder="1" applyAlignment="1">
      <alignment horizontal="right"/>
    </xf>
    <xf numFmtId="0" fontId="8" fillId="0" borderId="28" xfId="0" applyFont="1" applyBorder="1" applyAlignment="1">
      <alignment horizontal="right"/>
    </xf>
    <xf numFmtId="0" fontId="22" fillId="11" borderId="39" xfId="0" applyFont="1" applyFill="1" applyBorder="1" applyAlignment="1">
      <alignment horizontal="center" vertical="center"/>
    </xf>
    <xf numFmtId="0" fontId="22" fillId="11" borderId="40" xfId="0" applyFont="1" applyFill="1" applyBorder="1" applyAlignment="1">
      <alignment horizontal="center" vertical="center"/>
    </xf>
    <xf numFmtId="0" fontId="22" fillId="11" borderId="41" xfId="0" applyFont="1" applyFill="1" applyBorder="1" applyAlignment="1">
      <alignment horizontal="center" vertical="center"/>
    </xf>
    <xf numFmtId="0" fontId="1" fillId="12" borderId="39" xfId="0" applyFont="1" applyFill="1" applyBorder="1" applyAlignment="1">
      <alignment horizontal="center"/>
    </xf>
    <xf numFmtId="0" fontId="1" fillId="12" borderId="40" xfId="0" applyFont="1" applyFill="1" applyBorder="1" applyAlignment="1">
      <alignment horizontal="center"/>
    </xf>
    <xf numFmtId="0" fontId="1" fillId="12" borderId="41" xfId="0" applyFont="1" applyFill="1" applyBorder="1" applyAlignment="1">
      <alignment horizontal="center"/>
    </xf>
    <xf numFmtId="0" fontId="1" fillId="0" borderId="39" xfId="0" applyFont="1" applyBorder="1" applyAlignment="1">
      <alignment horizontal="center"/>
    </xf>
    <xf numFmtId="0" fontId="1" fillId="0" borderId="40" xfId="0" applyFont="1" applyBorder="1" applyAlignment="1">
      <alignment horizontal="center"/>
    </xf>
    <xf numFmtId="0" fontId="1" fillId="0" borderId="41" xfId="0" applyFont="1" applyBorder="1" applyAlignment="1">
      <alignment horizontal="center"/>
    </xf>
    <xf numFmtId="0" fontId="1" fillId="0" borderId="36" xfId="0" applyFont="1" applyBorder="1" applyAlignment="1">
      <alignment horizontal="center"/>
    </xf>
    <xf numFmtId="0" fontId="1" fillId="0" borderId="37" xfId="0" applyFont="1" applyBorder="1" applyAlignment="1">
      <alignment horizontal="center"/>
    </xf>
    <xf numFmtId="0" fontId="1" fillId="0" borderId="38" xfId="0" applyFont="1" applyBorder="1" applyAlignment="1">
      <alignment horizontal="center"/>
    </xf>
    <xf numFmtId="0" fontId="22" fillId="3" borderId="34" xfId="0" applyFont="1" applyFill="1" applyBorder="1" applyAlignment="1">
      <alignment horizontal="center"/>
    </xf>
    <xf numFmtId="0" fontId="22" fillId="3" borderId="34" xfId="0" applyFont="1" applyFill="1" applyBorder="1" applyAlignment="1">
      <alignment horizontal="left"/>
    </xf>
    <xf numFmtId="0" fontId="22" fillId="3" borderId="34" xfId="0" applyFont="1" applyFill="1" applyBorder="1"/>
    <xf numFmtId="0" fontId="22" fillId="14" borderId="50" xfId="0" applyFont="1" applyFill="1" applyBorder="1" applyAlignment="1">
      <alignment horizontal="center"/>
    </xf>
    <xf numFmtId="0" fontId="22" fillId="14" borderId="51" xfId="0" applyFont="1" applyFill="1" applyBorder="1" applyAlignment="1">
      <alignment horizontal="center"/>
    </xf>
    <xf numFmtId="0" fontId="22" fillId="14" borderId="51" xfId="0" applyFont="1" applyFill="1" applyBorder="1"/>
    <xf numFmtId="0" fontId="22" fillId="14" borderId="52" xfId="0" applyFont="1" applyFill="1" applyBorder="1" applyAlignment="1">
      <alignment horizontal="center"/>
    </xf>
    <xf numFmtId="0" fontId="1" fillId="13" borderId="53" xfId="0" applyFont="1" applyFill="1" applyBorder="1" applyAlignment="1">
      <alignment horizontal="center"/>
    </xf>
    <xf numFmtId="0" fontId="1" fillId="13" borderId="54" xfId="0" applyFont="1" applyFill="1" applyBorder="1" applyAlignment="1">
      <alignment horizontal="center"/>
    </xf>
    <xf numFmtId="0" fontId="1" fillId="13" borderId="54" xfId="0" applyFont="1" applyFill="1" applyBorder="1" applyAlignment="1">
      <alignment horizontal="left"/>
    </xf>
    <xf numFmtId="0" fontId="1" fillId="13" borderId="54" xfId="0" applyFont="1" applyFill="1" applyBorder="1"/>
    <xf numFmtId="0" fontId="3" fillId="13" borderId="54" xfId="1" applyFont="1" applyFill="1" applyBorder="1" applyAlignment="1">
      <alignment horizontal="center"/>
    </xf>
    <xf numFmtId="15" fontId="1" fillId="13" borderId="55" xfId="0" applyNumberFormat="1" applyFont="1" applyFill="1" applyBorder="1" applyAlignment="1">
      <alignment horizontal="center"/>
    </xf>
    <xf numFmtId="0" fontId="1" fillId="13" borderId="51" xfId="0" applyFont="1" applyFill="1" applyBorder="1" applyAlignment="1">
      <alignment horizontal="center"/>
    </xf>
    <xf numFmtId="0" fontId="1" fillId="13" borderId="51" xfId="0" applyFont="1" applyFill="1" applyBorder="1"/>
    <xf numFmtId="0" fontId="1" fillId="13" borderId="52" xfId="0" applyFont="1" applyFill="1" applyBorder="1" applyAlignment="1">
      <alignment horizontal="center"/>
    </xf>
    <xf numFmtId="0" fontId="1" fillId="0" borderId="56" xfId="0" applyFont="1" applyBorder="1" applyAlignment="1">
      <alignment horizontal="center"/>
    </xf>
    <xf numFmtId="0" fontId="1" fillId="0" borderId="34" xfId="0" applyFont="1" applyBorder="1" applyAlignment="1">
      <alignment horizontal="center"/>
    </xf>
    <xf numFmtId="0" fontId="1" fillId="0" borderId="34" xfId="0" applyFont="1" applyBorder="1" applyAlignment="1">
      <alignment horizontal="left"/>
    </xf>
    <xf numFmtId="0" fontId="1" fillId="0" borderId="34" xfId="0" applyFont="1" applyBorder="1"/>
    <xf numFmtId="0" fontId="3" fillId="0" borderId="34" xfId="1" applyFont="1" applyBorder="1" applyAlignment="1">
      <alignment horizontal="center"/>
    </xf>
    <xf numFmtId="15" fontId="1" fillId="0" borderId="55" xfId="0" applyNumberFormat="1" applyFont="1" applyBorder="1" applyAlignment="1">
      <alignment horizontal="center"/>
    </xf>
    <xf numFmtId="0" fontId="1" fillId="0" borderId="51" xfId="0" applyFont="1" applyBorder="1" applyAlignment="1">
      <alignment horizontal="center"/>
    </xf>
    <xf numFmtId="0" fontId="1" fillId="0" borderId="51" xfId="0" applyFont="1" applyBorder="1"/>
    <xf numFmtId="0" fontId="1" fillId="0" borderId="52" xfId="0" applyFont="1" applyBorder="1" applyAlignment="1">
      <alignment horizontal="center"/>
    </xf>
    <xf numFmtId="0" fontId="1" fillId="13" borderId="56" xfId="0" applyFont="1" applyFill="1" applyBorder="1" applyAlignment="1">
      <alignment horizontal="center"/>
    </xf>
    <xf numFmtId="0" fontId="1" fillId="13" borderId="34" xfId="0" applyFont="1" applyFill="1" applyBorder="1" applyAlignment="1">
      <alignment horizontal="center"/>
    </xf>
    <xf numFmtId="0" fontId="1" fillId="13" borderId="34" xfId="0" applyFont="1" applyFill="1" applyBorder="1" applyAlignment="1">
      <alignment horizontal="left"/>
    </xf>
    <xf numFmtId="0" fontId="1" fillId="13" borderId="34" xfId="0" applyFont="1" applyFill="1" applyBorder="1"/>
    <xf numFmtId="0" fontId="3" fillId="13" borderId="34" xfId="1" applyFont="1" applyFill="1" applyBorder="1" applyAlignment="1">
      <alignment horizontal="center"/>
    </xf>
    <xf numFmtId="0" fontId="1" fillId="2" borderId="34" xfId="0" applyFont="1" applyFill="1" applyBorder="1" applyAlignment="1">
      <alignment horizontal="left" vertical="center"/>
    </xf>
    <xf numFmtId="0" fontId="1" fillId="13" borderId="34" xfId="0" applyFont="1" applyFill="1" applyBorder="1" applyAlignment="1">
      <alignment horizontal="center" vertical="center"/>
    </xf>
    <xf numFmtId="0" fontId="1" fillId="0" borderId="34" xfId="0" applyFont="1" applyBorder="1" applyAlignment="1">
      <alignment horizontal="center" vertical="center"/>
    </xf>
    <xf numFmtId="0" fontId="1" fillId="0" borderId="55" xfId="0" applyFont="1" applyBorder="1" applyAlignment="1">
      <alignment horizontal="center"/>
    </xf>
    <xf numFmtId="0" fontId="1" fillId="13" borderId="55" xfId="0" applyFont="1" applyFill="1" applyBorder="1" applyAlignment="1">
      <alignment horizontal="center"/>
    </xf>
    <xf numFmtId="0" fontId="1" fillId="4" borderId="56" xfId="0" applyFont="1" applyFill="1" applyBorder="1" applyAlignment="1">
      <alignment horizontal="center"/>
    </xf>
    <xf numFmtId="0" fontId="1" fillId="0" borderId="53" xfId="0" applyFont="1" applyBorder="1" applyAlignment="1">
      <alignment horizontal="center"/>
    </xf>
    <xf numFmtId="0" fontId="1" fillId="0" borderId="54" xfId="0" applyFont="1" applyBorder="1" applyAlignment="1">
      <alignment horizontal="center"/>
    </xf>
    <xf numFmtId="0" fontId="1" fillId="0" borderId="54" xfId="0" applyFont="1" applyBorder="1" applyAlignment="1">
      <alignment horizontal="left"/>
    </xf>
    <xf numFmtId="0" fontId="1" fillId="0" borderId="54" xfId="0" applyFont="1" applyBorder="1"/>
    <xf numFmtId="0" fontId="3" fillId="0" borderId="54" xfId="1" applyFont="1" applyBorder="1" applyAlignment="1">
      <alignment horizontal="center"/>
    </xf>
    <xf numFmtId="15" fontId="1" fillId="0" borderId="50" xfId="0" applyNumberFormat="1" applyFont="1" applyBorder="1" applyAlignment="1">
      <alignment horizontal="center"/>
    </xf>
    <xf numFmtId="15" fontId="1" fillId="13" borderId="50" xfId="0" applyNumberFormat="1" applyFont="1" applyFill="1" applyBorder="1" applyAlignment="1">
      <alignment horizontal="center"/>
    </xf>
    <xf numFmtId="0" fontId="1" fillId="0" borderId="50" xfId="0" applyFont="1" applyBorder="1" applyAlignment="1">
      <alignment horizontal="center"/>
    </xf>
    <xf numFmtId="0" fontId="1" fillId="13" borderId="50" xfId="0" applyFont="1" applyFill="1" applyBorder="1" applyAlignment="1">
      <alignment horizontal="center"/>
    </xf>
    <xf numFmtId="0" fontId="2" fillId="13" borderId="34" xfId="1" applyFont="1" applyFill="1" applyBorder="1" applyAlignment="1">
      <alignment horizontal="center"/>
    </xf>
    <xf numFmtId="0" fontId="1" fillId="0" borderId="57" xfId="0" applyFont="1" applyBorder="1" applyAlignment="1">
      <alignment horizontal="center"/>
    </xf>
    <xf numFmtId="0" fontId="1" fillId="0" borderId="58" xfId="0" applyFont="1" applyBorder="1" applyAlignment="1">
      <alignment horizontal="center"/>
    </xf>
    <xf numFmtId="0" fontId="1" fillId="0" borderId="58" xfId="0" applyFont="1" applyBorder="1" applyAlignment="1">
      <alignment horizontal="left"/>
    </xf>
    <xf numFmtId="0" fontId="1" fillId="0" borderId="58" xfId="0" applyFont="1" applyBorder="1"/>
    <xf numFmtId="0" fontId="3" fillId="0" borderId="58" xfId="1" applyFont="1" applyBorder="1" applyAlignment="1">
      <alignment horizontal="center"/>
    </xf>
    <xf numFmtId="15" fontId="1" fillId="0" borderId="59" xfId="0" applyNumberFormat="1" applyFont="1" applyBorder="1" applyAlignment="1">
      <alignment horizontal="center"/>
    </xf>
    <xf numFmtId="0" fontId="1" fillId="0" borderId="48" xfId="0" applyFont="1" applyBorder="1" applyAlignment="1">
      <alignment horizontal="center"/>
    </xf>
    <xf numFmtId="0" fontId="1" fillId="0" borderId="48" xfId="0" applyFont="1" applyBorder="1"/>
    <xf numFmtId="0" fontId="1" fillId="0" borderId="49" xfId="0" applyFont="1" applyBorder="1" applyAlignment="1">
      <alignment horizontal="center"/>
    </xf>
    <xf numFmtId="0" fontId="21" fillId="13" borderId="52" xfId="0" applyFont="1" applyFill="1" applyBorder="1" applyAlignment="1">
      <alignment horizontal="center"/>
    </xf>
    <xf numFmtId="0" fontId="21" fillId="0" borderId="52" xfId="0" applyFont="1" applyBorder="1" applyAlignment="1">
      <alignment horizontal="center"/>
    </xf>
    <xf numFmtId="0" fontId="4" fillId="13" borderId="51" xfId="0" applyFont="1" applyFill="1" applyBorder="1"/>
    <xf numFmtId="0" fontId="2" fillId="0" borderId="34" xfId="1" applyFont="1" applyBorder="1" applyAlignment="1">
      <alignment horizontal="center"/>
    </xf>
    <xf numFmtId="0" fontId="1" fillId="13" borderId="51" xfId="0" applyFont="1" applyFill="1" applyBorder="1" applyAlignment="1">
      <alignment horizontal="left"/>
    </xf>
    <xf numFmtId="0" fontId="12" fillId="13" borderId="51" xfId="0" applyFont="1" applyFill="1" applyBorder="1"/>
    <xf numFmtId="0" fontId="21" fillId="0" borderId="49" xfId="0" applyFont="1" applyBorder="1" applyAlignment="1">
      <alignment horizontal="center"/>
    </xf>
    <xf numFmtId="0" fontId="7" fillId="18" borderId="60" xfId="0" applyFont="1" applyFill="1" applyBorder="1" applyAlignment="1">
      <alignment horizontal="right"/>
    </xf>
    <xf numFmtId="0" fontId="7" fillId="18" borderId="60" xfId="0" applyFont="1" applyFill="1" applyBorder="1" applyAlignment="1">
      <alignment horizontal="center"/>
    </xf>
    <xf numFmtId="0" fontId="7" fillId="17" borderId="60" xfId="0" applyFont="1" applyFill="1" applyBorder="1" applyAlignment="1">
      <alignment horizontal="right"/>
    </xf>
    <xf numFmtId="0" fontId="7" fillId="17" borderId="60" xfId="0" applyFont="1" applyFill="1" applyBorder="1" applyAlignment="1">
      <alignment horizontal="center"/>
    </xf>
    <xf numFmtId="0" fontId="7" fillId="16" borderId="60" xfId="0" applyFont="1" applyFill="1" applyBorder="1" applyAlignment="1">
      <alignment horizontal="right"/>
    </xf>
    <xf numFmtId="0" fontId="7" fillId="16" borderId="60" xfId="0" applyFont="1" applyFill="1" applyBorder="1" applyAlignment="1">
      <alignment horizontal="center"/>
    </xf>
    <xf numFmtId="0" fontId="23" fillId="15" borderId="60" xfId="0" applyFont="1" applyFill="1" applyBorder="1" applyAlignment="1">
      <alignment horizontal="right"/>
    </xf>
    <xf numFmtId="0" fontId="23" fillId="15" borderId="60" xfId="0" applyFont="1" applyFill="1" applyBorder="1" applyAlignment="1">
      <alignment horizontal="center"/>
    </xf>
    <xf numFmtId="0" fontId="24" fillId="19" borderId="60" xfId="0" applyFont="1" applyFill="1" applyBorder="1" applyAlignment="1">
      <alignment horizontal="center"/>
    </xf>
    <xf numFmtId="0" fontId="23" fillId="20" borderId="60" xfId="0" applyFont="1" applyFill="1" applyBorder="1" applyAlignment="1">
      <alignment horizontal="center"/>
    </xf>
    <xf numFmtId="0" fontId="7" fillId="18" borderId="60" xfId="0" applyFont="1" applyFill="1" applyBorder="1" applyAlignment="1">
      <alignment horizontal="center"/>
    </xf>
    <xf numFmtId="0" fontId="23" fillId="21" borderId="60" xfId="0" applyFont="1" applyFill="1" applyBorder="1" applyAlignment="1">
      <alignment horizontal="center"/>
    </xf>
    <xf numFmtId="0" fontId="25" fillId="11" borderId="60" xfId="0" applyFont="1" applyFill="1" applyBorder="1" applyAlignment="1">
      <alignment horizontal="center" vertical="center"/>
    </xf>
  </cellXfs>
  <cellStyles count="3">
    <cellStyle name="Hipervínculo" xfId="1" builtinId="8"/>
    <cellStyle name="Normal" xfId="0" builtinId="0"/>
    <cellStyle name="Porcentaje" xfId="2" builtinId="5"/>
  </cellStyles>
  <dxfs count="23">
    <dxf>
      <font>
        <b/>
        <i val="0"/>
        <color rgb="FF009A04"/>
      </font>
    </dxf>
    <dxf>
      <font>
        <color rgb="FF9C0006"/>
      </font>
      <fill>
        <patternFill>
          <bgColor rgb="FFFFC7CE"/>
        </patternFill>
      </fill>
    </dxf>
    <dxf>
      <font>
        <b/>
        <i val="0"/>
        <color rgb="FF009A04"/>
      </font>
    </dxf>
    <dxf>
      <font>
        <color rgb="FF9C0006"/>
      </font>
      <fill>
        <patternFill>
          <bgColor rgb="FFFFC7CE"/>
        </patternFill>
      </fill>
    </dxf>
    <dxf>
      <font>
        <b/>
        <i val="0"/>
        <color rgb="FF009A04"/>
      </font>
    </dxf>
    <dxf>
      <font>
        <color rgb="FF9C0006"/>
      </font>
      <fill>
        <patternFill>
          <bgColor rgb="FFFFC7CE"/>
        </patternFill>
      </fill>
    </dxf>
    <dxf>
      <font>
        <b/>
        <i val="0"/>
        <color rgb="FF009A04"/>
      </font>
    </dxf>
    <dxf>
      <font>
        <color rgb="FF9C0006"/>
      </font>
      <fill>
        <patternFill>
          <bgColor rgb="FFFFC7CE"/>
        </patternFill>
      </fill>
    </dxf>
    <dxf>
      <font>
        <b/>
        <i val="0"/>
        <color rgb="FF009A04"/>
      </font>
    </dxf>
    <dxf>
      <font>
        <color rgb="FF9C0006"/>
      </font>
      <fill>
        <patternFill>
          <bgColor rgb="FFFFC7CE"/>
        </patternFill>
      </fill>
    </dxf>
    <dxf>
      <font>
        <b/>
        <i val="0"/>
        <color rgb="FF009A04"/>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patternType="none">
          <bgColor auto="1"/>
        </patternFill>
      </fill>
    </dxf>
    <dxf>
      <fill>
        <patternFill>
          <bgColor theme="4" tint="0.79998168889431442"/>
        </patternFill>
      </fill>
    </dxf>
    <dxf>
      <fill>
        <patternFill>
          <bgColor theme="4" tint="0.59996337778862885"/>
        </patternFill>
      </fill>
    </dxf>
    <dxf>
      <fill>
        <patternFill>
          <bgColor theme="4" tint="0.39994506668294322"/>
        </patternFill>
      </fill>
    </dxf>
    <dxf>
      <fill>
        <patternFill>
          <bgColor theme="4" tint="-0.24994659260841701"/>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Completo-style" pivot="0" count="3" xr9:uid="{00000000-0011-0000-FFFF-FFFF00000000}">
      <tableStyleElement type="headerRow" dxfId="22"/>
      <tableStyleElement type="firstRowStripe" dxfId="21"/>
      <tableStyleElement type="secondRowStripe" dxfId="20"/>
    </tableStyle>
  </tableStyles>
  <colors>
    <mruColors>
      <color rgb="FF009A04"/>
      <color rgb="FFFFFF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Estadísticas!$A$28:$A$33</c:f>
              <c:strCache>
                <c:ptCount val="6"/>
                <c:pt idx="0">
                  <c:v>León</c:v>
                </c:pt>
                <c:pt idx="1">
                  <c:v>Silao</c:v>
                </c:pt>
                <c:pt idx="2">
                  <c:v>Guanajuato</c:v>
                </c:pt>
                <c:pt idx="3">
                  <c:v>Irapuato</c:v>
                </c:pt>
                <c:pt idx="4">
                  <c:v>Salamanca</c:v>
                </c:pt>
                <c:pt idx="5">
                  <c:v>Celaya</c:v>
                </c:pt>
              </c:strCache>
            </c:strRef>
          </c:cat>
          <c:val>
            <c:numRef>
              <c:f>Estadísticas!$B$28:$B$33</c:f>
              <c:numCache>
                <c:formatCode>General</c:formatCode>
                <c:ptCount val="6"/>
                <c:pt idx="0">
                  <c:v>12</c:v>
                </c:pt>
                <c:pt idx="1">
                  <c:v>5</c:v>
                </c:pt>
                <c:pt idx="2">
                  <c:v>5</c:v>
                </c:pt>
                <c:pt idx="3">
                  <c:v>1</c:v>
                </c:pt>
                <c:pt idx="4">
                  <c:v>3</c:v>
                </c:pt>
                <c:pt idx="5">
                  <c:v>2</c:v>
                </c:pt>
              </c:numCache>
            </c:numRef>
          </c:val>
          <c:smooth val="0"/>
          <c:extLst>
            <c:ext xmlns:c16="http://schemas.microsoft.com/office/drawing/2014/chart" uri="{C3380CC4-5D6E-409C-BE32-E72D297353CC}">
              <c16:uniqueId val="{00000000-7CD8-4140-B37B-151B77D2503D}"/>
            </c:ext>
          </c:extLst>
        </c:ser>
        <c:ser>
          <c:idx val="1"/>
          <c:order val="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Estadísticas!$A$28:$A$33</c:f>
              <c:strCache>
                <c:ptCount val="6"/>
                <c:pt idx="0">
                  <c:v>León</c:v>
                </c:pt>
                <c:pt idx="1">
                  <c:v>Silao</c:v>
                </c:pt>
                <c:pt idx="2">
                  <c:v>Guanajuato</c:v>
                </c:pt>
                <c:pt idx="3">
                  <c:v>Irapuato</c:v>
                </c:pt>
                <c:pt idx="4">
                  <c:v>Salamanca</c:v>
                </c:pt>
                <c:pt idx="5">
                  <c:v>Celaya</c:v>
                </c:pt>
              </c:strCache>
            </c:strRef>
          </c:cat>
          <c:val>
            <c:numRef>
              <c:f>Estadísticas!$C$28:$C$33</c:f>
              <c:numCache>
                <c:formatCode>General</c:formatCode>
                <c:ptCount val="6"/>
                <c:pt idx="0">
                  <c:v>9</c:v>
                </c:pt>
                <c:pt idx="1">
                  <c:v>0</c:v>
                </c:pt>
                <c:pt idx="2">
                  <c:v>4</c:v>
                </c:pt>
                <c:pt idx="3">
                  <c:v>0</c:v>
                </c:pt>
                <c:pt idx="4">
                  <c:v>3</c:v>
                </c:pt>
                <c:pt idx="5">
                  <c:v>1</c:v>
                </c:pt>
              </c:numCache>
            </c:numRef>
          </c:val>
          <c:smooth val="0"/>
          <c:extLst>
            <c:ext xmlns:c16="http://schemas.microsoft.com/office/drawing/2014/chart" uri="{C3380CC4-5D6E-409C-BE32-E72D297353CC}">
              <c16:uniqueId val="{00000001-7CD8-4140-B37B-151B77D2503D}"/>
            </c:ext>
          </c:extLst>
        </c:ser>
        <c:dLbls>
          <c:showLegendKey val="0"/>
          <c:showVal val="1"/>
          <c:showCatName val="0"/>
          <c:showSerName val="0"/>
          <c:showPercent val="0"/>
          <c:showBubbleSize val="0"/>
        </c:dLbls>
        <c:marker val="1"/>
        <c:smooth val="0"/>
        <c:axId val="538842160"/>
        <c:axId val="538838560"/>
      </c:lineChart>
      <c:catAx>
        <c:axId val="5388421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538838560"/>
        <c:crosses val="autoZero"/>
        <c:auto val="1"/>
        <c:lblAlgn val="ctr"/>
        <c:lblOffset val="100"/>
        <c:noMultiLvlLbl val="0"/>
      </c:catAx>
      <c:valAx>
        <c:axId val="5388385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53884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Estadísticas!$A$37:$A$42</c:f>
              <c:strCache>
                <c:ptCount val="6"/>
                <c:pt idx="0">
                  <c:v>León</c:v>
                </c:pt>
                <c:pt idx="1">
                  <c:v>Silao</c:v>
                </c:pt>
                <c:pt idx="2">
                  <c:v>Guanajuato</c:v>
                </c:pt>
                <c:pt idx="3">
                  <c:v>Irapuato</c:v>
                </c:pt>
                <c:pt idx="4">
                  <c:v>Salamanca</c:v>
                </c:pt>
                <c:pt idx="5">
                  <c:v>Celaya</c:v>
                </c:pt>
              </c:strCache>
            </c:strRef>
          </c:cat>
          <c:val>
            <c:numRef>
              <c:f>Estadísticas!$B$37:$B$42</c:f>
              <c:numCache>
                <c:formatCode>General</c:formatCode>
                <c:ptCount val="6"/>
                <c:pt idx="0">
                  <c:v>9</c:v>
                </c:pt>
                <c:pt idx="1">
                  <c:v>3</c:v>
                </c:pt>
                <c:pt idx="2">
                  <c:v>10</c:v>
                </c:pt>
                <c:pt idx="3">
                  <c:v>1</c:v>
                </c:pt>
                <c:pt idx="4">
                  <c:v>3</c:v>
                </c:pt>
                <c:pt idx="5">
                  <c:v>2</c:v>
                </c:pt>
              </c:numCache>
            </c:numRef>
          </c:val>
          <c:smooth val="0"/>
          <c:extLst>
            <c:ext xmlns:c16="http://schemas.microsoft.com/office/drawing/2014/chart" uri="{C3380CC4-5D6E-409C-BE32-E72D297353CC}">
              <c16:uniqueId val="{00000000-87EC-43B8-BEBB-71F39A63FC61}"/>
            </c:ext>
          </c:extLst>
        </c:ser>
        <c:ser>
          <c:idx val="1"/>
          <c:order val="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Estadísticas!$A$37:$A$42</c:f>
              <c:strCache>
                <c:ptCount val="6"/>
                <c:pt idx="0">
                  <c:v>León</c:v>
                </c:pt>
                <c:pt idx="1">
                  <c:v>Silao</c:v>
                </c:pt>
                <c:pt idx="2">
                  <c:v>Guanajuato</c:v>
                </c:pt>
                <c:pt idx="3">
                  <c:v>Irapuato</c:v>
                </c:pt>
                <c:pt idx="4">
                  <c:v>Salamanca</c:v>
                </c:pt>
                <c:pt idx="5">
                  <c:v>Celaya</c:v>
                </c:pt>
              </c:strCache>
            </c:strRef>
          </c:cat>
          <c:val>
            <c:numRef>
              <c:f>Estadísticas!$C$37:$C$42</c:f>
              <c:numCache>
                <c:formatCode>General</c:formatCode>
                <c:ptCount val="6"/>
                <c:pt idx="0">
                  <c:v>17</c:v>
                </c:pt>
                <c:pt idx="1">
                  <c:v>0</c:v>
                </c:pt>
                <c:pt idx="2">
                  <c:v>11</c:v>
                </c:pt>
                <c:pt idx="3">
                  <c:v>1</c:v>
                </c:pt>
                <c:pt idx="4">
                  <c:v>5</c:v>
                </c:pt>
                <c:pt idx="5">
                  <c:v>3</c:v>
                </c:pt>
              </c:numCache>
            </c:numRef>
          </c:val>
          <c:smooth val="0"/>
          <c:extLst>
            <c:ext xmlns:c16="http://schemas.microsoft.com/office/drawing/2014/chart" uri="{C3380CC4-5D6E-409C-BE32-E72D297353CC}">
              <c16:uniqueId val="{00000001-87EC-43B8-BEBB-71F39A63FC61}"/>
            </c:ext>
          </c:extLst>
        </c:ser>
        <c:dLbls>
          <c:dLblPos val="t"/>
          <c:showLegendKey val="0"/>
          <c:showVal val="1"/>
          <c:showCatName val="0"/>
          <c:showSerName val="0"/>
          <c:showPercent val="0"/>
          <c:showBubbleSize val="0"/>
        </c:dLbls>
        <c:marker val="1"/>
        <c:smooth val="0"/>
        <c:axId val="487382664"/>
        <c:axId val="487382304"/>
      </c:lineChart>
      <c:catAx>
        <c:axId val="487382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487382304"/>
        <c:crosses val="autoZero"/>
        <c:auto val="1"/>
        <c:lblAlgn val="ctr"/>
        <c:lblOffset val="100"/>
        <c:noMultiLvlLbl val="0"/>
      </c:catAx>
      <c:valAx>
        <c:axId val="4873823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487382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Estadísticas!$A$46:$A$51</c:f>
              <c:strCache>
                <c:ptCount val="6"/>
                <c:pt idx="0">
                  <c:v>León</c:v>
                </c:pt>
                <c:pt idx="1">
                  <c:v>Silao</c:v>
                </c:pt>
                <c:pt idx="2">
                  <c:v>Guanajuato</c:v>
                </c:pt>
                <c:pt idx="3">
                  <c:v>Irapuato</c:v>
                </c:pt>
                <c:pt idx="4">
                  <c:v>Salamanca</c:v>
                </c:pt>
                <c:pt idx="5">
                  <c:v>Celaya</c:v>
                </c:pt>
              </c:strCache>
            </c:strRef>
          </c:cat>
          <c:val>
            <c:numRef>
              <c:f>Estadísticas!$B$46:$B$51</c:f>
              <c:numCache>
                <c:formatCode>General</c:formatCode>
                <c:ptCount val="6"/>
                <c:pt idx="0">
                  <c:v>6</c:v>
                </c:pt>
                <c:pt idx="1">
                  <c:v>4</c:v>
                </c:pt>
                <c:pt idx="2">
                  <c:v>7</c:v>
                </c:pt>
                <c:pt idx="3">
                  <c:v>1</c:v>
                </c:pt>
                <c:pt idx="4">
                  <c:v>3</c:v>
                </c:pt>
                <c:pt idx="5">
                  <c:v>2</c:v>
                </c:pt>
              </c:numCache>
            </c:numRef>
          </c:val>
          <c:smooth val="0"/>
          <c:extLst>
            <c:ext xmlns:c16="http://schemas.microsoft.com/office/drawing/2014/chart" uri="{C3380CC4-5D6E-409C-BE32-E72D297353CC}">
              <c16:uniqueId val="{00000000-B8E7-44E1-A7A5-0F12255580A4}"/>
            </c:ext>
          </c:extLst>
        </c:ser>
        <c:ser>
          <c:idx val="1"/>
          <c:order val="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Estadísticas!$A$46:$A$51</c:f>
              <c:strCache>
                <c:ptCount val="6"/>
                <c:pt idx="0">
                  <c:v>León</c:v>
                </c:pt>
                <c:pt idx="1">
                  <c:v>Silao</c:v>
                </c:pt>
                <c:pt idx="2">
                  <c:v>Guanajuato</c:v>
                </c:pt>
                <c:pt idx="3">
                  <c:v>Irapuato</c:v>
                </c:pt>
                <c:pt idx="4">
                  <c:v>Salamanca</c:v>
                </c:pt>
                <c:pt idx="5">
                  <c:v>Celaya</c:v>
                </c:pt>
              </c:strCache>
            </c:strRef>
          </c:cat>
          <c:val>
            <c:numRef>
              <c:f>Estadísticas!$C$46:$C$51</c:f>
              <c:numCache>
                <c:formatCode>General</c:formatCode>
                <c:ptCount val="6"/>
                <c:pt idx="0">
                  <c:v>10</c:v>
                </c:pt>
                <c:pt idx="1">
                  <c:v>0</c:v>
                </c:pt>
                <c:pt idx="2">
                  <c:v>7</c:v>
                </c:pt>
                <c:pt idx="3">
                  <c:v>0</c:v>
                </c:pt>
                <c:pt idx="4">
                  <c:v>4</c:v>
                </c:pt>
                <c:pt idx="5">
                  <c:v>2</c:v>
                </c:pt>
              </c:numCache>
            </c:numRef>
          </c:val>
          <c:smooth val="0"/>
          <c:extLst>
            <c:ext xmlns:c16="http://schemas.microsoft.com/office/drawing/2014/chart" uri="{C3380CC4-5D6E-409C-BE32-E72D297353CC}">
              <c16:uniqueId val="{00000001-B8E7-44E1-A7A5-0F12255580A4}"/>
            </c:ext>
          </c:extLst>
        </c:ser>
        <c:dLbls>
          <c:dLblPos val="t"/>
          <c:showLegendKey val="0"/>
          <c:showVal val="1"/>
          <c:showCatName val="0"/>
          <c:showSerName val="0"/>
          <c:showPercent val="0"/>
          <c:showBubbleSize val="0"/>
        </c:dLbls>
        <c:marker val="1"/>
        <c:smooth val="0"/>
        <c:axId val="540007640"/>
        <c:axId val="540006920"/>
      </c:lineChart>
      <c:catAx>
        <c:axId val="5400076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540006920"/>
        <c:crosses val="autoZero"/>
        <c:auto val="1"/>
        <c:lblAlgn val="ctr"/>
        <c:lblOffset val="100"/>
        <c:noMultiLvlLbl val="0"/>
      </c:catAx>
      <c:valAx>
        <c:axId val="5400069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540007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Estadísticas!$A$55:$A$60</c:f>
              <c:strCache>
                <c:ptCount val="6"/>
                <c:pt idx="0">
                  <c:v>León</c:v>
                </c:pt>
                <c:pt idx="1">
                  <c:v>Silao</c:v>
                </c:pt>
                <c:pt idx="2">
                  <c:v>Guanajuato</c:v>
                </c:pt>
                <c:pt idx="3">
                  <c:v>Irapuato</c:v>
                </c:pt>
                <c:pt idx="4">
                  <c:v>Salamanca</c:v>
                </c:pt>
                <c:pt idx="5">
                  <c:v>Celaya</c:v>
                </c:pt>
              </c:strCache>
            </c:strRef>
          </c:cat>
          <c:val>
            <c:numRef>
              <c:f>Estadísticas!$B$55:$B$60</c:f>
              <c:numCache>
                <c:formatCode>General</c:formatCode>
                <c:ptCount val="6"/>
                <c:pt idx="0">
                  <c:v>16</c:v>
                </c:pt>
                <c:pt idx="1">
                  <c:v>4</c:v>
                </c:pt>
                <c:pt idx="2">
                  <c:v>13</c:v>
                </c:pt>
                <c:pt idx="3">
                  <c:v>3</c:v>
                </c:pt>
                <c:pt idx="4">
                  <c:v>5</c:v>
                </c:pt>
                <c:pt idx="5">
                  <c:v>2</c:v>
                </c:pt>
              </c:numCache>
            </c:numRef>
          </c:val>
          <c:smooth val="0"/>
          <c:extLst>
            <c:ext xmlns:c16="http://schemas.microsoft.com/office/drawing/2014/chart" uri="{C3380CC4-5D6E-409C-BE32-E72D297353CC}">
              <c16:uniqueId val="{00000000-152C-4C40-BDFB-970CF7399CCD}"/>
            </c:ext>
          </c:extLst>
        </c:ser>
        <c:ser>
          <c:idx val="1"/>
          <c:order val="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Estadísticas!$A$55:$A$60</c:f>
              <c:strCache>
                <c:ptCount val="6"/>
                <c:pt idx="0">
                  <c:v>León</c:v>
                </c:pt>
                <c:pt idx="1">
                  <c:v>Silao</c:v>
                </c:pt>
                <c:pt idx="2">
                  <c:v>Guanajuato</c:v>
                </c:pt>
                <c:pt idx="3">
                  <c:v>Irapuato</c:v>
                </c:pt>
                <c:pt idx="4">
                  <c:v>Salamanca</c:v>
                </c:pt>
                <c:pt idx="5">
                  <c:v>Celaya</c:v>
                </c:pt>
              </c:strCache>
            </c:strRef>
          </c:cat>
          <c:val>
            <c:numRef>
              <c:f>Estadísticas!$C$55:$C$60</c:f>
              <c:numCache>
                <c:formatCode>General</c:formatCode>
                <c:ptCount val="6"/>
                <c:pt idx="0">
                  <c:v>29</c:v>
                </c:pt>
                <c:pt idx="1">
                  <c:v>0</c:v>
                </c:pt>
                <c:pt idx="2">
                  <c:v>13</c:v>
                </c:pt>
                <c:pt idx="3">
                  <c:v>1</c:v>
                </c:pt>
                <c:pt idx="4">
                  <c:v>6</c:v>
                </c:pt>
                <c:pt idx="5">
                  <c:v>2</c:v>
                </c:pt>
              </c:numCache>
            </c:numRef>
          </c:val>
          <c:smooth val="0"/>
          <c:extLst>
            <c:ext xmlns:c16="http://schemas.microsoft.com/office/drawing/2014/chart" uri="{C3380CC4-5D6E-409C-BE32-E72D297353CC}">
              <c16:uniqueId val="{00000001-152C-4C40-BDFB-970CF7399CCD}"/>
            </c:ext>
          </c:extLst>
        </c:ser>
        <c:dLbls>
          <c:dLblPos val="t"/>
          <c:showLegendKey val="0"/>
          <c:showVal val="1"/>
          <c:showCatName val="0"/>
          <c:showSerName val="0"/>
          <c:showPercent val="0"/>
          <c:showBubbleSize val="0"/>
        </c:dLbls>
        <c:marker val="1"/>
        <c:smooth val="0"/>
        <c:axId val="341936640"/>
        <c:axId val="341937360"/>
      </c:lineChart>
      <c:catAx>
        <c:axId val="3419366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341937360"/>
        <c:crosses val="autoZero"/>
        <c:auto val="1"/>
        <c:lblAlgn val="ctr"/>
        <c:lblOffset val="100"/>
        <c:noMultiLvlLbl val="0"/>
      </c:catAx>
      <c:valAx>
        <c:axId val="341937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34193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Estadísticas!$A$64:$A$69</c:f>
              <c:strCache>
                <c:ptCount val="6"/>
                <c:pt idx="0">
                  <c:v>León</c:v>
                </c:pt>
                <c:pt idx="1">
                  <c:v>Silao</c:v>
                </c:pt>
                <c:pt idx="2">
                  <c:v>Guanajuato</c:v>
                </c:pt>
                <c:pt idx="3">
                  <c:v>Irapuato</c:v>
                </c:pt>
                <c:pt idx="4">
                  <c:v>Salamanca</c:v>
                </c:pt>
                <c:pt idx="5">
                  <c:v>Celaya</c:v>
                </c:pt>
              </c:strCache>
            </c:strRef>
          </c:cat>
          <c:val>
            <c:numRef>
              <c:f>Estadísticas!$B$64:$B$69</c:f>
              <c:numCache>
                <c:formatCode>General</c:formatCode>
                <c:ptCount val="6"/>
                <c:pt idx="0">
                  <c:v>6</c:v>
                </c:pt>
                <c:pt idx="1">
                  <c:v>3</c:v>
                </c:pt>
                <c:pt idx="2">
                  <c:v>7</c:v>
                </c:pt>
                <c:pt idx="3">
                  <c:v>1</c:v>
                </c:pt>
                <c:pt idx="4">
                  <c:v>3</c:v>
                </c:pt>
                <c:pt idx="5">
                  <c:v>2</c:v>
                </c:pt>
              </c:numCache>
            </c:numRef>
          </c:val>
          <c:smooth val="0"/>
          <c:extLst>
            <c:ext xmlns:c16="http://schemas.microsoft.com/office/drawing/2014/chart" uri="{C3380CC4-5D6E-409C-BE32-E72D297353CC}">
              <c16:uniqueId val="{00000000-3CEB-46DD-9D9D-00ADA9A7B854}"/>
            </c:ext>
          </c:extLst>
        </c:ser>
        <c:ser>
          <c:idx val="1"/>
          <c:order val="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Estadísticas!$A$64:$A$69</c:f>
              <c:strCache>
                <c:ptCount val="6"/>
                <c:pt idx="0">
                  <c:v>León</c:v>
                </c:pt>
                <c:pt idx="1">
                  <c:v>Silao</c:v>
                </c:pt>
                <c:pt idx="2">
                  <c:v>Guanajuato</c:v>
                </c:pt>
                <c:pt idx="3">
                  <c:v>Irapuato</c:v>
                </c:pt>
                <c:pt idx="4">
                  <c:v>Salamanca</c:v>
                </c:pt>
                <c:pt idx="5">
                  <c:v>Celaya</c:v>
                </c:pt>
              </c:strCache>
            </c:strRef>
          </c:cat>
          <c:val>
            <c:numRef>
              <c:f>Estadísticas!$C$64:$C$69</c:f>
              <c:numCache>
                <c:formatCode>General</c:formatCode>
                <c:ptCount val="6"/>
                <c:pt idx="0">
                  <c:v>11</c:v>
                </c:pt>
                <c:pt idx="1">
                  <c:v>0</c:v>
                </c:pt>
                <c:pt idx="2">
                  <c:v>8</c:v>
                </c:pt>
                <c:pt idx="3">
                  <c:v>0</c:v>
                </c:pt>
                <c:pt idx="4">
                  <c:v>5</c:v>
                </c:pt>
                <c:pt idx="5">
                  <c:v>2</c:v>
                </c:pt>
              </c:numCache>
            </c:numRef>
          </c:val>
          <c:smooth val="0"/>
          <c:extLst>
            <c:ext xmlns:c16="http://schemas.microsoft.com/office/drawing/2014/chart" uri="{C3380CC4-5D6E-409C-BE32-E72D297353CC}">
              <c16:uniqueId val="{00000001-3CEB-46DD-9D9D-00ADA9A7B854}"/>
            </c:ext>
          </c:extLst>
        </c:ser>
        <c:dLbls>
          <c:dLblPos val="t"/>
          <c:showLegendKey val="0"/>
          <c:showVal val="1"/>
          <c:showCatName val="0"/>
          <c:showSerName val="0"/>
          <c:showPercent val="0"/>
          <c:showBubbleSize val="0"/>
        </c:dLbls>
        <c:marker val="1"/>
        <c:smooth val="0"/>
        <c:axId val="546880400"/>
        <c:axId val="546880760"/>
      </c:lineChart>
      <c:catAx>
        <c:axId val="546880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546880760"/>
        <c:crosses val="autoZero"/>
        <c:auto val="1"/>
        <c:lblAlgn val="ctr"/>
        <c:lblOffset val="100"/>
        <c:noMultiLvlLbl val="0"/>
      </c:catAx>
      <c:valAx>
        <c:axId val="5468807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5468804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Estadísticas!$A$73:$A$78</c:f>
              <c:strCache>
                <c:ptCount val="6"/>
                <c:pt idx="0">
                  <c:v>León</c:v>
                </c:pt>
                <c:pt idx="1">
                  <c:v>Silao</c:v>
                </c:pt>
                <c:pt idx="2">
                  <c:v>Guanajuato</c:v>
                </c:pt>
                <c:pt idx="3">
                  <c:v>Irapuato</c:v>
                </c:pt>
                <c:pt idx="4">
                  <c:v>Salamanca</c:v>
                </c:pt>
                <c:pt idx="5">
                  <c:v>Celaya</c:v>
                </c:pt>
              </c:strCache>
            </c:strRef>
          </c:cat>
          <c:val>
            <c:numRef>
              <c:f>Estadísticas!$B$73:$B$78</c:f>
              <c:numCache>
                <c:formatCode>General</c:formatCode>
                <c:ptCount val="6"/>
                <c:pt idx="0">
                  <c:v>12</c:v>
                </c:pt>
                <c:pt idx="1">
                  <c:v>5</c:v>
                </c:pt>
                <c:pt idx="2">
                  <c:v>11</c:v>
                </c:pt>
                <c:pt idx="3">
                  <c:v>2</c:v>
                </c:pt>
                <c:pt idx="4">
                  <c:v>3</c:v>
                </c:pt>
                <c:pt idx="5">
                  <c:v>2</c:v>
                </c:pt>
              </c:numCache>
            </c:numRef>
          </c:val>
          <c:smooth val="0"/>
          <c:extLst>
            <c:ext xmlns:c16="http://schemas.microsoft.com/office/drawing/2014/chart" uri="{C3380CC4-5D6E-409C-BE32-E72D297353CC}">
              <c16:uniqueId val="{00000000-BDC3-4530-98A9-DA89B8C77C0F}"/>
            </c:ext>
          </c:extLst>
        </c:ser>
        <c:ser>
          <c:idx val="1"/>
          <c:order val="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Estadísticas!$A$73:$A$78</c:f>
              <c:strCache>
                <c:ptCount val="6"/>
                <c:pt idx="0">
                  <c:v>León</c:v>
                </c:pt>
                <c:pt idx="1">
                  <c:v>Silao</c:v>
                </c:pt>
                <c:pt idx="2">
                  <c:v>Guanajuato</c:v>
                </c:pt>
                <c:pt idx="3">
                  <c:v>Irapuato</c:v>
                </c:pt>
                <c:pt idx="4">
                  <c:v>Salamanca</c:v>
                </c:pt>
                <c:pt idx="5">
                  <c:v>Celaya</c:v>
                </c:pt>
              </c:strCache>
            </c:strRef>
          </c:cat>
          <c:val>
            <c:numRef>
              <c:f>Estadísticas!$C$73:$C$78</c:f>
              <c:numCache>
                <c:formatCode>General</c:formatCode>
                <c:ptCount val="6"/>
                <c:pt idx="0">
                  <c:v>31</c:v>
                </c:pt>
                <c:pt idx="1">
                  <c:v>0</c:v>
                </c:pt>
                <c:pt idx="2">
                  <c:v>13</c:v>
                </c:pt>
                <c:pt idx="3">
                  <c:v>1</c:v>
                </c:pt>
                <c:pt idx="4">
                  <c:v>6</c:v>
                </c:pt>
                <c:pt idx="5">
                  <c:v>3</c:v>
                </c:pt>
              </c:numCache>
            </c:numRef>
          </c:val>
          <c:smooth val="0"/>
          <c:extLst>
            <c:ext xmlns:c16="http://schemas.microsoft.com/office/drawing/2014/chart" uri="{C3380CC4-5D6E-409C-BE32-E72D297353CC}">
              <c16:uniqueId val="{00000001-BDC3-4530-98A9-DA89B8C77C0F}"/>
            </c:ext>
          </c:extLst>
        </c:ser>
        <c:dLbls>
          <c:dLblPos val="t"/>
          <c:showLegendKey val="0"/>
          <c:showVal val="1"/>
          <c:showCatName val="0"/>
          <c:showSerName val="0"/>
          <c:showPercent val="0"/>
          <c:showBubbleSize val="0"/>
        </c:dLbls>
        <c:marker val="1"/>
        <c:smooth val="0"/>
        <c:axId val="546081200"/>
        <c:axId val="546085880"/>
      </c:lineChart>
      <c:catAx>
        <c:axId val="5460812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546085880"/>
        <c:crosses val="autoZero"/>
        <c:auto val="1"/>
        <c:lblAlgn val="ctr"/>
        <c:lblOffset val="100"/>
        <c:noMultiLvlLbl val="0"/>
      </c:catAx>
      <c:valAx>
        <c:axId val="546085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5460812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Estadísticas!$A$82:$A$87</c:f>
              <c:strCache>
                <c:ptCount val="6"/>
                <c:pt idx="0">
                  <c:v>León</c:v>
                </c:pt>
                <c:pt idx="1">
                  <c:v>Silao</c:v>
                </c:pt>
                <c:pt idx="2">
                  <c:v>Guanajuato</c:v>
                </c:pt>
                <c:pt idx="3">
                  <c:v>Irapuato</c:v>
                </c:pt>
                <c:pt idx="4">
                  <c:v>Salamanca</c:v>
                </c:pt>
                <c:pt idx="5">
                  <c:v>Celaya</c:v>
                </c:pt>
              </c:strCache>
            </c:strRef>
          </c:cat>
          <c:val>
            <c:numRef>
              <c:f>Estadísticas!$B$82:$B$87</c:f>
              <c:numCache>
                <c:formatCode>General</c:formatCode>
                <c:ptCount val="6"/>
                <c:pt idx="0">
                  <c:v>25</c:v>
                </c:pt>
                <c:pt idx="1">
                  <c:v>6</c:v>
                </c:pt>
                <c:pt idx="2">
                  <c:v>17</c:v>
                </c:pt>
                <c:pt idx="3">
                  <c:v>4</c:v>
                </c:pt>
                <c:pt idx="4">
                  <c:v>3</c:v>
                </c:pt>
                <c:pt idx="5">
                  <c:v>2</c:v>
                </c:pt>
              </c:numCache>
            </c:numRef>
          </c:val>
          <c:smooth val="0"/>
          <c:extLst>
            <c:ext xmlns:c16="http://schemas.microsoft.com/office/drawing/2014/chart" uri="{C3380CC4-5D6E-409C-BE32-E72D297353CC}">
              <c16:uniqueId val="{00000000-9DD3-4621-A193-DB53D26890D8}"/>
            </c:ext>
          </c:extLst>
        </c:ser>
        <c:ser>
          <c:idx val="1"/>
          <c:order val="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Estadísticas!$A$82:$A$87</c:f>
              <c:strCache>
                <c:ptCount val="6"/>
                <c:pt idx="0">
                  <c:v>León</c:v>
                </c:pt>
                <c:pt idx="1">
                  <c:v>Silao</c:v>
                </c:pt>
                <c:pt idx="2">
                  <c:v>Guanajuato</c:v>
                </c:pt>
                <c:pt idx="3">
                  <c:v>Irapuato</c:v>
                </c:pt>
                <c:pt idx="4">
                  <c:v>Salamanca</c:v>
                </c:pt>
                <c:pt idx="5">
                  <c:v>Celaya</c:v>
                </c:pt>
              </c:strCache>
            </c:strRef>
          </c:cat>
          <c:val>
            <c:numRef>
              <c:f>Estadísticas!$C$82:$C$87</c:f>
              <c:numCache>
                <c:formatCode>General</c:formatCode>
                <c:ptCount val="6"/>
                <c:pt idx="0">
                  <c:v>33</c:v>
                </c:pt>
                <c:pt idx="1">
                  <c:v>0</c:v>
                </c:pt>
                <c:pt idx="2">
                  <c:v>13</c:v>
                </c:pt>
                <c:pt idx="3">
                  <c:v>1</c:v>
                </c:pt>
                <c:pt idx="4">
                  <c:v>7</c:v>
                </c:pt>
                <c:pt idx="5">
                  <c:v>2</c:v>
                </c:pt>
              </c:numCache>
            </c:numRef>
          </c:val>
          <c:smooth val="0"/>
          <c:extLst>
            <c:ext xmlns:c16="http://schemas.microsoft.com/office/drawing/2014/chart" uri="{C3380CC4-5D6E-409C-BE32-E72D297353CC}">
              <c16:uniqueId val="{00000001-9DD3-4621-A193-DB53D26890D8}"/>
            </c:ext>
          </c:extLst>
        </c:ser>
        <c:dLbls>
          <c:dLblPos val="t"/>
          <c:showLegendKey val="0"/>
          <c:showVal val="1"/>
          <c:showCatName val="0"/>
          <c:showSerName val="0"/>
          <c:showPercent val="0"/>
          <c:showBubbleSize val="0"/>
        </c:dLbls>
        <c:marker val="1"/>
        <c:smooth val="0"/>
        <c:axId val="486376128"/>
        <c:axId val="486374328"/>
      </c:lineChart>
      <c:catAx>
        <c:axId val="486376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486374328"/>
        <c:crosses val="autoZero"/>
        <c:auto val="1"/>
        <c:lblAlgn val="ctr"/>
        <c:lblOffset val="100"/>
        <c:noMultiLvlLbl val="0"/>
      </c:catAx>
      <c:valAx>
        <c:axId val="4863743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4863761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Estadísticas!$A$91:$A$96</c:f>
              <c:strCache>
                <c:ptCount val="6"/>
                <c:pt idx="0">
                  <c:v>León</c:v>
                </c:pt>
                <c:pt idx="1">
                  <c:v>Silao</c:v>
                </c:pt>
                <c:pt idx="2">
                  <c:v>Guanajuato</c:v>
                </c:pt>
                <c:pt idx="3">
                  <c:v>Irapuato</c:v>
                </c:pt>
                <c:pt idx="4">
                  <c:v>Salamanca</c:v>
                </c:pt>
                <c:pt idx="5">
                  <c:v>Celaya</c:v>
                </c:pt>
              </c:strCache>
            </c:strRef>
          </c:cat>
          <c:val>
            <c:numRef>
              <c:f>Estadísticas!$B$91:$B$96</c:f>
              <c:numCache>
                <c:formatCode>General</c:formatCode>
                <c:ptCount val="6"/>
                <c:pt idx="0">
                  <c:v>45</c:v>
                </c:pt>
                <c:pt idx="1">
                  <c:v>11</c:v>
                </c:pt>
                <c:pt idx="2">
                  <c:v>13</c:v>
                </c:pt>
                <c:pt idx="3">
                  <c:v>11</c:v>
                </c:pt>
                <c:pt idx="4">
                  <c:v>8</c:v>
                </c:pt>
                <c:pt idx="5">
                  <c:v>6</c:v>
                </c:pt>
              </c:numCache>
            </c:numRef>
          </c:val>
          <c:smooth val="0"/>
          <c:extLst>
            <c:ext xmlns:c16="http://schemas.microsoft.com/office/drawing/2014/chart" uri="{C3380CC4-5D6E-409C-BE32-E72D297353CC}">
              <c16:uniqueId val="{00000000-771F-4F74-BDD0-09037C7DA809}"/>
            </c:ext>
          </c:extLst>
        </c:ser>
        <c:ser>
          <c:idx val="1"/>
          <c:order val="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Estadísticas!$A$91:$A$96</c:f>
              <c:strCache>
                <c:ptCount val="6"/>
                <c:pt idx="0">
                  <c:v>León</c:v>
                </c:pt>
                <c:pt idx="1">
                  <c:v>Silao</c:v>
                </c:pt>
                <c:pt idx="2">
                  <c:v>Guanajuato</c:v>
                </c:pt>
                <c:pt idx="3">
                  <c:v>Irapuato</c:v>
                </c:pt>
                <c:pt idx="4">
                  <c:v>Salamanca</c:v>
                </c:pt>
                <c:pt idx="5">
                  <c:v>Celaya</c:v>
                </c:pt>
              </c:strCache>
            </c:strRef>
          </c:cat>
          <c:val>
            <c:numRef>
              <c:f>Estadísticas!$C$91:$C$96</c:f>
              <c:numCache>
                <c:formatCode>General</c:formatCode>
                <c:ptCount val="6"/>
                <c:pt idx="0">
                  <c:v>55</c:v>
                </c:pt>
                <c:pt idx="1">
                  <c:v>47</c:v>
                </c:pt>
                <c:pt idx="2">
                  <c:v>21</c:v>
                </c:pt>
                <c:pt idx="3">
                  <c:v>41</c:v>
                </c:pt>
                <c:pt idx="4">
                  <c:v>9</c:v>
                </c:pt>
                <c:pt idx="5">
                  <c:v>8</c:v>
                </c:pt>
              </c:numCache>
            </c:numRef>
          </c:val>
          <c:smooth val="0"/>
          <c:extLst>
            <c:ext xmlns:c16="http://schemas.microsoft.com/office/drawing/2014/chart" uri="{C3380CC4-5D6E-409C-BE32-E72D297353CC}">
              <c16:uniqueId val="{00000001-771F-4F74-BDD0-09037C7DA809}"/>
            </c:ext>
          </c:extLst>
        </c:ser>
        <c:dLbls>
          <c:dLblPos val="t"/>
          <c:showLegendKey val="0"/>
          <c:showVal val="1"/>
          <c:showCatName val="0"/>
          <c:showSerName val="0"/>
          <c:showPercent val="0"/>
          <c:showBubbleSize val="0"/>
        </c:dLbls>
        <c:marker val="1"/>
        <c:smooth val="0"/>
        <c:axId val="492603608"/>
        <c:axId val="492599648"/>
      </c:lineChart>
      <c:catAx>
        <c:axId val="492603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492599648"/>
        <c:crosses val="autoZero"/>
        <c:auto val="1"/>
        <c:lblAlgn val="ctr"/>
        <c:lblOffset val="100"/>
        <c:noMultiLvlLbl val="0"/>
      </c:catAx>
      <c:valAx>
        <c:axId val="492599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492603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247649</xdr:colOff>
      <xdr:row>25</xdr:row>
      <xdr:rowOff>4762</xdr:rowOff>
    </xdr:from>
    <xdr:to>
      <xdr:col>20</xdr:col>
      <xdr:colOff>9525</xdr:colOff>
      <xdr:row>33</xdr:row>
      <xdr:rowOff>9525</xdr:rowOff>
    </xdr:to>
    <xdr:graphicFrame macro="">
      <xdr:nvGraphicFramePr>
        <xdr:cNvPr id="2" name="Gráfico 1">
          <a:extLst>
            <a:ext uri="{FF2B5EF4-FFF2-40B4-BE49-F238E27FC236}">
              <a16:creationId xmlns:a16="http://schemas.microsoft.com/office/drawing/2014/main" id="{DAD61B39-655D-AF8C-28FF-B54AE3FB6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257175</xdr:colOff>
      <xdr:row>33</xdr:row>
      <xdr:rowOff>185737</xdr:rowOff>
    </xdr:from>
    <xdr:to>
      <xdr:col>20</xdr:col>
      <xdr:colOff>9525</xdr:colOff>
      <xdr:row>41</xdr:row>
      <xdr:rowOff>180975</xdr:rowOff>
    </xdr:to>
    <xdr:graphicFrame macro="">
      <xdr:nvGraphicFramePr>
        <xdr:cNvPr id="3" name="Gráfico 2">
          <a:extLst>
            <a:ext uri="{FF2B5EF4-FFF2-40B4-BE49-F238E27FC236}">
              <a16:creationId xmlns:a16="http://schemas.microsoft.com/office/drawing/2014/main" id="{315904A5-9952-0671-891B-77E63EF06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228599</xdr:colOff>
      <xdr:row>42</xdr:row>
      <xdr:rowOff>180976</xdr:rowOff>
    </xdr:from>
    <xdr:to>
      <xdr:col>20</xdr:col>
      <xdr:colOff>19049</xdr:colOff>
      <xdr:row>51</xdr:row>
      <xdr:rowOff>1</xdr:rowOff>
    </xdr:to>
    <xdr:graphicFrame macro="">
      <xdr:nvGraphicFramePr>
        <xdr:cNvPr id="4" name="Gráfico 3">
          <a:extLst>
            <a:ext uri="{FF2B5EF4-FFF2-40B4-BE49-F238E27FC236}">
              <a16:creationId xmlns:a16="http://schemas.microsoft.com/office/drawing/2014/main" id="{8F4C51D2-AFFB-7556-B7BD-D01112BF5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252412</xdr:colOff>
      <xdr:row>51</xdr:row>
      <xdr:rowOff>185736</xdr:rowOff>
    </xdr:from>
    <xdr:to>
      <xdr:col>20</xdr:col>
      <xdr:colOff>9525</xdr:colOff>
      <xdr:row>60</xdr:row>
      <xdr:rowOff>9524</xdr:rowOff>
    </xdr:to>
    <xdr:graphicFrame macro="">
      <xdr:nvGraphicFramePr>
        <xdr:cNvPr id="5" name="Gráfico 4">
          <a:extLst>
            <a:ext uri="{FF2B5EF4-FFF2-40B4-BE49-F238E27FC236}">
              <a16:creationId xmlns:a16="http://schemas.microsoft.com/office/drawing/2014/main" id="{ADE47787-AA8A-051A-E8D5-D614D62F1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233362</xdr:colOff>
      <xdr:row>60</xdr:row>
      <xdr:rowOff>176212</xdr:rowOff>
    </xdr:from>
    <xdr:to>
      <xdr:col>20</xdr:col>
      <xdr:colOff>9525</xdr:colOff>
      <xdr:row>69</xdr:row>
      <xdr:rowOff>0</xdr:rowOff>
    </xdr:to>
    <xdr:graphicFrame macro="">
      <xdr:nvGraphicFramePr>
        <xdr:cNvPr id="6" name="Gráfico 5">
          <a:extLst>
            <a:ext uri="{FF2B5EF4-FFF2-40B4-BE49-F238E27FC236}">
              <a16:creationId xmlns:a16="http://schemas.microsoft.com/office/drawing/2014/main" id="{51F9076D-729B-CEB3-0B30-A900C342C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252412</xdr:colOff>
      <xdr:row>69</xdr:row>
      <xdr:rowOff>176212</xdr:rowOff>
    </xdr:from>
    <xdr:to>
      <xdr:col>19</xdr:col>
      <xdr:colOff>447675</xdr:colOff>
      <xdr:row>78</xdr:row>
      <xdr:rowOff>0</xdr:rowOff>
    </xdr:to>
    <xdr:graphicFrame macro="">
      <xdr:nvGraphicFramePr>
        <xdr:cNvPr id="7" name="Gráfico 6">
          <a:extLst>
            <a:ext uri="{FF2B5EF4-FFF2-40B4-BE49-F238E27FC236}">
              <a16:creationId xmlns:a16="http://schemas.microsoft.com/office/drawing/2014/main" id="{0FE66890-89A0-0F9D-D639-E6B3FF7BE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257175</xdr:colOff>
      <xdr:row>78</xdr:row>
      <xdr:rowOff>176212</xdr:rowOff>
    </xdr:from>
    <xdr:to>
      <xdr:col>20</xdr:col>
      <xdr:colOff>9524</xdr:colOff>
      <xdr:row>87</xdr:row>
      <xdr:rowOff>9525</xdr:rowOff>
    </xdr:to>
    <xdr:graphicFrame macro="">
      <xdr:nvGraphicFramePr>
        <xdr:cNvPr id="8" name="Gráfico 7">
          <a:extLst>
            <a:ext uri="{FF2B5EF4-FFF2-40B4-BE49-F238E27FC236}">
              <a16:creationId xmlns:a16="http://schemas.microsoft.com/office/drawing/2014/main" id="{DBA653E2-8861-7548-093D-72B046D20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242886</xdr:colOff>
      <xdr:row>87</xdr:row>
      <xdr:rowOff>166687</xdr:rowOff>
    </xdr:from>
    <xdr:to>
      <xdr:col>20</xdr:col>
      <xdr:colOff>9524</xdr:colOff>
      <xdr:row>96</xdr:row>
      <xdr:rowOff>38100</xdr:rowOff>
    </xdr:to>
    <xdr:graphicFrame macro="">
      <xdr:nvGraphicFramePr>
        <xdr:cNvPr id="9" name="Gráfico 8">
          <a:extLst>
            <a:ext uri="{FF2B5EF4-FFF2-40B4-BE49-F238E27FC236}">
              <a16:creationId xmlns:a16="http://schemas.microsoft.com/office/drawing/2014/main" id="{F0E0B7AE-C592-6CFB-F001-4D36B72CE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419100</xdr:colOff>
      <xdr:row>0</xdr:row>
      <xdr:rowOff>0</xdr:rowOff>
    </xdr:from>
    <xdr:to>
      <xdr:col>17</xdr:col>
      <xdr:colOff>276225</xdr:colOff>
      <xdr:row>3</xdr:row>
      <xdr:rowOff>171947</xdr:rowOff>
    </xdr:to>
    <xdr:pic>
      <xdr:nvPicPr>
        <xdr:cNvPr id="11" name="Imagen 10">
          <a:extLst>
            <a:ext uri="{FF2B5EF4-FFF2-40B4-BE49-F238E27FC236}">
              <a16:creationId xmlns:a16="http://schemas.microsoft.com/office/drawing/2014/main" id="{BBC74672-37E1-EC90-FF95-3E5C340509FA}"/>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31082" b="29042"/>
        <a:stretch>
          <a:fillRect/>
        </a:stretch>
      </xdr:blipFill>
      <xdr:spPr>
        <a:xfrm>
          <a:off x="8867775" y="0"/>
          <a:ext cx="2143125" cy="857747"/>
        </a:xfrm>
        <a:prstGeom prst="rect">
          <a:avLst/>
        </a:prstGeom>
      </xdr:spPr>
    </xdr:pic>
    <xdr:clientData/>
  </xdr:twoCellAnchor>
</xdr:wsDr>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E1BA2-B9E3-4704-B72C-74AC369AEF28}">
  <sheetPr codeName="Hoja3"/>
  <dimension ref="A1:AD418"/>
  <sheetViews>
    <sheetView tabSelected="1" topLeftCell="B1" zoomScaleNormal="100" workbookViewId="0">
      <selection activeCell="M7" sqref="M7"/>
    </sheetView>
  </sheetViews>
  <sheetFormatPr baseColWidth="10" defaultRowHeight="15" x14ac:dyDescent="0.25"/>
  <cols>
    <col min="1" max="1" width="16.19921875" customWidth="1"/>
    <col min="2" max="2" width="6.296875" customWidth="1"/>
    <col min="3" max="3" width="6.296875" style="4" customWidth="1"/>
    <col min="4" max="4" width="6" style="4" customWidth="1"/>
    <col min="5" max="7" width="7.19921875" style="4" bestFit="1" customWidth="1"/>
    <col min="8" max="8" width="6.69921875" style="4" bestFit="1" customWidth="1"/>
    <col min="9" max="9" width="4.19921875" style="4" bestFit="1" customWidth="1"/>
    <col min="10" max="11" width="8.296875" bestFit="1" customWidth="1"/>
    <col min="12" max="21" width="4.796875" customWidth="1"/>
    <col min="22" max="24" width="5.8984375" style="1" customWidth="1"/>
    <col min="25" max="25" width="9.69921875" style="1" customWidth="1"/>
    <col min="26" max="26" width="2" style="26" customWidth="1"/>
    <col min="27" max="27" width="5.8984375" style="26" bestFit="1" customWidth="1"/>
    <col min="28" max="28" width="9.09765625" style="26" bestFit="1" customWidth="1"/>
    <col min="29" max="29" width="6" style="26" bestFit="1" customWidth="1"/>
    <col min="30" max="30" width="4.796875" style="27" customWidth="1"/>
    <col min="31" max="124" width="4.796875" customWidth="1"/>
  </cols>
  <sheetData>
    <row r="1" spans="1:25" ht="15.75" thickBot="1" x14ac:dyDescent="0.3"/>
    <row r="2" spans="1:25" ht="21.75" thickBot="1" x14ac:dyDescent="0.4">
      <c r="A2" s="79" t="s">
        <v>3064</v>
      </c>
      <c r="B2" s="80"/>
      <c r="C2" s="80"/>
      <c r="D2" s="80"/>
      <c r="E2" s="80"/>
      <c r="F2" s="80"/>
      <c r="G2" s="80"/>
      <c r="H2" s="80"/>
      <c r="I2" s="81"/>
      <c r="J2" s="75" t="s">
        <v>3094</v>
      </c>
      <c r="K2" s="76"/>
      <c r="T2" s="26"/>
      <c r="U2" s="26"/>
      <c r="V2" s="84" t="s">
        <v>942</v>
      </c>
      <c r="W2" s="85" t="s">
        <v>3081</v>
      </c>
      <c r="X2" s="85" t="s">
        <v>3082</v>
      </c>
      <c r="Y2" s="86" t="s">
        <v>3083</v>
      </c>
    </row>
    <row r="3" spans="1:25" ht="16.5" thickBot="1" x14ac:dyDescent="0.3">
      <c r="A3" s="77" t="s">
        <v>0</v>
      </c>
      <c r="B3" s="78"/>
      <c r="C3" s="58" t="s">
        <v>3034</v>
      </c>
      <c r="D3" s="58" t="s">
        <v>3035</v>
      </c>
      <c r="E3" s="58" t="s">
        <v>3036</v>
      </c>
      <c r="F3" s="58" t="s">
        <v>3037</v>
      </c>
      <c r="G3" s="58" t="s">
        <v>3038</v>
      </c>
      <c r="H3" s="59" t="s">
        <v>3039</v>
      </c>
      <c r="I3" s="60" t="s">
        <v>3063</v>
      </c>
      <c r="J3" s="61" t="s">
        <v>3095</v>
      </c>
      <c r="K3" s="62" t="s">
        <v>3096</v>
      </c>
      <c r="T3" s="26"/>
      <c r="U3" s="26"/>
      <c r="V3" s="87">
        <v>1</v>
      </c>
      <c r="W3" s="88">
        <f>VLOOKUP(V3,'BD1'!$A$2:$AF$1139,31,0)</f>
        <v>8</v>
      </c>
      <c r="X3" s="88">
        <f>VLOOKUP(V3,'BD2'!$A$2:$AF$1139,31,0)</f>
        <v>8</v>
      </c>
      <c r="Y3" s="89" t="str">
        <f>IF(X3&gt;W3,"Mejoría",IF(X3&lt;W3,"Pérdida","Se mantiene"))</f>
        <v>Se mantiene</v>
      </c>
    </row>
    <row r="4" spans="1:25" ht="15.75" x14ac:dyDescent="0.25">
      <c r="A4" s="82" t="s">
        <v>7</v>
      </c>
      <c r="B4" s="83"/>
      <c r="C4" s="33">
        <f>COUNTIFS('BD1'!C:C,Estadísticas!A4,'BD1'!H:H,Estadísticas!$C$3,'BD1'!K:K,"ok")</f>
        <v>4</v>
      </c>
      <c r="D4" s="34">
        <f>COUNTIFS('BD1'!C:C,Estadísticas!A4,'BD1'!H:H,Estadísticas!$D$3,'BD1'!K:K,"ok")</f>
        <v>8</v>
      </c>
      <c r="E4" s="34">
        <f>COUNTIFS('BD1'!C:C,Estadísticas!A4,'BD1'!H:H,Estadísticas!$E$3,'BD1'!K:K,"ok")</f>
        <v>13</v>
      </c>
      <c r="F4" s="34">
        <f>COUNTIFS('BD1'!C:C,Estadísticas!A4,'BD1'!H:H,Estadísticas!$F$3,'BD1'!K:K,"ok")</f>
        <v>28</v>
      </c>
      <c r="G4" s="34">
        <f>COUNTIFS('BD1'!C:C,Estadísticas!A4,'BD1'!H:H,Estadísticas!$G$3,'BD1'!K:K,"ok")</f>
        <v>0</v>
      </c>
      <c r="H4" s="35">
        <f>COUNTIFS('BD1'!C:C,Estadísticas!A4,'BD1'!H:H,Estadísticas!$H$3,'BD1'!K:K,"ok")</f>
        <v>11</v>
      </c>
      <c r="I4" s="37">
        <f>SUM(C4:H4)</f>
        <v>64</v>
      </c>
      <c r="J4" s="37">
        <f>SUM(COUNTIFS('BD1'!C:C, Estadísticas!A4, 'BD1'!AE:AE,"7"),COUNTIFS('BD1'!C:C, Estadísticas!A4, 'BD1'!AE:AE,"6"),COUNTIFS('BD1'!C:C, Estadísticas!A4, 'BD1'!AE:AE,"5"),COUNTIFS('BD1'!C:C, Estadísticas!A4, 'BD1'!AE:AE,"4"),COUNTIFS('BD1'!C:C, Estadísticas!A4, 'BD1'!AE:AE,"3"),COUNTIFS('BD1'!C:C, Estadísticas!A4, 'BD1'!AE:AE,"2"),COUNTIFS('BD1'!C:C, Estadísticas!A4, 'BD1'!AE:AE,"1"),COUNTIFS('BD1'!C:C, Estadísticas!A4, 'BD1'!AE:AE,"0"))</f>
        <v>8</v>
      </c>
      <c r="K4" s="37">
        <f>SUM(COUNTIFS('BD2'!C:C, Estadísticas!A4, 'BD2'!AE:AE,"7"),COUNTIFS('BD2'!C:C, Estadísticas!A4, 'BD2'!AE:AE,"6"),COUNTIFS('BD2'!C:C, Estadísticas!A4, 'BD2'!AE:AE,"5"),COUNTIFS('BD2'!C:C, Estadísticas!A4, 'BD2'!AE:AE,"4"),COUNTIFS('BD2'!C:C, Estadísticas!A4, 'BD2'!AE:AE,"3"),COUNTIFS('BD2'!C:C, Estadísticas!A4, 'BD2'!AE:AE,"2"),COUNTIFS('BD2'!C:C, Estadísticas!A4, 'BD2'!AE:AE,"1"),COUNTIFS('BD2'!C:C, Estadísticas!A4, 'BD2'!AE:AE,"0"))</f>
        <v>38</v>
      </c>
      <c r="T4" s="26"/>
      <c r="U4" s="26"/>
      <c r="V4" s="90">
        <v>2</v>
      </c>
      <c r="W4" s="91">
        <f>VLOOKUP(V4,'BD1'!$A$2:$AF$1139,31,0)</f>
        <v>8</v>
      </c>
      <c r="X4" s="91">
        <f>VLOOKUP(V4,'BD2'!$A$2:$AF$1139,31,0)</f>
        <v>8</v>
      </c>
      <c r="Y4" s="92" t="str">
        <f t="shared" ref="Y4:Y67" si="0">IF(X4&gt;W4,"Mejoría",IF(X4&lt;W4,"Pérdida","Se mantiene"))</f>
        <v>Se mantiene</v>
      </c>
    </row>
    <row r="5" spans="1:25" ht="15.75" x14ac:dyDescent="0.25">
      <c r="A5" s="68" t="s">
        <v>11</v>
      </c>
      <c r="B5" s="69"/>
      <c r="C5" s="36">
        <f>COUNTIFS('BD1'!C:C,Estadísticas!A5,'BD1'!H:H,Estadísticas!$C$3,'BD1'!K:K,"ok")</f>
        <v>15</v>
      </c>
      <c r="D5" s="31">
        <f>COUNTIFS('BD1'!C:C,Estadísticas!A5,'BD1'!H:H,Estadísticas!$D$3,'BD1'!K:K,"ok")</f>
        <v>3</v>
      </c>
      <c r="E5" s="31">
        <f>COUNTIFS('BD1'!C:C,Estadísticas!A5,'BD1'!H:H,Estadísticas!$E$3,'BD1'!K:K,"ok")</f>
        <v>7</v>
      </c>
      <c r="F5" s="31">
        <f>COUNTIFS('BD1'!C:C,Estadísticas!A5,'BD1'!H:H,Estadísticas!$F$3,'BD1'!K:K,"ok")</f>
        <v>5</v>
      </c>
      <c r="G5" s="31">
        <f>COUNTIFS('BD1'!C:C,Estadísticas!A5,'BD1'!H:H,Estadísticas!$G$3,'BD1'!K:K,"ok")</f>
        <v>0</v>
      </c>
      <c r="H5" s="32">
        <f>COUNTIFS('BD1'!C:C,Estadísticas!A5,'BD1'!H:H,Estadísticas!$H$3,'BD1'!K:K,"ok")</f>
        <v>4</v>
      </c>
      <c r="I5" s="38">
        <f t="shared" ref="I5:I19" si="1">SUM(C5:H5)</f>
        <v>34</v>
      </c>
      <c r="J5" s="38">
        <f>SUM(COUNTIFS('BD1'!C:C, Estadísticas!A5, 'BD1'!AE:AE,"7"),COUNTIFS('BD1'!C:C, Estadísticas!A5, 'BD1'!AE:AE,"6"),COUNTIFS('BD1'!C:C, Estadísticas!A5, 'BD1'!AE:AE,"5"),COUNTIFS('BD1'!C:C, Estadísticas!A5, 'BD1'!AE:AE,"4"),COUNTIFS('BD1'!C:C, Estadísticas!A5, 'BD1'!AE:AE,"3"),COUNTIFS('BD1'!C:C, Estadísticas!A5, 'BD1'!AE:AE,"2"),COUNTIFS('BD1'!C:C, Estadísticas!A5, 'BD1'!AE:AE,"1"),COUNTIFS('BD1'!C:C, Estadísticas!A5, 'BD1'!AE:AE,"0"))</f>
        <v>4</v>
      </c>
      <c r="K5" s="38">
        <f>SUM(COUNTIFS('BD2'!C:C, Estadísticas!A5, 'BD2'!AE:AE,"7"),COUNTIFS('BD2'!C:C, Estadísticas!A5, 'BD2'!AE:AE,"6"),COUNTIFS('BD2'!C:C, Estadísticas!A5, 'BD2'!AE:AE,"5"),COUNTIFS('BD2'!C:C, Estadísticas!A5, 'BD2'!AE:AE,"4"),COUNTIFS('BD2'!C:C, Estadísticas!A5, 'BD2'!AE:AE,"3"),COUNTIFS('BD2'!C:C, Estadísticas!A5, 'BD2'!AE:AE,"2"),COUNTIFS('BD2'!C:C, Estadísticas!A5, 'BD2'!AE:AE,"1"),COUNTIFS('BD2'!C:C, Estadísticas!A5, 'BD2'!AE:AE,"0"))</f>
        <v>13</v>
      </c>
      <c r="L5" s="26"/>
      <c r="M5" s="26"/>
      <c r="O5" s="170" t="s">
        <v>3087</v>
      </c>
      <c r="P5" s="170"/>
      <c r="Q5" s="170" t="s">
        <v>3088</v>
      </c>
      <c r="R5" s="170"/>
      <c r="S5" s="170" t="s">
        <v>3089</v>
      </c>
      <c r="T5" s="170"/>
      <c r="U5" s="26"/>
      <c r="V5" s="87">
        <v>3</v>
      </c>
      <c r="W5" s="88">
        <f>VLOOKUP(V5,'BD1'!$A$2:$AF$1139,31,0)</f>
        <v>8</v>
      </c>
      <c r="X5" s="88">
        <f>VLOOKUP(V5,'BD2'!$A$2:$AF$1139,31,0)</f>
        <v>0</v>
      </c>
      <c r="Y5" s="89" t="str">
        <f t="shared" si="0"/>
        <v>Pérdida</v>
      </c>
    </row>
    <row r="6" spans="1:25" ht="15.75" x14ac:dyDescent="0.25">
      <c r="A6" s="66" t="s">
        <v>426</v>
      </c>
      <c r="B6" s="67"/>
      <c r="C6" s="36">
        <f>COUNTIFS('BD1'!C:C,Estadísticas!A6,'BD1'!H:H,Estadísticas!$C$3,'BD1'!K:K,"ok")</f>
        <v>1</v>
      </c>
      <c r="D6" s="31">
        <f>COUNTIFS('BD1'!C:C,Estadísticas!A6,'BD1'!H:H,Estadísticas!$D$3,'BD1'!K:K,"ok")</f>
        <v>0</v>
      </c>
      <c r="E6" s="31">
        <f>COUNTIFS('BD1'!C:C,Estadísticas!A6,'BD1'!H:H,Estadísticas!$E$3,'BD1'!K:K,"ok")</f>
        <v>1</v>
      </c>
      <c r="F6" s="31">
        <f>COUNTIFS('BD1'!C:C,Estadísticas!A6,'BD1'!H:H,Estadísticas!$F$3,'BD1'!K:K,"ok")</f>
        <v>0</v>
      </c>
      <c r="G6" s="31">
        <f>COUNTIFS('BD1'!C:C,Estadísticas!A6,'BD1'!H:H,Estadísticas!$G$3,'BD1'!K:K,"ok")</f>
        <v>0</v>
      </c>
      <c r="H6" s="32">
        <f>COUNTIFS('BD1'!C:C,Estadísticas!A6,'BD1'!H:H,Estadísticas!$H$3,'BD1'!K:K,"ok")</f>
        <v>1</v>
      </c>
      <c r="I6" s="38">
        <f t="shared" si="1"/>
        <v>3</v>
      </c>
      <c r="J6" s="38">
        <f>SUM(COUNTIFS('BD1'!C:C, Estadísticas!A6, 'BD1'!AE:AE,"7"),COUNTIFS('BD1'!C:C, Estadísticas!A6, 'BD1'!AE:AE,"6"),COUNTIFS('BD1'!C:C, Estadísticas!A6, 'BD1'!AE:AE,"5"),COUNTIFS('BD1'!C:C, Estadísticas!A6, 'BD1'!AE:AE,"4"),COUNTIFS('BD1'!C:C, Estadísticas!A6, 'BD1'!AE:AE,"3"),COUNTIFS('BD1'!C:C, Estadísticas!A6, 'BD1'!AE:AE,"2"),COUNTIFS('BD1'!C:C, Estadísticas!A6, 'BD1'!AE:AE,"1"),COUNTIFS('BD1'!C:C, Estadísticas!A6, 'BD1'!AE:AE,"0"))</f>
        <v>1</v>
      </c>
      <c r="K6" s="38">
        <f>SUM(COUNTIFS('BD2'!C:C, Estadísticas!A6, 'BD2'!AE:AE,"7"),COUNTIFS('BD2'!C:C, Estadísticas!A6, 'BD2'!AE:AE,"6"),COUNTIFS('BD2'!C:C, Estadísticas!A6, 'BD2'!AE:AE,"5"),COUNTIFS('BD2'!C:C, Estadísticas!A6, 'BD2'!AE:AE,"4"),COUNTIFS('BD2'!C:C, Estadísticas!A6, 'BD2'!AE:AE,"3"),COUNTIFS('BD2'!C:C, Estadísticas!A6, 'BD2'!AE:AE,"2"),COUNTIFS('BD2'!C:C, Estadísticas!A6, 'BD2'!AE:AE,"1"),COUNTIFS('BD2'!C:C, Estadísticas!A6, 'BD2'!AE:AE,"0"))</f>
        <v>2</v>
      </c>
      <c r="L6" s="26"/>
      <c r="M6" s="26"/>
      <c r="O6" s="167">
        <f>COUNTIF(Y:Y,O5)</f>
        <v>75</v>
      </c>
      <c r="P6" s="167"/>
      <c r="Q6" s="168">
        <f>COUNTIF(Y:Y,Q5)</f>
        <v>192</v>
      </c>
      <c r="R6" s="168"/>
      <c r="S6" s="169">
        <f>COUNTIF(Y:Y,S5)</f>
        <v>147</v>
      </c>
      <c r="T6" s="169"/>
      <c r="U6" s="26"/>
      <c r="V6" s="90">
        <v>4</v>
      </c>
      <c r="W6" s="91">
        <f>VLOOKUP(V6,'BD1'!$A$2:$AF$1139,31,0)</f>
        <v>8</v>
      </c>
      <c r="X6" s="91">
        <f>VLOOKUP(V6,'BD2'!$A$2:$AF$1139,31,0)</f>
        <v>8</v>
      </c>
      <c r="Y6" s="92" t="str">
        <f t="shared" si="0"/>
        <v>Se mantiene</v>
      </c>
    </row>
    <row r="7" spans="1:25" ht="15.75" x14ac:dyDescent="0.25">
      <c r="A7" s="68" t="s">
        <v>18</v>
      </c>
      <c r="B7" s="69"/>
      <c r="C7" s="36">
        <f>COUNTIFS('BD1'!C:C,Estadísticas!A7,'BD1'!H:H,Estadísticas!$C$3,'BD1'!K:K,"ok")</f>
        <v>1</v>
      </c>
      <c r="D7" s="31">
        <f>COUNTIFS('BD1'!C:C,Estadísticas!A7,'BD1'!H:H,Estadísticas!$D$3,'BD1'!K:K,"ok")</f>
        <v>0</v>
      </c>
      <c r="E7" s="31">
        <f>COUNTIFS('BD1'!C:C,Estadísticas!A7,'BD1'!H:H,Estadísticas!$E$3,'BD1'!K:K,"ok")</f>
        <v>1</v>
      </c>
      <c r="F7" s="31">
        <f>COUNTIFS('BD1'!C:C,Estadísticas!A7,'BD1'!H:H,Estadísticas!$F$3,'BD1'!K:K,"ok")</f>
        <v>0</v>
      </c>
      <c r="G7" s="31">
        <f>COUNTIFS('BD1'!C:C,Estadísticas!A7,'BD1'!H:H,Estadísticas!$G$3,'BD1'!K:K,"ok")</f>
        <v>0</v>
      </c>
      <c r="H7" s="32">
        <f>COUNTIFS('BD1'!C:C,Estadísticas!A7,'BD1'!H:H,Estadísticas!$H$3,'BD1'!K:K,"ok")</f>
        <v>0</v>
      </c>
      <c r="I7" s="38">
        <f t="shared" si="1"/>
        <v>2</v>
      </c>
      <c r="J7" s="38">
        <f>SUM(COUNTIFS('BD1'!C:C, Estadísticas!A7, 'BD1'!AE:AE,"7"),COUNTIFS('BD1'!C:C, Estadísticas!A7, 'BD1'!AE:AE,"6"),COUNTIFS('BD1'!C:C, Estadísticas!A7, 'BD1'!AE:AE,"5"),COUNTIFS('BD1'!C:C, Estadísticas!A7, 'BD1'!AE:AE,"4"),COUNTIFS('BD1'!C:C, Estadísticas!A7, 'BD1'!AE:AE,"3"),COUNTIFS('BD1'!C:C, Estadísticas!A7, 'BD1'!AE:AE,"2"),COUNTIFS('BD1'!C:C, Estadísticas!A7, 'BD1'!AE:AE,"1"),COUNTIFS('BD1'!C:C, Estadísticas!A7, 'BD1'!AE:AE,"0"))</f>
        <v>1</v>
      </c>
      <c r="K7" s="38">
        <f>SUM(COUNTIFS('BD2'!C:C, Estadísticas!A7, 'BD2'!AE:AE,"7"),COUNTIFS('BD2'!C:C, Estadísticas!A7, 'BD2'!AE:AE,"6"),COUNTIFS('BD2'!C:C, Estadísticas!A7, 'BD2'!AE:AE,"5"),COUNTIFS('BD2'!C:C, Estadísticas!A7, 'BD2'!AE:AE,"4"),COUNTIFS('BD2'!C:C, Estadísticas!A7, 'BD2'!AE:AE,"3"),COUNTIFS('BD2'!C:C, Estadísticas!A7, 'BD2'!AE:AE,"2"),COUNTIFS('BD2'!C:C, Estadísticas!A7, 'BD2'!AE:AE,"1"),COUNTIFS('BD2'!C:C, Estadísticas!A7, 'BD2'!AE:AE,"0"))</f>
        <v>0</v>
      </c>
      <c r="L7" s="26"/>
      <c r="M7" s="26"/>
      <c r="N7" s="26"/>
      <c r="O7" s="26"/>
      <c r="P7" s="26"/>
      <c r="Q7" s="27"/>
      <c r="R7" s="26"/>
      <c r="S7" s="26"/>
      <c r="T7" s="26"/>
      <c r="U7" s="26"/>
      <c r="V7" s="87">
        <v>5</v>
      </c>
      <c r="W7" s="88">
        <f>VLOOKUP(V7,'BD1'!$A$2:$AF$1139,31,0)</f>
        <v>8</v>
      </c>
      <c r="X7" s="88">
        <f>VLOOKUP(V7,'BD2'!$A$2:$AF$1139,31,0)</f>
        <v>8</v>
      </c>
      <c r="Y7" s="89" t="str">
        <f t="shared" si="0"/>
        <v>Se mantiene</v>
      </c>
    </row>
    <row r="8" spans="1:25" ht="18.75" x14ac:dyDescent="0.3">
      <c r="A8" s="66" t="s">
        <v>429</v>
      </c>
      <c r="B8" s="67"/>
      <c r="C8" s="36">
        <f>COUNTIFS('BD1'!C:C,Estadísticas!A8,'BD1'!H:H,Estadísticas!$C$3,'BD1'!K:K,"ok")</f>
        <v>153</v>
      </c>
      <c r="D8" s="31">
        <f>COUNTIFS('BD1'!C:C,Estadísticas!A8,'BD1'!H:H,Estadísticas!$D$3,'BD1'!K:K,"ok")</f>
        <v>0</v>
      </c>
      <c r="E8" s="31">
        <f>COUNTIFS('BD1'!C:C,Estadísticas!A8,'BD1'!H:H,Estadísticas!$E$3,'BD1'!K:K,"ok")</f>
        <v>10</v>
      </c>
      <c r="F8" s="31">
        <f>COUNTIFS('BD1'!C:C,Estadísticas!A8,'BD1'!H:H,Estadísticas!$F$3,'BD1'!K:K,"ok")</f>
        <v>12</v>
      </c>
      <c r="G8" s="31">
        <f>COUNTIFS('BD1'!C:C,Estadísticas!A8,'BD1'!H:H,Estadísticas!$G$3,'BD1'!K:K,"ok")</f>
        <v>13</v>
      </c>
      <c r="H8" s="32">
        <f>COUNTIFS('BD1'!C:C,Estadísticas!A8,'BD1'!H:H,Estadísticas!$H$3,'BD1'!K:K,"ok")</f>
        <v>4</v>
      </c>
      <c r="I8" s="38">
        <f t="shared" si="1"/>
        <v>192</v>
      </c>
      <c r="J8" s="38">
        <f>SUM(COUNTIFS('BD1'!C:C, Estadísticas!A8, 'BD1'!AE:AE,"7"),COUNTIFS('BD1'!C:C, Estadísticas!A8, 'BD1'!AE:AE,"6"),COUNTIFS('BD1'!C:C, Estadísticas!A8, 'BD1'!AE:AE,"5"),COUNTIFS('BD1'!C:C, Estadísticas!A8, 'BD1'!AE:AE,"4"),COUNTIFS('BD1'!C:C, Estadísticas!A8, 'BD1'!AE:AE,"3"),COUNTIFS('BD1'!C:C, Estadísticas!A8, 'BD1'!AE:AE,"2"),COUNTIFS('BD1'!C:C, Estadísticas!A8, 'BD1'!AE:AE,"1"),COUNTIFS('BD1'!C:C, Estadísticas!A8, 'BD1'!AE:AE,"0"))</f>
        <v>64</v>
      </c>
      <c r="K8" s="38">
        <f>SUM(COUNTIFS('BD2'!C:C, Estadísticas!A8, 'BD2'!AE:AE,"7"),COUNTIFS('BD2'!C:C, Estadísticas!A8, 'BD2'!AE:AE,"6"),COUNTIFS('BD2'!C:C, Estadísticas!A8, 'BD2'!AE:AE,"5"),COUNTIFS('BD2'!C:C, Estadísticas!A8, 'BD2'!AE:AE,"4"),COUNTIFS('BD2'!C:C, Estadísticas!A8, 'BD2'!AE:AE,"3"),COUNTIFS('BD2'!C:C, Estadísticas!A8, 'BD2'!AE:AE,"2"),COUNTIFS('BD2'!C:C, Estadísticas!A8, 'BD2'!AE:AE,"1"),COUNTIFS('BD2'!C:C, Estadísticas!A8, 'BD2'!AE:AE,"0"))</f>
        <v>76</v>
      </c>
      <c r="L8" s="26"/>
      <c r="M8" s="26"/>
      <c r="N8" s="166" t="s">
        <v>3149</v>
      </c>
      <c r="O8" s="166"/>
      <c r="P8" s="166"/>
      <c r="Q8" s="166"/>
      <c r="R8" s="166"/>
      <c r="S8" s="166"/>
      <c r="T8" s="166"/>
      <c r="U8" s="26"/>
      <c r="V8" s="90">
        <v>6</v>
      </c>
      <c r="W8" s="91">
        <f>VLOOKUP(V8,'BD1'!$A$2:$AF$1139,31,0)</f>
        <v>8</v>
      </c>
      <c r="X8" s="91">
        <f>VLOOKUP(V8,'BD2'!$A$2:$AF$1139,31,0)</f>
        <v>8</v>
      </c>
      <c r="Y8" s="92" t="str">
        <f t="shared" si="0"/>
        <v>Se mantiene</v>
      </c>
    </row>
    <row r="9" spans="1:25" ht="15.75" x14ac:dyDescent="0.25">
      <c r="A9" s="68" t="s">
        <v>14</v>
      </c>
      <c r="B9" s="69"/>
      <c r="C9" s="36">
        <f>COUNTIFS('BD1'!C:C,Estadísticas!A9,'BD1'!H:H,Estadísticas!$C$3,'BD1'!K:K,"ok")</f>
        <v>10</v>
      </c>
      <c r="D9" s="31">
        <f>COUNTIFS('BD1'!C:C,Estadísticas!A9,'BD1'!H:H,Estadísticas!$D$3,'BD1'!K:K,"ok")</f>
        <v>6</v>
      </c>
      <c r="E9" s="31">
        <f>COUNTIFS('BD1'!C:C,Estadísticas!A9,'BD1'!H:H,Estadísticas!$E$3,'BD1'!K:K,"ok")</f>
        <v>11</v>
      </c>
      <c r="F9" s="31">
        <f>COUNTIFS('BD1'!C:C,Estadísticas!A9,'BD1'!H:H,Estadísticas!$F$3,'BD1'!K:K,"ok")</f>
        <v>4</v>
      </c>
      <c r="G9" s="31">
        <f>COUNTIFS('BD1'!C:C,Estadísticas!A9,'BD1'!H:H,Estadísticas!$G$3,'BD1'!K:K,"ok")</f>
        <v>3</v>
      </c>
      <c r="H9" s="32">
        <f>COUNTIFS('BD1'!C:C,Estadísticas!A9,'BD1'!H:H,Estadísticas!$H$3,'BD1'!K:K,"ok")</f>
        <v>4</v>
      </c>
      <c r="I9" s="38">
        <f t="shared" si="1"/>
        <v>38</v>
      </c>
      <c r="J9" s="38">
        <f>SUM(COUNTIFS('BD1'!C:C, Estadísticas!A9, 'BD1'!AE:AE,"7"),COUNTIFS('BD1'!C:C, Estadísticas!A9, 'BD1'!AE:AE,"6"),COUNTIFS('BD1'!C:C, Estadísticas!A9, 'BD1'!AE:AE,"5"),COUNTIFS('BD1'!C:C, Estadísticas!A9, 'BD1'!AE:AE,"4"),COUNTIFS('BD1'!C:C, Estadísticas!A9, 'BD1'!AE:AE,"3"),COUNTIFS('BD1'!C:C, Estadísticas!A9, 'BD1'!AE:AE,"2"),COUNTIFS('BD1'!C:C, Estadísticas!A9, 'BD1'!AE:AE,"1"),COUNTIFS('BD1'!C:C, Estadísticas!A9, 'BD1'!AE:AE,"0"))</f>
        <v>17</v>
      </c>
      <c r="K9" s="38">
        <f>SUM(COUNTIFS('BD2'!C:C, Estadísticas!A9, 'BD2'!AE:AE,"7"),COUNTIFS('BD2'!C:C, Estadísticas!A9, 'BD2'!AE:AE,"6"),COUNTIFS('BD2'!C:C, Estadísticas!A9, 'BD2'!AE:AE,"5"),COUNTIFS('BD2'!C:C, Estadísticas!A9, 'BD2'!AE:AE,"4"),COUNTIFS('BD2'!C:C, Estadísticas!A9, 'BD2'!AE:AE,"3"),COUNTIFS('BD2'!C:C, Estadísticas!A9, 'BD2'!AE:AE,"2"),COUNTIFS('BD2'!C:C, Estadísticas!A9, 'BD2'!AE:AE,"1"),COUNTIFS('BD2'!C:C, Estadísticas!A9, 'BD2'!AE:AE,"0"))</f>
        <v>20</v>
      </c>
      <c r="L9" s="26"/>
      <c r="M9" s="26"/>
      <c r="N9" s="158" t="s">
        <v>3114</v>
      </c>
      <c r="O9" s="158"/>
      <c r="P9" s="158"/>
      <c r="Q9" s="158"/>
      <c r="R9" s="158"/>
      <c r="S9" s="158"/>
      <c r="T9" s="159">
        <f>COUNTIF('BD1'!AF:AF,Estadísticas!N9)</f>
        <v>303</v>
      </c>
      <c r="U9" s="26"/>
      <c r="V9" s="87">
        <v>7</v>
      </c>
      <c r="W9" s="88">
        <f>VLOOKUP(V9,'BD1'!$A$2:$AF$1139,31,0)</f>
        <v>8</v>
      </c>
      <c r="X9" s="88">
        <f>VLOOKUP(V9,'BD2'!$A$2:$AF$1139,31,0)</f>
        <v>0</v>
      </c>
      <c r="Y9" s="89" t="str">
        <f t="shared" si="0"/>
        <v>Pérdida</v>
      </c>
    </row>
    <row r="10" spans="1:25" ht="15.75" x14ac:dyDescent="0.25">
      <c r="A10" s="66" t="s">
        <v>87</v>
      </c>
      <c r="B10" s="67"/>
      <c r="C10" s="36">
        <f>COUNTIFS('BD1'!C:C,Estadísticas!A10,'BD1'!H:H,Estadísticas!$C$3,'BD1'!K:K,"ok")</f>
        <v>28</v>
      </c>
      <c r="D10" s="31">
        <f>COUNTIFS('BD1'!C:C,Estadísticas!A10,'BD1'!H:H,Estadísticas!$D$3,'BD1'!K:K,"ok")</f>
        <v>0</v>
      </c>
      <c r="E10" s="31">
        <f>COUNTIFS('BD1'!C:C,Estadísticas!A10,'BD1'!H:H,Estadísticas!$E$3,'BD1'!K:K,"ok")</f>
        <v>7</v>
      </c>
      <c r="F10" s="31">
        <f>COUNTIFS('BD1'!C:C,Estadísticas!A10,'BD1'!H:H,Estadísticas!$F$3,'BD1'!K:K,"ok")</f>
        <v>4</v>
      </c>
      <c r="G10" s="31">
        <f>COUNTIFS('BD1'!C:C,Estadísticas!A10,'BD1'!H:H,Estadísticas!$G$3,'BD1'!K:K,"ok")</f>
        <v>2</v>
      </c>
      <c r="H10" s="32">
        <f>COUNTIFS('BD1'!C:C,Estadísticas!A10,'BD1'!H:H,Estadísticas!$H$3,'BD1'!K:K,"ok")</f>
        <v>0</v>
      </c>
      <c r="I10" s="38">
        <f t="shared" si="1"/>
        <v>41</v>
      </c>
      <c r="J10" s="38">
        <f>SUM(COUNTIFS('BD1'!C:C, Estadísticas!A10, 'BD1'!AE:AE,"7"),COUNTIFS('BD1'!C:C, Estadísticas!A10, 'BD1'!AE:AE,"6"),COUNTIFS('BD1'!C:C, Estadísticas!A10, 'BD1'!AE:AE,"5"),COUNTIFS('BD1'!C:C, Estadísticas!A10, 'BD1'!AE:AE,"4"),COUNTIFS('BD1'!C:C, Estadísticas!A10, 'BD1'!AE:AE,"3"),COUNTIFS('BD1'!C:C, Estadísticas!A10, 'BD1'!AE:AE,"2"),COUNTIFS('BD1'!C:C, Estadísticas!A10, 'BD1'!AE:AE,"1"),COUNTIFS('BD1'!C:C, Estadísticas!A10, 'BD1'!AE:AE,"0"))</f>
        <v>8</v>
      </c>
      <c r="K10" s="38">
        <f>SUM(COUNTIFS('BD2'!C:C, Estadísticas!A10, 'BD2'!AE:AE,"7"),COUNTIFS('BD2'!C:C, Estadísticas!A10, 'BD2'!AE:AE,"6"),COUNTIFS('BD2'!C:C, Estadísticas!A10, 'BD2'!AE:AE,"5"),COUNTIFS('BD2'!C:C, Estadísticas!A10, 'BD2'!AE:AE,"4"),COUNTIFS('BD2'!C:C, Estadísticas!A10, 'BD2'!AE:AE,"3"),COUNTIFS('BD2'!C:C, Estadísticas!A10, 'BD2'!AE:AE,"2"),COUNTIFS('BD2'!C:C, Estadísticas!A10, 'BD2'!AE:AE,"1"),COUNTIFS('BD2'!C:C, Estadísticas!A10, 'BD2'!AE:AE,"0"))</f>
        <v>12</v>
      </c>
      <c r="L10" s="26"/>
      <c r="M10" s="26"/>
      <c r="N10" s="158" t="s">
        <v>3150</v>
      </c>
      <c r="O10" s="158"/>
      <c r="P10" s="158"/>
      <c r="Q10" s="158"/>
      <c r="R10" s="158"/>
      <c r="S10" s="158"/>
      <c r="T10" s="159">
        <f>COUNTIF('BD1'!AF:AF,Estadísticas!N10)</f>
        <v>76</v>
      </c>
      <c r="U10" s="26"/>
      <c r="V10" s="90">
        <v>8</v>
      </c>
      <c r="W10" s="91">
        <f>VLOOKUP(V10,'BD1'!$A$2:$AF$1139,31,0)</f>
        <v>8</v>
      </c>
      <c r="X10" s="91">
        <f>VLOOKUP(V10,'BD2'!$A$2:$AF$1139,31,0)</f>
        <v>8</v>
      </c>
      <c r="Y10" s="92" t="str">
        <f t="shared" si="0"/>
        <v>Se mantiene</v>
      </c>
    </row>
    <row r="11" spans="1:25" ht="15.75" x14ac:dyDescent="0.25">
      <c r="A11" s="68" t="s">
        <v>350</v>
      </c>
      <c r="B11" s="69"/>
      <c r="C11" s="36">
        <f>COUNTIFS('BD1'!C:C,Estadísticas!A11,'BD1'!H:H,Estadísticas!$C$3,'BD1'!K:K,"ok")</f>
        <v>0</v>
      </c>
      <c r="D11" s="31">
        <f>COUNTIFS('BD1'!C:C,Estadísticas!A11,'BD1'!H:H,Estadísticas!$D$3,'BD1'!K:K,"ok")</f>
        <v>0</v>
      </c>
      <c r="E11" s="31">
        <f>COUNTIFS('BD1'!C:C,Estadísticas!A11,'BD1'!H:H,Estadísticas!$E$3,'BD1'!K:K,"ok")</f>
        <v>1</v>
      </c>
      <c r="F11" s="31">
        <f>COUNTIFS('BD1'!C:C,Estadísticas!A11,'BD1'!H:H,Estadísticas!$F$3,'BD1'!K:K,"ok")</f>
        <v>0</v>
      </c>
      <c r="G11" s="31">
        <f>COUNTIFS('BD1'!C:C,Estadísticas!A11,'BD1'!H:H,Estadísticas!$G$3,'BD1'!K:K,"ok")</f>
        <v>2</v>
      </c>
      <c r="H11" s="32">
        <f>COUNTIFS('BD1'!C:C,Estadísticas!A11,'BD1'!H:H,Estadísticas!$H$3,'BD1'!K:K,"ok")</f>
        <v>0</v>
      </c>
      <c r="I11" s="38">
        <f t="shared" si="1"/>
        <v>3</v>
      </c>
      <c r="J11" s="38">
        <f>SUM(COUNTIFS('BD1'!C:C, Estadísticas!A11, 'BD1'!AE:AE,"7"),COUNTIFS('BD1'!C:C, Estadísticas!A11, 'BD1'!AE:AE,"6"),COUNTIFS('BD1'!C:C, Estadísticas!A11, 'BD1'!AE:AE,"5"),COUNTIFS('BD1'!C:C, Estadísticas!A11, 'BD1'!AE:AE,"4"),COUNTIFS('BD1'!C:C, Estadísticas!A11, 'BD1'!AE:AE,"3"),COUNTIFS('BD1'!C:C, Estadísticas!A11, 'BD1'!AE:AE,"2"),COUNTIFS('BD1'!C:C, Estadísticas!A11, 'BD1'!AE:AE,"1"),COUNTIFS('BD1'!C:C, Estadísticas!A11, 'BD1'!AE:AE,"0"))</f>
        <v>2</v>
      </c>
      <c r="K11" s="38">
        <f>SUM(COUNTIFS('BD2'!C:C, Estadísticas!A11, 'BD2'!AE:AE,"7"),COUNTIFS('BD2'!C:C, Estadísticas!A11, 'BD2'!AE:AE,"6"),COUNTIFS('BD2'!C:C, Estadísticas!A11, 'BD2'!AE:AE,"5"),COUNTIFS('BD2'!C:C, Estadísticas!A11, 'BD2'!AE:AE,"4"),COUNTIFS('BD2'!C:C, Estadísticas!A11, 'BD2'!AE:AE,"3"),COUNTIFS('BD2'!C:C, Estadísticas!A11, 'BD2'!AE:AE,"2"),COUNTIFS('BD2'!C:C, Estadísticas!A11, 'BD2'!AE:AE,"1"),COUNTIFS('BD2'!C:C, Estadísticas!A11, 'BD2'!AE:AE,"0"))</f>
        <v>1</v>
      </c>
      <c r="L11" s="26"/>
      <c r="M11" s="26"/>
      <c r="N11" s="160" t="s">
        <v>3151</v>
      </c>
      <c r="O11" s="160"/>
      <c r="P11" s="160"/>
      <c r="Q11" s="160"/>
      <c r="R11" s="160"/>
      <c r="S11" s="160"/>
      <c r="T11" s="161">
        <f>COUNTIF('BD1'!AF:AF,Estadísticas!N11)</f>
        <v>7</v>
      </c>
      <c r="U11" s="26"/>
      <c r="V11" s="87">
        <v>9</v>
      </c>
      <c r="W11" s="88">
        <f>VLOOKUP(V11,'BD1'!$A$2:$AF$1139,31,0)</f>
        <v>7</v>
      </c>
      <c r="X11" s="88">
        <f>VLOOKUP(V11,'BD2'!$A$2:$AF$1139,31,0)</f>
        <v>8</v>
      </c>
      <c r="Y11" s="89" t="str">
        <f t="shared" si="0"/>
        <v>Mejoría</v>
      </c>
    </row>
    <row r="12" spans="1:25" ht="15.75" x14ac:dyDescent="0.25">
      <c r="A12" s="66" t="s">
        <v>15</v>
      </c>
      <c r="B12" s="67"/>
      <c r="C12" s="36">
        <f>COUNTIFS('BD1'!C:C,Estadísticas!A12,'BD1'!H:H,Estadísticas!$C$3,'BD1'!K:K,"ok")</f>
        <v>0</v>
      </c>
      <c r="D12" s="31">
        <f>COUNTIFS('BD1'!C:C,Estadísticas!A12,'BD1'!H:H,Estadísticas!$D$3,'BD1'!K:K,"ok")</f>
        <v>5</v>
      </c>
      <c r="E12" s="31">
        <f>COUNTIFS('BD1'!C:C,Estadísticas!A12,'BD1'!H:H,Estadísticas!$E$3,'BD1'!K:K,"ok")</f>
        <v>0</v>
      </c>
      <c r="F12" s="31">
        <f>COUNTIFS('BD1'!C:C,Estadísticas!A12,'BD1'!H:H,Estadísticas!$F$3,'BD1'!K:K,"ok")</f>
        <v>0</v>
      </c>
      <c r="G12" s="31">
        <f>COUNTIFS('BD1'!C:C,Estadísticas!A12,'BD1'!H:H,Estadísticas!$G$3,'BD1'!K:K,"ok")</f>
        <v>0</v>
      </c>
      <c r="H12" s="32">
        <f>COUNTIFS('BD1'!C:C,Estadísticas!A12,'BD1'!H:H,Estadísticas!$H$3,'BD1'!K:K,"ok")</f>
        <v>0</v>
      </c>
      <c r="I12" s="38">
        <f t="shared" si="1"/>
        <v>5</v>
      </c>
      <c r="J12" s="38">
        <f>SUM(COUNTIFS('BD1'!C:C, Estadísticas!A12, 'BD1'!AE:AE,"7"),COUNTIFS('BD1'!C:C, Estadísticas!A12, 'BD1'!AE:AE,"6"),COUNTIFS('BD1'!C:C, Estadísticas!A12, 'BD1'!AE:AE,"5"),COUNTIFS('BD1'!C:C, Estadísticas!A12, 'BD1'!AE:AE,"4"),COUNTIFS('BD1'!C:C, Estadísticas!A12, 'BD1'!AE:AE,"3"),COUNTIFS('BD1'!C:C, Estadísticas!A12, 'BD1'!AE:AE,"2"),COUNTIFS('BD1'!C:C, Estadísticas!A12, 'BD1'!AE:AE,"1"),COUNTIFS('BD1'!C:C, Estadísticas!A12, 'BD1'!AE:AE,"0"))</f>
        <v>2</v>
      </c>
      <c r="K12" s="38">
        <f>SUM(COUNTIFS('BD2'!C:C, Estadísticas!A12, 'BD2'!AE:AE,"7"),COUNTIFS('BD2'!C:C, Estadísticas!A12, 'BD2'!AE:AE,"6"),COUNTIFS('BD2'!C:C, Estadísticas!A12, 'BD2'!AE:AE,"5"),COUNTIFS('BD2'!C:C, Estadísticas!A12, 'BD2'!AE:AE,"4"),COUNTIFS('BD2'!C:C, Estadísticas!A12, 'BD2'!AE:AE,"3"),COUNTIFS('BD2'!C:C, Estadísticas!A12, 'BD2'!AE:AE,"2"),COUNTIFS('BD2'!C:C, Estadísticas!A12, 'BD2'!AE:AE,"1"),COUNTIFS('BD2'!C:C, Estadísticas!A12, 'BD2'!AE:AE,"0"))</f>
        <v>5</v>
      </c>
      <c r="L12" s="26"/>
      <c r="M12" s="26"/>
      <c r="N12" s="160" t="s">
        <v>3152</v>
      </c>
      <c r="O12" s="160"/>
      <c r="P12" s="160"/>
      <c r="Q12" s="160"/>
      <c r="R12" s="160"/>
      <c r="S12" s="160"/>
      <c r="T12" s="161">
        <f>COUNTIF('BD1'!AF:AF,Estadísticas!N12)</f>
        <v>10</v>
      </c>
      <c r="U12" s="26"/>
      <c r="V12" s="90">
        <v>10</v>
      </c>
      <c r="W12" s="91">
        <f>VLOOKUP(V12,'BD1'!$A$2:$AF$1139,31,0)</f>
        <v>8</v>
      </c>
      <c r="X12" s="91">
        <f>VLOOKUP(V12,'BD2'!$A$2:$AF$1139,31,0)</f>
        <v>8</v>
      </c>
      <c r="Y12" s="92" t="str">
        <f t="shared" si="0"/>
        <v>Se mantiene</v>
      </c>
    </row>
    <row r="13" spans="1:25" ht="15.75" x14ac:dyDescent="0.25">
      <c r="A13" s="68" t="s">
        <v>17</v>
      </c>
      <c r="B13" s="69"/>
      <c r="C13" s="36">
        <f>COUNTIFS('BD1'!C:C,Estadísticas!A13,'BD1'!H:H,Estadísticas!$C$3,'BD1'!K:K,"ok")</f>
        <v>0</v>
      </c>
      <c r="D13" s="31">
        <f>COUNTIFS('BD1'!C:C,Estadísticas!A13,'BD1'!H:H,Estadísticas!$D$3,'BD1'!K:K,"ok")</f>
        <v>9</v>
      </c>
      <c r="E13" s="31">
        <f>COUNTIFS('BD1'!C:C,Estadísticas!A13,'BD1'!H:H,Estadísticas!$E$3,'BD1'!K:K,"ok")</f>
        <v>0</v>
      </c>
      <c r="F13" s="31">
        <f>COUNTIFS('BD1'!C:C,Estadísticas!A13,'BD1'!H:H,Estadísticas!$F$3,'BD1'!K:K,"ok")</f>
        <v>0</v>
      </c>
      <c r="G13" s="31">
        <f>COUNTIFS('BD1'!C:C,Estadísticas!A13,'BD1'!H:H,Estadísticas!$G$3,'BD1'!K:K,"ok")</f>
        <v>0</v>
      </c>
      <c r="H13" s="32">
        <f>COUNTIFS('BD1'!C:C,Estadísticas!A13,'BD1'!H:H,Estadísticas!$H$3,'BD1'!K:K,"ok")</f>
        <v>0</v>
      </c>
      <c r="I13" s="38">
        <f t="shared" si="1"/>
        <v>9</v>
      </c>
      <c r="J13" s="38">
        <f>SUM(COUNTIFS('BD1'!C:C, Estadísticas!A13, 'BD1'!AE:AE,"7"),COUNTIFS('BD1'!C:C, Estadísticas!A13, 'BD1'!AE:AE,"6"),COUNTIFS('BD1'!C:C, Estadísticas!A13, 'BD1'!AE:AE,"5"),COUNTIFS('BD1'!C:C, Estadísticas!A13, 'BD1'!AE:AE,"4"),COUNTIFS('BD1'!C:C, Estadísticas!A13, 'BD1'!AE:AE,"3"),COUNTIFS('BD1'!C:C, Estadísticas!A13, 'BD1'!AE:AE,"2"),COUNTIFS('BD1'!C:C, Estadísticas!A13, 'BD1'!AE:AE,"1"),COUNTIFS('BD1'!C:C, Estadísticas!A13, 'BD1'!AE:AE,"0"))</f>
        <v>3</v>
      </c>
      <c r="K13" s="38">
        <f>SUM(COUNTIFS('BD2'!C:C, Estadísticas!A13, 'BD2'!AE:AE,"7"),COUNTIFS('BD2'!C:C, Estadísticas!A13, 'BD2'!AE:AE,"6"),COUNTIFS('BD2'!C:C, Estadísticas!A13, 'BD2'!AE:AE,"5"),COUNTIFS('BD2'!C:C, Estadísticas!A13, 'BD2'!AE:AE,"4"),COUNTIFS('BD2'!C:C, Estadísticas!A13, 'BD2'!AE:AE,"3"),COUNTIFS('BD2'!C:C, Estadísticas!A13, 'BD2'!AE:AE,"2"),COUNTIFS('BD2'!C:C, Estadísticas!A13, 'BD2'!AE:AE,"1"),COUNTIFS('BD2'!C:C, Estadísticas!A13, 'BD2'!AE:AE,"0"))</f>
        <v>9</v>
      </c>
      <c r="L13" s="26"/>
      <c r="M13" s="26"/>
      <c r="N13" s="162" t="s">
        <v>3153</v>
      </c>
      <c r="O13" s="162"/>
      <c r="P13" s="162"/>
      <c r="Q13" s="162"/>
      <c r="R13" s="162"/>
      <c r="S13" s="162"/>
      <c r="T13" s="163">
        <f>COUNTIF('BD1'!AF:AF,Estadísticas!N13)</f>
        <v>2</v>
      </c>
      <c r="U13" s="26"/>
      <c r="V13" s="87">
        <v>11</v>
      </c>
      <c r="W13" s="88">
        <f>VLOOKUP(V13,'BD1'!$A$2:$AF$1139,31,0)</f>
        <v>8</v>
      </c>
      <c r="X13" s="88">
        <f>VLOOKUP(V13,'BD2'!$A$2:$AF$1139,31,0)</f>
        <v>8</v>
      </c>
      <c r="Y13" s="89" t="str">
        <f t="shared" si="0"/>
        <v>Se mantiene</v>
      </c>
    </row>
    <row r="14" spans="1:25" ht="15.75" x14ac:dyDescent="0.25">
      <c r="A14" s="66" t="s">
        <v>16</v>
      </c>
      <c r="B14" s="67"/>
      <c r="C14" s="36">
        <f>COUNTIFS('BD1'!C:C,Estadísticas!A14,'BD1'!H:H,Estadísticas!$C$3,'BD1'!K:K,"ok")</f>
        <v>0</v>
      </c>
      <c r="D14" s="31">
        <f>COUNTIFS('BD1'!C:C,Estadísticas!A14,'BD1'!H:H,Estadísticas!$D$3,'BD1'!K:K,"ok")</f>
        <v>14</v>
      </c>
      <c r="E14" s="31">
        <f>COUNTIFS('BD1'!C:C,Estadísticas!A14,'BD1'!H:H,Estadísticas!$E$3,'BD1'!K:K,"ok")</f>
        <v>0</v>
      </c>
      <c r="F14" s="31">
        <f>COUNTIFS('BD1'!C:C,Estadísticas!A14,'BD1'!H:H,Estadísticas!$F$3,'BD1'!K:K,"ok")</f>
        <v>0</v>
      </c>
      <c r="G14" s="31">
        <f>COUNTIFS('BD1'!C:C,Estadísticas!A14,'BD1'!H:H,Estadísticas!$G$3,'BD1'!K:K,"ok")</f>
        <v>0</v>
      </c>
      <c r="H14" s="32">
        <f>COUNTIFS('BD1'!C:C,Estadísticas!A14,'BD1'!H:H,Estadísticas!$H$3,'BD1'!K:K,"ok")</f>
        <v>0</v>
      </c>
      <c r="I14" s="38">
        <f t="shared" si="1"/>
        <v>14</v>
      </c>
      <c r="J14" s="38">
        <f>SUM(COUNTIFS('BD1'!C:C, Estadísticas!A14, 'BD1'!AE:AE,"7"),COUNTIFS('BD1'!C:C, Estadísticas!A14, 'BD1'!AE:AE,"6"),COUNTIFS('BD1'!C:C, Estadísticas!A14, 'BD1'!AE:AE,"5"),COUNTIFS('BD1'!C:C, Estadísticas!A14, 'BD1'!AE:AE,"4"),COUNTIFS('BD1'!C:C, Estadísticas!A14, 'BD1'!AE:AE,"3"),COUNTIFS('BD1'!C:C, Estadísticas!A14, 'BD1'!AE:AE,"2"),COUNTIFS('BD1'!C:C, Estadísticas!A14, 'BD1'!AE:AE,"1"),COUNTIFS('BD1'!C:C, Estadísticas!A14, 'BD1'!AE:AE,"0"))</f>
        <v>4</v>
      </c>
      <c r="K14" s="38">
        <f>SUM(COUNTIFS('BD2'!C:C, Estadísticas!A14, 'BD2'!AE:AE,"7"),COUNTIFS('BD2'!C:C, Estadísticas!A14, 'BD2'!AE:AE,"6"),COUNTIFS('BD2'!C:C, Estadísticas!A14, 'BD2'!AE:AE,"5"),COUNTIFS('BD2'!C:C, Estadísticas!A14, 'BD2'!AE:AE,"4"),COUNTIFS('BD2'!C:C, Estadísticas!A14, 'BD2'!AE:AE,"3"),COUNTIFS('BD2'!C:C, Estadísticas!A14, 'BD2'!AE:AE,"2"),COUNTIFS('BD2'!C:C, Estadísticas!A14, 'BD2'!AE:AE,"1"),COUNTIFS('BD2'!C:C, Estadísticas!A14, 'BD2'!AE:AE,"0"))</f>
        <v>14</v>
      </c>
      <c r="L14" s="26"/>
      <c r="M14" s="26"/>
      <c r="N14" s="164" t="s">
        <v>3154</v>
      </c>
      <c r="O14" s="164"/>
      <c r="P14" s="164"/>
      <c r="Q14" s="164"/>
      <c r="R14" s="164"/>
      <c r="S14" s="164"/>
      <c r="T14" s="165">
        <f>COUNTIF('BD1'!AF:AF,Estadísticas!N14)</f>
        <v>20</v>
      </c>
      <c r="U14" s="26"/>
      <c r="V14" s="90">
        <v>12</v>
      </c>
      <c r="W14" s="91">
        <f>VLOOKUP(V14,'BD1'!$A$2:$AF$1139,31,0)</f>
        <v>8</v>
      </c>
      <c r="X14" s="91">
        <f>VLOOKUP(V14,'BD2'!$A$2:$AF$1139,31,0)</f>
        <v>8</v>
      </c>
      <c r="Y14" s="92" t="str">
        <f t="shared" si="0"/>
        <v>Se mantiene</v>
      </c>
    </row>
    <row r="15" spans="1:25" ht="15.75" x14ac:dyDescent="0.25">
      <c r="A15" s="68" t="s">
        <v>1279</v>
      </c>
      <c r="B15" s="69"/>
      <c r="C15" s="36">
        <f>COUNTIFS('BD1'!C:C,Estadísticas!A15,'BD1'!H:H,Estadísticas!$C$3,'BD1'!K:K,"ok")</f>
        <v>0</v>
      </c>
      <c r="D15" s="31">
        <f>COUNTIFS('BD1'!C:C,Estadísticas!A15,'BD1'!H:H,Estadísticas!$D$3,'BD1'!K:K,"ok")</f>
        <v>2</v>
      </c>
      <c r="E15" s="31">
        <f>COUNTIFS('BD1'!C:C,Estadísticas!A15,'BD1'!H:H,Estadísticas!$E$3,'BD1'!K:K,"ok")</f>
        <v>0</v>
      </c>
      <c r="F15" s="31">
        <f>COUNTIFS('BD1'!C:C,Estadísticas!A15,'BD1'!H:H,Estadísticas!$F$3,'BD1'!K:K,"ok")</f>
        <v>0</v>
      </c>
      <c r="G15" s="31">
        <f>COUNTIFS('BD1'!C:C,Estadísticas!A15,'BD1'!H:H,Estadísticas!$G$3,'BD1'!K:K,"ok")</f>
        <v>0</v>
      </c>
      <c r="H15" s="32">
        <f>COUNTIFS('BD1'!C:C,Estadísticas!A15,'BD1'!H:H,Estadísticas!$H$3,'BD1'!K:K,"ok")</f>
        <v>0</v>
      </c>
      <c r="I15" s="38">
        <f t="shared" si="1"/>
        <v>2</v>
      </c>
      <c r="J15" s="38">
        <f>SUM(COUNTIFS('BD1'!C:C, Estadísticas!A15, 'BD1'!AE:AE,"7"),COUNTIFS('BD1'!C:C, Estadísticas!A15, 'BD1'!AE:AE,"6"),COUNTIFS('BD1'!C:C, Estadísticas!A15, 'BD1'!AE:AE,"5"),COUNTIFS('BD1'!C:C, Estadísticas!A15, 'BD1'!AE:AE,"4"),COUNTIFS('BD1'!C:C, Estadísticas!A15, 'BD1'!AE:AE,"3"),COUNTIFS('BD1'!C:C, Estadísticas!A15, 'BD1'!AE:AE,"2"),COUNTIFS('BD1'!C:C, Estadísticas!A15, 'BD1'!AE:AE,"1"),COUNTIFS('BD1'!C:C, Estadísticas!A15, 'BD1'!AE:AE,"0"))</f>
        <v>1</v>
      </c>
      <c r="K15" s="38">
        <f>SUM(COUNTIFS('BD2'!C:C, Estadísticas!A15, 'BD2'!AE:AE,"7"),COUNTIFS('BD2'!C:C, Estadísticas!A15, 'BD2'!AE:AE,"6"),COUNTIFS('BD2'!C:C, Estadísticas!A15, 'BD2'!AE:AE,"5"),COUNTIFS('BD2'!C:C, Estadísticas!A15, 'BD2'!AE:AE,"4"),COUNTIFS('BD2'!C:C, Estadísticas!A15, 'BD2'!AE:AE,"3"),COUNTIFS('BD2'!C:C, Estadísticas!A15, 'BD2'!AE:AE,"2"),COUNTIFS('BD2'!C:C, Estadísticas!A15, 'BD2'!AE:AE,"1"),COUNTIFS('BD2'!C:C, Estadísticas!A15, 'BD2'!AE:AE,"0"))</f>
        <v>2</v>
      </c>
      <c r="L15" s="26"/>
      <c r="M15" s="26"/>
      <c r="N15" s="26"/>
      <c r="O15" s="26"/>
      <c r="P15" s="26"/>
      <c r="Q15" s="27"/>
      <c r="R15" s="26"/>
      <c r="S15" s="26"/>
      <c r="T15" s="26"/>
      <c r="U15" s="26"/>
      <c r="V15" s="87" t="s">
        <v>402</v>
      </c>
      <c r="W15" s="88">
        <f>VLOOKUP(V15,'BD1'!$A$2:$AF$1139,31,0)</f>
        <v>8</v>
      </c>
      <c r="X15" s="88">
        <f>VLOOKUP(V15,'BD2'!$A$2:$AF$1139,31,0)</f>
        <v>8</v>
      </c>
      <c r="Y15" s="89" t="str">
        <f t="shared" si="0"/>
        <v>Se mantiene</v>
      </c>
    </row>
    <row r="16" spans="1:25" ht="18.75" x14ac:dyDescent="0.3">
      <c r="A16" s="66" t="s">
        <v>1383</v>
      </c>
      <c r="B16" s="67"/>
      <c r="C16" s="36">
        <f>COUNTIFS('BD1'!C:C,Estadísticas!A16,'BD1'!H:H,Estadísticas!$C$3,'BD1'!K:K,"ok")</f>
        <v>0</v>
      </c>
      <c r="D16" s="31">
        <f>COUNTIFS('BD1'!C:C,Estadísticas!A16,'BD1'!H:H,Estadísticas!$D$3,'BD1'!K:K,"ok")</f>
        <v>0</v>
      </c>
      <c r="E16" s="31">
        <f>COUNTIFS('BD1'!C:C,Estadísticas!A16,'BD1'!H:H,Estadísticas!$E$3,'BD1'!K:K,"ok")</f>
        <v>0</v>
      </c>
      <c r="F16" s="31">
        <f>COUNTIFS('BD1'!C:C,Estadísticas!A16,'BD1'!H:H,Estadísticas!$F$3,'BD1'!K:K,"ok")</f>
        <v>0</v>
      </c>
      <c r="G16" s="31">
        <f>COUNTIFS('BD1'!C:C,Estadísticas!A16,'BD1'!H:H,Estadísticas!$G$3,'BD1'!K:K,"ok")</f>
        <v>0</v>
      </c>
      <c r="H16" s="32">
        <f>COUNTIFS('BD1'!C:C,Estadísticas!A16,'BD1'!H:H,Estadísticas!$H$3,'BD1'!K:K,"ok")</f>
        <v>0</v>
      </c>
      <c r="I16" s="38">
        <f t="shared" si="1"/>
        <v>0</v>
      </c>
      <c r="J16" s="38">
        <f>SUM(COUNTIFS('BD1'!C:C, Estadísticas!A16, 'BD1'!AE:AE,"7"),COUNTIFS('BD1'!C:C, Estadísticas!A16, 'BD1'!AE:AE,"6"),COUNTIFS('BD1'!C:C, Estadísticas!A16, 'BD1'!AE:AE,"5"),COUNTIFS('BD1'!C:C, Estadísticas!A16, 'BD1'!AE:AE,"4"),COUNTIFS('BD1'!C:C, Estadísticas!A16, 'BD1'!AE:AE,"3"),COUNTIFS('BD1'!C:C, Estadísticas!A16, 'BD1'!AE:AE,"2"),COUNTIFS('BD1'!C:C, Estadísticas!A16, 'BD1'!AE:AE,"1"),COUNTIFS('BD1'!C:C, Estadísticas!A16, 'BD1'!AE:AE,"0"))</f>
        <v>0</v>
      </c>
      <c r="K16" s="38">
        <f>SUM(COUNTIFS('BD2'!C:C, Estadísticas!A16, 'BD2'!AE:AE,"7"),COUNTIFS('BD2'!C:C, Estadísticas!A16, 'BD2'!AE:AE,"6"),COUNTIFS('BD2'!C:C, Estadísticas!A16, 'BD2'!AE:AE,"5"),COUNTIFS('BD2'!C:C, Estadísticas!A16, 'BD2'!AE:AE,"4"),COUNTIFS('BD2'!C:C, Estadísticas!A16, 'BD2'!AE:AE,"3"),COUNTIFS('BD2'!C:C, Estadísticas!A16, 'BD2'!AE:AE,"2"),COUNTIFS('BD2'!C:C, Estadísticas!A16, 'BD2'!AE:AE,"1"),COUNTIFS('BD2'!C:C, Estadísticas!A16, 'BD2'!AE:AE,"0"))</f>
        <v>0</v>
      </c>
      <c r="L16" s="26"/>
      <c r="M16" s="26"/>
      <c r="N16" s="166" t="s">
        <v>3155</v>
      </c>
      <c r="O16" s="166"/>
      <c r="P16" s="166"/>
      <c r="Q16" s="166"/>
      <c r="R16" s="166"/>
      <c r="S16" s="166"/>
      <c r="T16" s="166"/>
      <c r="U16" s="26"/>
      <c r="V16" s="90" t="s">
        <v>403</v>
      </c>
      <c r="W16" s="91">
        <f>VLOOKUP(V16,'BD1'!$A$2:$AF$1139,31,0)</f>
        <v>7</v>
      </c>
      <c r="X16" s="91">
        <f>VLOOKUP(V16,'BD2'!$A$2:$AF$1139,31,0)</f>
        <v>8</v>
      </c>
      <c r="Y16" s="92" t="str">
        <f t="shared" si="0"/>
        <v>Mejoría</v>
      </c>
    </row>
    <row r="17" spans="1:25" ht="15.75" x14ac:dyDescent="0.25">
      <c r="A17" s="68" t="s">
        <v>336</v>
      </c>
      <c r="B17" s="69"/>
      <c r="C17" s="36">
        <f>COUNTIFS('BD1'!C:C,Estadísticas!A17,'BD1'!H:H,Estadísticas!$C$3,'BD1'!K:K,"ok")</f>
        <v>0</v>
      </c>
      <c r="D17" s="31">
        <f>COUNTIFS('BD1'!C:C,Estadísticas!A17,'BD1'!H:H,Estadísticas!$D$3,'BD1'!K:K,"ok")</f>
        <v>0</v>
      </c>
      <c r="E17" s="31">
        <f>COUNTIFS('BD1'!C:C,Estadísticas!A17,'BD1'!H:H,Estadísticas!$E$3,'BD1'!K:K,"ok")</f>
        <v>0</v>
      </c>
      <c r="F17" s="31">
        <f>COUNTIFS('BD1'!C:C,Estadísticas!A17,'BD1'!H:H,Estadísticas!$F$3,'BD1'!K:K,"ok")</f>
        <v>0</v>
      </c>
      <c r="G17" s="31">
        <f>COUNTIFS('BD1'!C:C,Estadísticas!A17,'BD1'!H:H,Estadísticas!$G$3,'BD1'!K:K,"ok")</f>
        <v>0</v>
      </c>
      <c r="H17" s="32">
        <f>COUNTIFS('BD1'!C:C,Estadísticas!A17,'BD1'!H:H,Estadísticas!$H$3,'BD1'!K:K,"ok")</f>
        <v>0</v>
      </c>
      <c r="I17" s="38">
        <f t="shared" si="1"/>
        <v>0</v>
      </c>
      <c r="J17" s="38">
        <f>SUM(COUNTIFS('BD1'!C:C, Estadísticas!A17, 'BD1'!AE:AE,"7"),COUNTIFS('BD1'!C:C, Estadísticas!A17, 'BD1'!AE:AE,"6"),COUNTIFS('BD1'!C:C, Estadísticas!A17, 'BD1'!AE:AE,"5"),COUNTIFS('BD1'!C:C, Estadísticas!A17, 'BD1'!AE:AE,"4"),COUNTIFS('BD1'!C:C, Estadísticas!A17, 'BD1'!AE:AE,"3"),COUNTIFS('BD1'!C:C, Estadísticas!A17, 'BD1'!AE:AE,"2"),COUNTIFS('BD1'!C:C, Estadísticas!A17, 'BD1'!AE:AE,"1"),COUNTIFS('BD1'!C:C, Estadísticas!A17, 'BD1'!AE:AE,"0"))</f>
        <v>0</v>
      </c>
      <c r="K17" s="38">
        <f>SUM(COUNTIFS('BD2'!C:C, Estadísticas!A17, 'BD2'!AE:AE,"7"),COUNTIFS('BD2'!C:C, Estadísticas!A17, 'BD2'!AE:AE,"6"),COUNTIFS('BD2'!C:C, Estadísticas!A17, 'BD2'!AE:AE,"5"),COUNTIFS('BD2'!C:C, Estadísticas!A17, 'BD2'!AE:AE,"4"),COUNTIFS('BD2'!C:C, Estadísticas!A17, 'BD2'!AE:AE,"3"),COUNTIFS('BD2'!C:C, Estadísticas!A17, 'BD2'!AE:AE,"2"),COUNTIFS('BD2'!C:C, Estadísticas!A17, 'BD2'!AE:AE,"1"),COUNTIFS('BD2'!C:C, Estadísticas!A17, 'BD2'!AE:AE,"0"))</f>
        <v>0</v>
      </c>
      <c r="L17" s="26"/>
      <c r="M17" s="26"/>
      <c r="N17" s="158" t="s">
        <v>3114</v>
      </c>
      <c r="O17" s="158"/>
      <c r="P17" s="158"/>
      <c r="Q17" s="158"/>
      <c r="R17" s="158"/>
      <c r="S17" s="158"/>
      <c r="T17" s="159">
        <f>COUNTIF('BD2'!AF:AF,Estadísticas!N17)</f>
        <v>226</v>
      </c>
      <c r="U17" s="26"/>
      <c r="V17" s="87">
        <v>14</v>
      </c>
      <c r="W17" s="88">
        <f>VLOOKUP(V17,'BD1'!$A$2:$AF$1139,31,0)</f>
        <v>8</v>
      </c>
      <c r="X17" s="88">
        <f>VLOOKUP(V17,'BD2'!$A$2:$AF$1139,31,0)</f>
        <v>8</v>
      </c>
      <c r="Y17" s="89" t="str">
        <f t="shared" si="0"/>
        <v>Se mantiene</v>
      </c>
    </row>
    <row r="18" spans="1:25" ht="15.75" x14ac:dyDescent="0.25">
      <c r="A18" s="66" t="s">
        <v>132</v>
      </c>
      <c r="B18" s="67"/>
      <c r="C18" s="36">
        <f>COUNTIFS('BD1'!C:C,Estadísticas!A18,'BD1'!H:H,Estadísticas!$C$3,'BD1'!K:K,"ok")</f>
        <v>0</v>
      </c>
      <c r="D18" s="31">
        <f>COUNTIFS('BD1'!C:C,Estadísticas!A18,'BD1'!H:H,Estadísticas!$D$3,'BD1'!K:K,"ok")</f>
        <v>0</v>
      </c>
      <c r="E18" s="31">
        <f>COUNTIFS('BD1'!C:C,Estadísticas!A18,'BD1'!H:H,Estadísticas!$E$3,'BD1'!K:K,"ok")</f>
        <v>0</v>
      </c>
      <c r="F18" s="31">
        <f>COUNTIFS('BD1'!C:C,Estadísticas!A18,'BD1'!H:H,Estadísticas!$F$3,'BD1'!K:K,"ok")</f>
        <v>0</v>
      </c>
      <c r="G18" s="31">
        <f>COUNTIFS('BD1'!C:C,Estadísticas!A18,'BD1'!H:H,Estadísticas!$G$3,'BD1'!K:K,"ok")</f>
        <v>0</v>
      </c>
      <c r="H18" s="32">
        <f>COUNTIFS('BD1'!C:C,Estadísticas!A18,'BD1'!H:H,Estadísticas!$H$3,'BD1'!K:K,"ok")</f>
        <v>0</v>
      </c>
      <c r="I18" s="38">
        <f t="shared" si="1"/>
        <v>0</v>
      </c>
      <c r="J18" s="38">
        <f>SUM(COUNTIFS('BD1'!C:C, Estadísticas!A18, 'BD1'!AE:AE,"7"),COUNTIFS('BD1'!C:C, Estadísticas!A18, 'BD1'!AE:AE,"6"),COUNTIFS('BD1'!C:C, Estadísticas!A18, 'BD1'!AE:AE,"5"),COUNTIFS('BD1'!C:C, Estadísticas!A18, 'BD1'!AE:AE,"4"),COUNTIFS('BD1'!C:C, Estadísticas!A18, 'BD1'!AE:AE,"3"),COUNTIFS('BD1'!C:C, Estadísticas!A18, 'BD1'!AE:AE,"2"),COUNTIFS('BD1'!C:C, Estadísticas!A18, 'BD1'!AE:AE,"1"),COUNTIFS('BD1'!C:C, Estadísticas!A18, 'BD1'!AE:AE,"0"))</f>
        <v>0</v>
      </c>
      <c r="K18" s="38">
        <f>SUM(COUNTIFS('BD2'!C:C, Estadísticas!A18, 'BD2'!AE:AE,"7"),COUNTIFS('BD2'!C:C, Estadísticas!A18, 'BD2'!AE:AE,"6"),COUNTIFS('BD2'!C:C, Estadísticas!A18, 'BD2'!AE:AE,"5"),COUNTIFS('BD2'!C:C, Estadísticas!A18, 'BD2'!AE:AE,"4"),COUNTIFS('BD2'!C:C, Estadísticas!A18, 'BD2'!AE:AE,"3"),COUNTIFS('BD2'!C:C, Estadísticas!A18, 'BD2'!AE:AE,"2"),COUNTIFS('BD2'!C:C, Estadísticas!A18, 'BD2'!AE:AE,"1"),COUNTIFS('BD2'!C:C, Estadísticas!A18, 'BD2'!AE:AE,"0"))</f>
        <v>0</v>
      </c>
      <c r="L18" s="26"/>
      <c r="M18" s="26"/>
      <c r="N18" s="158" t="s">
        <v>3150</v>
      </c>
      <c r="O18" s="158"/>
      <c r="P18" s="158"/>
      <c r="Q18" s="158"/>
      <c r="R18" s="158"/>
      <c r="S18" s="158"/>
      <c r="T18" s="159">
        <f>COUNTIF('BD2'!AF:AF,Estadísticas!N18)</f>
        <v>135</v>
      </c>
      <c r="U18" s="26"/>
      <c r="V18" s="90">
        <v>15</v>
      </c>
      <c r="W18" s="91">
        <f>VLOOKUP(V18,'BD1'!$A$2:$AF$1139,31,0)</f>
        <v>8</v>
      </c>
      <c r="X18" s="91">
        <f>VLOOKUP(V18,'BD2'!$A$2:$AF$1139,31,0)</f>
        <v>8</v>
      </c>
      <c r="Y18" s="92" t="str">
        <f t="shared" si="0"/>
        <v>Se mantiene</v>
      </c>
    </row>
    <row r="19" spans="1:25" ht="16.5" thickBot="1" x14ac:dyDescent="0.3">
      <c r="A19" s="70" t="s">
        <v>1449</v>
      </c>
      <c r="B19" s="71"/>
      <c r="C19" s="39">
        <f>COUNTIFS('BD1'!C:C,Estadísticas!A19,'BD1'!H:H,Estadísticas!$C$3,'BD1'!K:K,"ok")</f>
        <v>0</v>
      </c>
      <c r="D19" s="40">
        <f>COUNTIFS('BD1'!C:C,Estadísticas!A19,'BD1'!H:H,Estadísticas!$D$3,'BD1'!K:K,"ok")</f>
        <v>0</v>
      </c>
      <c r="E19" s="40">
        <f>COUNTIFS('BD1'!C:C,Estadísticas!A19,'BD1'!H:H,Estadísticas!$E$3,'BD1'!K:K,"ok")</f>
        <v>0</v>
      </c>
      <c r="F19" s="40">
        <f>COUNTIFS('BD1'!C:C,Estadísticas!A19,'BD1'!H:H,Estadísticas!$F$3,'BD1'!K:K,"ok")</f>
        <v>0</v>
      </c>
      <c r="G19" s="40">
        <f>COUNTIFS('BD1'!C:C,Estadísticas!A19,'BD1'!H:H,Estadísticas!$G$3,'BD1'!K:K,"ok")</f>
        <v>0</v>
      </c>
      <c r="H19" s="41">
        <f>COUNTIFS('BD1'!C:C,Estadísticas!A19,'BD1'!H:H,Estadísticas!$H$3,'BD1'!K:K,"ok")</f>
        <v>1</v>
      </c>
      <c r="I19" s="42">
        <f t="shared" si="1"/>
        <v>1</v>
      </c>
      <c r="J19" s="57">
        <f>SUM(COUNTIFS('BD1'!C:C, Estadísticas!A19, 'BD1'!AE:AE,"7"),COUNTIFS('BD1'!C:C, Estadísticas!A19, 'BD1'!AE:AE,"6"),COUNTIFS('BD1'!C:C, Estadísticas!A19, 'BD1'!AE:AE,"5"),COUNTIFS('BD1'!C:C, Estadísticas!A19, 'BD1'!AE:AE,"4"),COUNTIFS('BD1'!C:C, Estadísticas!A19, 'BD1'!AE:AE,"3"),COUNTIFS('BD1'!C:C, Estadísticas!A19, 'BD1'!AE:AE,"2"),COUNTIFS('BD1'!C:C, Estadísticas!A19, 'BD1'!AE:AE,"1"),COUNTIFS('BD1'!C:C, Estadísticas!A19, 'BD1'!AE:AE,"0"))</f>
        <v>0</v>
      </c>
      <c r="K19" s="57">
        <f>SUM(COUNTIFS('BD2'!C:C, Estadísticas!A19, 'BD2'!AE:AE,"7"),COUNTIFS('BD2'!C:C, Estadísticas!A19, 'BD2'!AE:AE,"6"),COUNTIFS('BD2'!C:C, Estadísticas!A19, 'BD2'!AE:AE,"5"),COUNTIFS('BD2'!C:C, Estadísticas!A19, 'BD2'!AE:AE,"4"),COUNTIFS('BD2'!C:C, Estadísticas!A19, 'BD2'!AE:AE,"3"),COUNTIFS('BD2'!C:C, Estadísticas!A19, 'BD2'!AE:AE,"2"),COUNTIFS('BD2'!C:C, Estadísticas!A19, 'BD2'!AE:AE,"1"),COUNTIFS('BD2'!C:C, Estadísticas!A19, 'BD2'!AE:AE,"0"))</f>
        <v>0</v>
      </c>
      <c r="L19" s="26"/>
      <c r="M19" s="26"/>
      <c r="N19" s="160" t="s">
        <v>3151</v>
      </c>
      <c r="O19" s="160"/>
      <c r="P19" s="160"/>
      <c r="Q19" s="160"/>
      <c r="R19" s="160"/>
      <c r="S19" s="160"/>
      <c r="T19" s="161">
        <f>COUNTIF('BD2'!AF:AF,Estadísticas!N19)</f>
        <v>4</v>
      </c>
      <c r="U19" s="26"/>
      <c r="V19" s="87">
        <v>16</v>
      </c>
      <c r="W19" s="88">
        <f>VLOOKUP(V19,'BD1'!$A$2:$AF$1139,31,0)</f>
        <v>8</v>
      </c>
      <c r="X19" s="88">
        <f>VLOOKUP(V19,'BD2'!$A$2:$AF$1139,31,0)</f>
        <v>8</v>
      </c>
      <c r="Y19" s="89" t="str">
        <f t="shared" si="0"/>
        <v>Se mantiene</v>
      </c>
    </row>
    <row r="20" spans="1:25" ht="16.5" thickBot="1" x14ac:dyDescent="0.3">
      <c r="A20" s="26"/>
      <c r="B20" s="26"/>
      <c r="C20" s="43">
        <f>SUM(C4:C19)</f>
        <v>212</v>
      </c>
      <c r="D20" s="28">
        <f t="shared" ref="D20:H20" si="2">SUM(D4:D19)</f>
        <v>47</v>
      </c>
      <c r="E20" s="28">
        <f t="shared" si="2"/>
        <v>51</v>
      </c>
      <c r="F20" s="28">
        <f t="shared" si="2"/>
        <v>53</v>
      </c>
      <c r="G20" s="28">
        <f t="shared" si="2"/>
        <v>20</v>
      </c>
      <c r="H20" s="30">
        <f t="shared" si="2"/>
        <v>25</v>
      </c>
      <c r="I20" s="44">
        <f>SUM(I4:I19)</f>
        <v>408</v>
      </c>
      <c r="J20" s="26"/>
      <c r="K20" s="26"/>
      <c r="L20" s="26"/>
      <c r="M20" s="26"/>
      <c r="N20" s="160" t="s">
        <v>3152</v>
      </c>
      <c r="O20" s="160"/>
      <c r="P20" s="160"/>
      <c r="Q20" s="160"/>
      <c r="R20" s="160"/>
      <c r="S20" s="160"/>
      <c r="T20" s="161">
        <f>COUNTIF('BD2'!AF:AF,Estadísticas!N20)</f>
        <v>19</v>
      </c>
      <c r="U20" s="26"/>
      <c r="V20" s="90">
        <v>89</v>
      </c>
      <c r="W20" s="91">
        <f>VLOOKUP(V20,'BD1'!$A$2:$AF$1139,31,0)</f>
        <v>6</v>
      </c>
      <c r="X20" s="91">
        <f>VLOOKUP(V20,'BD2'!$A$2:$AF$1139,31,0)</f>
        <v>8</v>
      </c>
      <c r="Y20" s="92" t="str">
        <f t="shared" si="0"/>
        <v>Mejoría</v>
      </c>
    </row>
    <row r="21" spans="1:25" ht="15.75" x14ac:dyDescent="0.25">
      <c r="A21" s="26"/>
      <c r="B21" s="26"/>
      <c r="C21" s="45"/>
      <c r="D21" s="45"/>
      <c r="E21" s="45"/>
      <c r="F21" s="45"/>
      <c r="G21" s="45"/>
      <c r="H21" s="45"/>
      <c r="I21" s="47"/>
      <c r="J21" s="26"/>
      <c r="K21" s="26"/>
      <c r="L21" s="26"/>
      <c r="M21" s="26"/>
      <c r="N21" s="162" t="s">
        <v>3153</v>
      </c>
      <c r="O21" s="162"/>
      <c r="P21" s="162"/>
      <c r="Q21" s="162"/>
      <c r="R21" s="162"/>
      <c r="S21" s="162"/>
      <c r="T21" s="163">
        <f>COUNTIF('BD2'!AF:AF,Estadísticas!N21)</f>
        <v>10</v>
      </c>
      <c r="U21" s="26"/>
      <c r="V21" s="87">
        <v>92</v>
      </c>
      <c r="W21" s="88">
        <f>VLOOKUP(V21,'BD1'!$A$2:$AF$1139,31,0)</f>
        <v>8</v>
      </c>
      <c r="X21" s="88">
        <f>VLOOKUP(V21,'BD2'!$A$2:$AF$1139,31,0)</f>
        <v>8</v>
      </c>
      <c r="Y21" s="89" t="str">
        <f t="shared" si="0"/>
        <v>Se mantiene</v>
      </c>
    </row>
    <row r="22" spans="1:25" ht="15.75" x14ac:dyDescent="0.25">
      <c r="A22" s="46" t="s">
        <v>3106</v>
      </c>
      <c r="B22" s="26"/>
      <c r="C22" s="27"/>
      <c r="D22" s="27"/>
      <c r="E22" s="27"/>
      <c r="F22" s="27"/>
      <c r="G22" s="27"/>
      <c r="H22" s="27"/>
      <c r="I22" s="27"/>
      <c r="J22" s="26"/>
      <c r="K22" s="26"/>
      <c r="L22" s="26"/>
      <c r="M22" s="26"/>
      <c r="N22" s="164" t="s">
        <v>3154</v>
      </c>
      <c r="O22" s="164"/>
      <c r="P22" s="164"/>
      <c r="Q22" s="164"/>
      <c r="R22" s="164"/>
      <c r="S22" s="164"/>
      <c r="T22" s="165">
        <f>COUNTIF('BD2'!AF:AF,Estadísticas!N22)</f>
        <v>24</v>
      </c>
      <c r="U22" s="26"/>
      <c r="V22" s="90">
        <v>96</v>
      </c>
      <c r="W22" s="91">
        <f>VLOOKUP(V22,'BD1'!$A$2:$AF$1139,31,0)</f>
        <v>8</v>
      </c>
      <c r="X22" s="91">
        <f>VLOOKUP(V22,'BD2'!$A$2:$AF$1139,31,0)</f>
        <v>8</v>
      </c>
      <c r="Y22" s="92" t="str">
        <f t="shared" si="0"/>
        <v>Se mantiene</v>
      </c>
    </row>
    <row r="23" spans="1:25" x14ac:dyDescent="0.25">
      <c r="A23" s="26"/>
      <c r="B23" s="26"/>
      <c r="C23" s="27"/>
      <c r="D23" s="27"/>
      <c r="E23" s="27"/>
      <c r="F23" s="27"/>
      <c r="G23" s="27"/>
      <c r="H23" s="27"/>
      <c r="I23" s="27"/>
      <c r="J23" s="26"/>
      <c r="K23" s="26"/>
      <c r="L23" s="26"/>
      <c r="M23" s="26"/>
      <c r="N23" s="26"/>
      <c r="O23" s="26"/>
      <c r="P23" s="26"/>
      <c r="Q23" s="26"/>
      <c r="R23" s="26"/>
      <c r="S23" s="26"/>
      <c r="T23" s="26"/>
      <c r="U23" s="26"/>
      <c r="V23" s="87">
        <v>101</v>
      </c>
      <c r="W23" s="88">
        <f>VLOOKUP(V23,'BD1'!$A$2:$AF$1139,31,0)</f>
        <v>7</v>
      </c>
      <c r="X23" s="88">
        <f>VLOOKUP(V23,'BD2'!$A$2:$AF$1139,31,0)</f>
        <v>8</v>
      </c>
      <c r="Y23" s="89" t="str">
        <f t="shared" si="0"/>
        <v>Mejoría</v>
      </c>
    </row>
    <row r="24" spans="1:25" ht="23.25" x14ac:dyDescent="0.35">
      <c r="A24" s="72" t="s">
        <v>3049</v>
      </c>
      <c r="B24" s="73"/>
      <c r="C24" s="73"/>
      <c r="D24" s="73"/>
      <c r="E24" s="73"/>
      <c r="F24" s="73"/>
      <c r="G24" s="73"/>
      <c r="H24" s="73"/>
      <c r="I24" s="73"/>
      <c r="J24" s="73"/>
      <c r="K24" s="73"/>
      <c r="L24" s="73"/>
      <c r="M24" s="73"/>
      <c r="N24" s="73"/>
      <c r="O24" s="73"/>
      <c r="P24" s="73"/>
      <c r="Q24" s="73"/>
      <c r="R24" s="73"/>
      <c r="S24" s="73"/>
      <c r="T24" s="74"/>
      <c r="V24" s="90">
        <v>102</v>
      </c>
      <c r="W24" s="91">
        <f>VLOOKUP(V24,'BD1'!$A$2:$AF$1139,31,0)</f>
        <v>5</v>
      </c>
      <c r="X24" s="91">
        <f>VLOOKUP(V24,'BD2'!$A$2:$AF$1139,31,0)</f>
        <v>7</v>
      </c>
      <c r="Y24" s="92" t="str">
        <f t="shared" si="0"/>
        <v>Mejoría</v>
      </c>
    </row>
    <row r="25" spans="1:25" ht="15.75" thickBot="1" x14ac:dyDescent="0.3">
      <c r="V25" s="87">
        <v>107</v>
      </c>
      <c r="W25" s="88">
        <f>VLOOKUP(V25,'BD1'!$A$2:$AF$1139,31,0)</f>
        <v>8</v>
      </c>
      <c r="X25" s="88">
        <f>VLOOKUP(V25,'BD2'!$A$2:$AF$1139,31,0)</f>
        <v>8</v>
      </c>
      <c r="Y25" s="89" t="str">
        <f t="shared" si="0"/>
        <v>Se mantiene</v>
      </c>
    </row>
    <row r="26" spans="1:25" ht="21.75" thickBot="1" x14ac:dyDescent="0.4">
      <c r="A26" s="63" t="s">
        <v>3033</v>
      </c>
      <c r="B26" s="64"/>
      <c r="C26" s="64"/>
      <c r="D26" s="64"/>
      <c r="E26" s="64"/>
      <c r="F26" s="64"/>
      <c r="G26" s="64"/>
      <c r="H26" s="65"/>
      <c r="V26" s="90">
        <v>109</v>
      </c>
      <c r="W26" s="91">
        <f>VLOOKUP(V26,'BD1'!$A$2:$AF$1139,31,0)</f>
        <v>8</v>
      </c>
      <c r="X26" s="91">
        <f>VLOOKUP(V26,'BD2'!$A$2:$AF$1139,31,0)</f>
        <v>8</v>
      </c>
      <c r="Y26" s="92" t="str">
        <f t="shared" si="0"/>
        <v>Se mantiene</v>
      </c>
    </row>
    <row r="27" spans="1:25" ht="15.75" thickBot="1" x14ac:dyDescent="0.3">
      <c r="A27" s="18" t="s">
        <v>3040</v>
      </c>
      <c r="B27" s="19" t="s">
        <v>3050</v>
      </c>
      <c r="C27" s="20" t="s">
        <v>3051</v>
      </c>
      <c r="D27" s="21" t="s">
        <v>3041</v>
      </c>
      <c r="E27" s="19" t="s">
        <v>3052</v>
      </c>
      <c r="F27" s="20" t="s">
        <v>3053</v>
      </c>
      <c r="G27" s="19" t="s">
        <v>3054</v>
      </c>
      <c r="H27" s="20" t="s">
        <v>3055</v>
      </c>
      <c r="V27" s="87">
        <v>112</v>
      </c>
      <c r="W27" s="88">
        <f>VLOOKUP(V27,'BD1'!$A$2:$AF$1139,31,0)</f>
        <v>7</v>
      </c>
      <c r="X27" s="88">
        <f>VLOOKUP(V27,'BD2'!$A$2:$AF$1139,31,0)</f>
        <v>8</v>
      </c>
      <c r="Y27" s="89" t="str">
        <f t="shared" si="0"/>
        <v>Mejoría</v>
      </c>
    </row>
    <row r="28" spans="1:25" ht="18.75" x14ac:dyDescent="0.3">
      <c r="A28" s="22" t="s">
        <v>3034</v>
      </c>
      <c r="B28" s="15">
        <f>COUNTIFS('BD1'!H:H,Estadísticas!A28,'BD1'!S:S,"no")</f>
        <v>12</v>
      </c>
      <c r="C28" s="16">
        <f>COUNTIFS('BD2'!H:H,Estadísticas!A28,'BD2'!S:S,"no")</f>
        <v>9</v>
      </c>
      <c r="D28" s="17">
        <f>(COUNTIFS('BD1'!H:H,Estadísticas!A28,'BD1'!K:K,"ok") + COUNTIFS('BD1'!H:H,Estadísticas!A28,'BD1'!K:K,"sin video"))</f>
        <v>217</v>
      </c>
      <c r="E28" s="48">
        <f t="shared" ref="E28:E33" si="3">B28*100/D28</f>
        <v>5.5299539170506913</v>
      </c>
      <c r="F28" s="52">
        <f>(D28-B28)*100/D28</f>
        <v>94.47004608294931</v>
      </c>
      <c r="G28" s="48">
        <f t="shared" ref="G28:G33" si="4">C28*100/D28</f>
        <v>4.1474654377880187</v>
      </c>
      <c r="H28" s="56">
        <f t="shared" ref="H28:H33" si="5">(D28-C28)*100/D28</f>
        <v>95.852534562211986</v>
      </c>
      <c r="I28" s="29"/>
      <c r="J28" s="5"/>
      <c r="V28" s="90">
        <v>114</v>
      </c>
      <c r="W28" s="91">
        <f>VLOOKUP(V28,'BD1'!$A$2:$AF$1139,31,0)</f>
        <v>8</v>
      </c>
      <c r="X28" s="91">
        <f>VLOOKUP(V28,'BD2'!$A$2:$AF$1139,31,0)</f>
        <v>0</v>
      </c>
      <c r="Y28" s="92" t="str">
        <f t="shared" si="0"/>
        <v>Pérdida</v>
      </c>
    </row>
    <row r="29" spans="1:25" ht="18.75" x14ac:dyDescent="0.3">
      <c r="A29" s="23" t="s">
        <v>3035</v>
      </c>
      <c r="B29" s="10">
        <f>COUNTIFS('BD1'!H:H,Estadísticas!A29,'BD1'!S:S,"no")</f>
        <v>5</v>
      </c>
      <c r="C29" s="8">
        <f>COUNTIFS('BD2'!H:H,Estadísticas!A29,'BD2'!S:S,"no")</f>
        <v>0</v>
      </c>
      <c r="D29" s="13">
        <f>(COUNTIFS('BD1'!H:H,Estadísticas!A29,'BD1'!K:K,"ok") + COUNTIFS('BD1'!H:H,Estadísticas!A29,'BD1'!K:K,"sin video"))</f>
        <v>47</v>
      </c>
      <c r="E29" s="49">
        <f t="shared" si="3"/>
        <v>10.638297872340425</v>
      </c>
      <c r="F29" s="53">
        <f t="shared" ref="F29:F33" si="6">(D29-B29)*100/D29</f>
        <v>89.361702127659569</v>
      </c>
      <c r="G29" s="49">
        <f t="shared" si="4"/>
        <v>0</v>
      </c>
      <c r="H29" s="53">
        <f t="shared" si="5"/>
        <v>100</v>
      </c>
      <c r="V29" s="87">
        <v>123</v>
      </c>
      <c r="W29" s="88">
        <f>VLOOKUP(V29,'BD1'!$A$2:$AF$1139,31,0)</f>
        <v>8</v>
      </c>
      <c r="X29" s="88">
        <f>VLOOKUP(V29,'BD2'!$A$2:$AF$1139,31,0)</f>
        <v>8</v>
      </c>
      <c r="Y29" s="89" t="str">
        <f t="shared" si="0"/>
        <v>Se mantiene</v>
      </c>
    </row>
    <row r="30" spans="1:25" ht="18.75" x14ac:dyDescent="0.3">
      <c r="A30" s="24" t="s">
        <v>3036</v>
      </c>
      <c r="B30" s="6">
        <f>COUNTIFS('BD1'!H:H,Estadísticas!A30,'BD1'!S:S,"no")</f>
        <v>5</v>
      </c>
      <c r="C30" s="7">
        <f>COUNTIFS('BD2'!H:H,Estadísticas!A30,'BD2'!S:S,"no")</f>
        <v>4</v>
      </c>
      <c r="D30" s="12">
        <f>(COUNTIFS('BD1'!H:H,Estadísticas!A30,'BD1'!K:K,"ok") + COUNTIFS('BD1'!H:H,Estadísticas!A30,'BD1'!K:K,"sin video"))</f>
        <v>55</v>
      </c>
      <c r="E30" s="50">
        <f t="shared" si="3"/>
        <v>9.0909090909090917</v>
      </c>
      <c r="F30" s="54">
        <f t="shared" si="6"/>
        <v>90.909090909090907</v>
      </c>
      <c r="G30" s="50">
        <f t="shared" si="4"/>
        <v>7.2727272727272725</v>
      </c>
      <c r="H30" s="54">
        <f t="shared" si="5"/>
        <v>92.727272727272734</v>
      </c>
      <c r="V30" s="90">
        <v>128</v>
      </c>
      <c r="W30" s="91">
        <f>VLOOKUP(V30,'BD1'!$A$2:$AF$1139,31,0)</f>
        <v>8</v>
      </c>
      <c r="X30" s="91">
        <f>VLOOKUP(V30,'BD2'!$A$2:$AF$1139,31,0)</f>
        <v>8</v>
      </c>
      <c r="Y30" s="92" t="str">
        <f t="shared" si="0"/>
        <v>Se mantiene</v>
      </c>
    </row>
    <row r="31" spans="1:25" ht="18.75" x14ac:dyDescent="0.3">
      <c r="A31" s="23" t="s">
        <v>3037</v>
      </c>
      <c r="B31" s="10">
        <f>COUNTIFS('BD1'!H:H,Estadísticas!A31,'BD1'!S:S,"no")</f>
        <v>1</v>
      </c>
      <c r="C31" s="8">
        <f>COUNTIFS('BD2'!H:H,Estadísticas!A31,'BD2'!S:S,"no")</f>
        <v>0</v>
      </c>
      <c r="D31" s="13">
        <f>(COUNTIFS('BD1'!H:H,Estadísticas!A31,'BD1'!K:K,"ok") + COUNTIFS('BD1'!H:H,Estadísticas!A31,'BD1'!K:K,"sin video"))</f>
        <v>54</v>
      </c>
      <c r="E31" s="49">
        <f t="shared" si="3"/>
        <v>1.8518518518518519</v>
      </c>
      <c r="F31" s="53">
        <f t="shared" si="6"/>
        <v>98.148148148148152</v>
      </c>
      <c r="G31" s="49">
        <f t="shared" si="4"/>
        <v>0</v>
      </c>
      <c r="H31" s="53">
        <f t="shared" si="5"/>
        <v>100</v>
      </c>
      <c r="V31" s="87">
        <v>131</v>
      </c>
      <c r="W31" s="88">
        <f>VLOOKUP(V31,'BD1'!$A$2:$AF$1139,31,0)</f>
        <v>8</v>
      </c>
      <c r="X31" s="88">
        <f>VLOOKUP(V31,'BD2'!$A$2:$AF$1139,31,0)</f>
        <v>8</v>
      </c>
      <c r="Y31" s="89" t="str">
        <f t="shared" si="0"/>
        <v>Se mantiene</v>
      </c>
    </row>
    <row r="32" spans="1:25" ht="18.75" x14ac:dyDescent="0.3">
      <c r="A32" s="24" t="s">
        <v>3038</v>
      </c>
      <c r="B32" s="6">
        <f>COUNTIFS('BD1'!H:H,Estadísticas!A32,'BD1'!S:S,"no")</f>
        <v>3</v>
      </c>
      <c r="C32" s="7">
        <f>COUNTIFS('BD2'!H:H,Estadísticas!A32,'BD2'!S:S,"no")</f>
        <v>3</v>
      </c>
      <c r="D32" s="12">
        <f>(COUNTIFS('BD1'!H:H,Estadísticas!A32,'BD1'!K:K,"ok") + COUNTIFS('BD1'!H:H,Estadísticas!A32,'BD1'!K:K,"sin video"))</f>
        <v>20</v>
      </c>
      <c r="E32" s="50">
        <f t="shared" si="3"/>
        <v>15</v>
      </c>
      <c r="F32" s="54">
        <f t="shared" si="6"/>
        <v>85</v>
      </c>
      <c r="G32" s="50">
        <f t="shared" si="4"/>
        <v>15</v>
      </c>
      <c r="H32" s="54">
        <f t="shared" si="5"/>
        <v>85</v>
      </c>
      <c r="V32" s="90">
        <v>136</v>
      </c>
      <c r="W32" s="91">
        <f>VLOOKUP(V32,'BD1'!$A$2:$AF$1139,31,0)</f>
        <v>8</v>
      </c>
      <c r="X32" s="91">
        <f>VLOOKUP(V32,'BD2'!$A$2:$AF$1139,31,0)</f>
        <v>8</v>
      </c>
      <c r="Y32" s="92" t="str">
        <f t="shared" si="0"/>
        <v>Se mantiene</v>
      </c>
    </row>
    <row r="33" spans="1:25" ht="19.5" thickBot="1" x14ac:dyDescent="0.35">
      <c r="A33" s="25" t="s">
        <v>3039</v>
      </c>
      <c r="B33" s="11">
        <f>COUNTIFS('BD1'!H:H,Estadísticas!A33,'BD1'!S:S,"no")</f>
        <v>2</v>
      </c>
      <c r="C33" s="9">
        <f>COUNTIFS('BD2'!H:H,Estadísticas!A33,'BD2'!S:S,"no")</f>
        <v>1</v>
      </c>
      <c r="D33" s="14">
        <f>(COUNTIFS('BD1'!H:H,Estadísticas!A33,'BD1'!K:K,"ok") + COUNTIFS('BD1'!H:H,Estadísticas!A33,'BD1'!K:K,"sin video"))</f>
        <v>25</v>
      </c>
      <c r="E33" s="51">
        <f t="shared" si="3"/>
        <v>8</v>
      </c>
      <c r="F33" s="55">
        <f t="shared" si="6"/>
        <v>92</v>
      </c>
      <c r="G33" s="51">
        <f t="shared" si="4"/>
        <v>4</v>
      </c>
      <c r="H33" s="55">
        <f t="shared" si="5"/>
        <v>96</v>
      </c>
      <c r="V33" s="87">
        <v>141</v>
      </c>
      <c r="W33" s="88">
        <f>VLOOKUP(V33,'BD1'!$A$2:$AF$1139,31,0)</f>
        <v>8</v>
      </c>
      <c r="X33" s="88">
        <f>VLOOKUP(V33,'BD2'!$A$2:$AF$1139,31,0)</f>
        <v>8</v>
      </c>
      <c r="Y33" s="89" t="str">
        <f t="shared" si="0"/>
        <v>Se mantiene</v>
      </c>
    </row>
    <row r="34" spans="1:25" ht="15.75" thickBot="1" x14ac:dyDescent="0.3">
      <c r="V34" s="90">
        <v>142</v>
      </c>
      <c r="W34" s="91">
        <f>VLOOKUP(V34,'BD1'!$A$2:$AF$1139,31,0)</f>
        <v>8</v>
      </c>
      <c r="X34" s="91">
        <f>VLOOKUP(V34,'BD2'!$A$2:$AF$1139,31,0)</f>
        <v>8</v>
      </c>
      <c r="Y34" s="92" t="str">
        <f t="shared" si="0"/>
        <v>Se mantiene</v>
      </c>
    </row>
    <row r="35" spans="1:25" ht="21.75" thickBot="1" x14ac:dyDescent="0.4">
      <c r="A35" s="63" t="s">
        <v>3042</v>
      </c>
      <c r="B35" s="64"/>
      <c r="C35" s="64"/>
      <c r="D35" s="64"/>
      <c r="E35" s="64"/>
      <c r="F35" s="64"/>
      <c r="G35" s="64"/>
      <c r="H35" s="65"/>
      <c r="V35" s="87">
        <v>144</v>
      </c>
      <c r="W35" s="88">
        <f>VLOOKUP(V35,'BD1'!$A$2:$AF$1139,31,0)</f>
        <v>8</v>
      </c>
      <c r="X35" s="88">
        <f>VLOOKUP(V35,'BD2'!$A$2:$AF$1139,31,0)</f>
        <v>8</v>
      </c>
      <c r="Y35" s="89" t="str">
        <f t="shared" si="0"/>
        <v>Se mantiene</v>
      </c>
    </row>
    <row r="36" spans="1:25" ht="15.75" thickBot="1" x14ac:dyDescent="0.3">
      <c r="A36" s="18" t="s">
        <v>3040</v>
      </c>
      <c r="B36" s="19" t="s">
        <v>3050</v>
      </c>
      <c r="C36" s="20" t="s">
        <v>3051</v>
      </c>
      <c r="D36" s="21" t="s">
        <v>3041</v>
      </c>
      <c r="E36" s="19" t="s">
        <v>3052</v>
      </c>
      <c r="F36" s="20" t="s">
        <v>3053</v>
      </c>
      <c r="G36" s="19" t="s">
        <v>3054</v>
      </c>
      <c r="H36" s="20" t="s">
        <v>3055</v>
      </c>
      <c r="V36" s="90">
        <v>147</v>
      </c>
      <c r="W36" s="91">
        <f>VLOOKUP(V36,'BD1'!$A$2:$AF$1139,31,0)</f>
        <v>8</v>
      </c>
      <c r="X36" s="91">
        <f>VLOOKUP(V36,'BD2'!$A$2:$AF$1139,31,0)</f>
        <v>8</v>
      </c>
      <c r="Y36" s="92" t="str">
        <f t="shared" si="0"/>
        <v>Se mantiene</v>
      </c>
    </row>
    <row r="37" spans="1:25" ht="18.75" x14ac:dyDescent="0.3">
      <c r="A37" s="22" t="s">
        <v>3034</v>
      </c>
      <c r="B37" s="15">
        <f>COUNTIFS('BD1'!H:H,Estadísticas!A37,'BD1'!T:T,"no")</f>
        <v>9</v>
      </c>
      <c r="C37" s="16">
        <f>COUNTIFS('BD2'!H:H,Estadísticas!A37,'BD2'!T:T,"no")</f>
        <v>17</v>
      </c>
      <c r="D37" s="17">
        <f>(COUNTIFS('BD1'!H:H,Estadísticas!A37,'BD1'!K:K,"ok") + COUNTIFS('BD1'!H:H,Estadísticas!A37,'BD1'!K:K,"sin video"))</f>
        <v>217</v>
      </c>
      <c r="E37" s="48">
        <f t="shared" ref="E37:E42" si="7">B37*100/D37</f>
        <v>4.1474654377880187</v>
      </c>
      <c r="F37" s="52">
        <f>(D37-B37)*100/D37</f>
        <v>95.852534562211986</v>
      </c>
      <c r="G37" s="48">
        <f t="shared" ref="G37" si="8">C37*100/D37</f>
        <v>7.8341013824884795</v>
      </c>
      <c r="H37" s="56">
        <f>(D37-C37)*100/D37</f>
        <v>92.165898617511516</v>
      </c>
      <c r="V37" s="87">
        <v>148</v>
      </c>
      <c r="W37" s="88">
        <f>VLOOKUP(V37,'BD1'!$A$2:$AF$1139,31,0)</f>
        <v>8</v>
      </c>
      <c r="X37" s="88">
        <f>VLOOKUP(V37,'BD2'!$A$2:$AF$1139,31,0)</f>
        <v>0</v>
      </c>
      <c r="Y37" s="89" t="str">
        <f t="shared" si="0"/>
        <v>Pérdida</v>
      </c>
    </row>
    <row r="38" spans="1:25" ht="18.75" x14ac:dyDescent="0.3">
      <c r="A38" s="23" t="s">
        <v>3035</v>
      </c>
      <c r="B38" s="10">
        <f>COUNTIFS('BD1'!H:H,Estadísticas!A38,'BD1'!T:T,"no")</f>
        <v>3</v>
      </c>
      <c r="C38" s="8">
        <f>COUNTIFS('BD2'!H:H,Estadísticas!A38,'BD2'!T:T,"no")</f>
        <v>0</v>
      </c>
      <c r="D38" s="13">
        <f>(COUNTIFS('BD1'!H:H,Estadísticas!A38,'BD1'!K:K,"ok") + COUNTIFS('BD1'!H:H,Estadísticas!A38,'BD1'!K:K,"sin video"))</f>
        <v>47</v>
      </c>
      <c r="E38" s="49">
        <f t="shared" si="7"/>
        <v>6.3829787234042552</v>
      </c>
      <c r="F38" s="53">
        <f t="shared" ref="F38:F42" si="9">(D38-B38)*100/D38</f>
        <v>93.61702127659575</v>
      </c>
      <c r="G38" s="49">
        <f t="shared" ref="G38:G42" si="10">C38*100/D38</f>
        <v>0</v>
      </c>
      <c r="H38" s="53">
        <f t="shared" ref="H38:H42" si="11">(D38-C38)*100/D38</f>
        <v>100</v>
      </c>
      <c r="V38" s="90">
        <v>163</v>
      </c>
      <c r="W38" s="91">
        <f>VLOOKUP(V38,'BD1'!$A$2:$AF$1139,31,0)</f>
        <v>8</v>
      </c>
      <c r="X38" s="91">
        <f>VLOOKUP(V38,'BD2'!$A$2:$AF$1139,31,0)</f>
        <v>8</v>
      </c>
      <c r="Y38" s="92" t="str">
        <f t="shared" si="0"/>
        <v>Se mantiene</v>
      </c>
    </row>
    <row r="39" spans="1:25" ht="18.75" x14ac:dyDescent="0.3">
      <c r="A39" s="24" t="s">
        <v>3036</v>
      </c>
      <c r="B39" s="6">
        <f>COUNTIFS('BD1'!H:H,Estadísticas!A39,'BD1'!T:T,"no")</f>
        <v>10</v>
      </c>
      <c r="C39" s="7">
        <f>COUNTIFS('BD2'!H:H,Estadísticas!A39,'BD2'!T:T,"no")</f>
        <v>11</v>
      </c>
      <c r="D39" s="12">
        <f>(COUNTIFS('BD1'!H:H,Estadísticas!A39,'BD1'!K:K,"ok") + COUNTIFS('BD1'!H:H,Estadísticas!A39,'BD1'!K:K,"sin video"))</f>
        <v>55</v>
      </c>
      <c r="E39" s="50">
        <f t="shared" si="7"/>
        <v>18.181818181818183</v>
      </c>
      <c r="F39" s="54">
        <f t="shared" si="9"/>
        <v>81.818181818181813</v>
      </c>
      <c r="G39" s="50">
        <f t="shared" si="10"/>
        <v>20</v>
      </c>
      <c r="H39" s="54">
        <f t="shared" si="11"/>
        <v>80</v>
      </c>
      <c r="V39" s="87">
        <v>164</v>
      </c>
      <c r="W39" s="88">
        <f>VLOOKUP(V39,'BD1'!$A$2:$AF$1139,31,0)</f>
        <v>8</v>
      </c>
      <c r="X39" s="88">
        <f>VLOOKUP(V39,'BD2'!$A$2:$AF$1139,31,0)</f>
        <v>8</v>
      </c>
      <c r="Y39" s="89" t="str">
        <f t="shared" si="0"/>
        <v>Se mantiene</v>
      </c>
    </row>
    <row r="40" spans="1:25" ht="18.75" x14ac:dyDescent="0.3">
      <c r="A40" s="23" t="s">
        <v>3037</v>
      </c>
      <c r="B40" s="10">
        <f>COUNTIFS('BD1'!H:H,Estadísticas!A40,'BD1'!T:T,"no")</f>
        <v>1</v>
      </c>
      <c r="C40" s="8">
        <f>COUNTIFS('BD2'!H:H,Estadísticas!A40,'BD2'!T:T,"no")</f>
        <v>1</v>
      </c>
      <c r="D40" s="13">
        <f>(COUNTIFS('BD1'!H:H,Estadísticas!A40,'BD1'!K:K,"ok") + COUNTIFS('BD1'!H:H,Estadísticas!A40,'BD1'!K:K,"sin video"))</f>
        <v>54</v>
      </c>
      <c r="E40" s="49">
        <f t="shared" si="7"/>
        <v>1.8518518518518519</v>
      </c>
      <c r="F40" s="53">
        <f t="shared" si="9"/>
        <v>98.148148148148152</v>
      </c>
      <c r="G40" s="49">
        <f t="shared" si="10"/>
        <v>1.8518518518518519</v>
      </c>
      <c r="H40" s="53">
        <f t="shared" si="11"/>
        <v>98.148148148148152</v>
      </c>
      <c r="V40" s="90">
        <v>200</v>
      </c>
      <c r="W40" s="91">
        <f>VLOOKUP(V40,'BD1'!$A$2:$AF$1139,31,0)</f>
        <v>8</v>
      </c>
      <c r="X40" s="91">
        <f>VLOOKUP(V40,'BD2'!$A$2:$AF$1139,31,0)</f>
        <v>8</v>
      </c>
      <c r="Y40" s="92" t="str">
        <f t="shared" si="0"/>
        <v>Se mantiene</v>
      </c>
    </row>
    <row r="41" spans="1:25" ht="18.75" x14ac:dyDescent="0.3">
      <c r="A41" s="24" t="s">
        <v>3038</v>
      </c>
      <c r="B41" s="6">
        <f>COUNTIFS('BD1'!H:H,Estadísticas!A41,'BD1'!T:T,"no")</f>
        <v>3</v>
      </c>
      <c r="C41" s="7">
        <f>COUNTIFS('BD2'!H:H,Estadísticas!A41,'BD2'!T:T,"no")</f>
        <v>5</v>
      </c>
      <c r="D41" s="12">
        <f>(COUNTIFS('BD1'!H:H,Estadísticas!A41,'BD1'!K:K,"ok") + COUNTIFS('BD1'!H:H,Estadísticas!A41,'BD1'!K:K,"sin video"))</f>
        <v>20</v>
      </c>
      <c r="E41" s="50">
        <f t="shared" si="7"/>
        <v>15</v>
      </c>
      <c r="F41" s="54">
        <f t="shared" si="9"/>
        <v>85</v>
      </c>
      <c r="G41" s="50">
        <f t="shared" si="10"/>
        <v>25</v>
      </c>
      <c r="H41" s="54">
        <f t="shared" si="11"/>
        <v>75</v>
      </c>
      <c r="V41" s="87">
        <v>202</v>
      </c>
      <c r="W41" s="88">
        <f>VLOOKUP(V41,'BD1'!$A$2:$AF$1139,31,0)</f>
        <v>8</v>
      </c>
      <c r="X41" s="88">
        <f>VLOOKUP(V41,'BD2'!$A$2:$AF$1139,31,0)</f>
        <v>7</v>
      </c>
      <c r="Y41" s="89" t="str">
        <f t="shared" si="0"/>
        <v>Pérdida</v>
      </c>
    </row>
    <row r="42" spans="1:25" ht="19.5" thickBot="1" x14ac:dyDescent="0.35">
      <c r="A42" s="25" t="s">
        <v>3039</v>
      </c>
      <c r="B42" s="11">
        <f>COUNTIFS('BD1'!H:H,Estadísticas!A42,'BD1'!T:T,"no")</f>
        <v>2</v>
      </c>
      <c r="C42" s="9">
        <f>COUNTIFS('BD2'!H:H,Estadísticas!A42,'BD2'!T:T,"no")</f>
        <v>3</v>
      </c>
      <c r="D42" s="14">
        <f>(COUNTIFS('BD1'!H:H,Estadísticas!A42,'BD1'!K:K,"ok") + COUNTIFS('BD1'!H:H,Estadísticas!A42,'BD1'!K:K,"sin video"))</f>
        <v>25</v>
      </c>
      <c r="E42" s="51">
        <f t="shared" si="7"/>
        <v>8</v>
      </c>
      <c r="F42" s="55">
        <f t="shared" si="9"/>
        <v>92</v>
      </c>
      <c r="G42" s="51">
        <f t="shared" si="10"/>
        <v>12</v>
      </c>
      <c r="H42" s="55">
        <f t="shared" si="11"/>
        <v>88</v>
      </c>
      <c r="V42" s="90">
        <v>204</v>
      </c>
      <c r="W42" s="91">
        <f>VLOOKUP(V42,'BD1'!$A$2:$AF$1139,31,0)</f>
        <v>8</v>
      </c>
      <c r="X42" s="91">
        <f>VLOOKUP(V42,'BD2'!$A$2:$AF$1139,31,0)</f>
        <v>8</v>
      </c>
      <c r="Y42" s="92" t="str">
        <f t="shared" si="0"/>
        <v>Se mantiene</v>
      </c>
    </row>
    <row r="43" spans="1:25" ht="15.75" thickBot="1" x14ac:dyDescent="0.3">
      <c r="V43" s="87">
        <v>211</v>
      </c>
      <c r="W43" s="88">
        <f>VLOOKUP(V43,'BD1'!$A$2:$AF$1139,31,0)</f>
        <v>8</v>
      </c>
      <c r="X43" s="88">
        <f>VLOOKUP(V43,'BD2'!$A$2:$AF$1139,31,0)</f>
        <v>7</v>
      </c>
      <c r="Y43" s="89" t="str">
        <f t="shared" si="0"/>
        <v>Pérdida</v>
      </c>
    </row>
    <row r="44" spans="1:25" ht="21.75" thickBot="1" x14ac:dyDescent="0.4">
      <c r="A44" s="63" t="s">
        <v>3043</v>
      </c>
      <c r="B44" s="64"/>
      <c r="C44" s="64"/>
      <c r="D44" s="64"/>
      <c r="E44" s="64"/>
      <c r="F44" s="64"/>
      <c r="G44" s="64"/>
      <c r="H44" s="65"/>
      <c r="V44" s="90">
        <v>212</v>
      </c>
      <c r="W44" s="91">
        <f>VLOOKUP(V44,'BD1'!$A$2:$AF$1139,31,0)</f>
        <v>5</v>
      </c>
      <c r="X44" s="91">
        <f>VLOOKUP(V44,'BD2'!$A$2:$AF$1139,31,0)</f>
        <v>7</v>
      </c>
      <c r="Y44" s="92" t="str">
        <f t="shared" si="0"/>
        <v>Mejoría</v>
      </c>
    </row>
    <row r="45" spans="1:25" ht="15.75" thickBot="1" x14ac:dyDescent="0.3">
      <c r="A45" s="18" t="s">
        <v>3040</v>
      </c>
      <c r="B45" s="19" t="s">
        <v>3050</v>
      </c>
      <c r="C45" s="20" t="s">
        <v>3051</v>
      </c>
      <c r="D45" s="21" t="s">
        <v>3041</v>
      </c>
      <c r="E45" s="19" t="s">
        <v>3052</v>
      </c>
      <c r="F45" s="20" t="s">
        <v>3053</v>
      </c>
      <c r="G45" s="19" t="s">
        <v>3054</v>
      </c>
      <c r="H45" s="20" t="s">
        <v>3055</v>
      </c>
      <c r="V45" s="87">
        <v>214</v>
      </c>
      <c r="W45" s="88">
        <f>VLOOKUP(V45,'BD1'!$A$2:$AF$1139,31,0)</f>
        <v>8</v>
      </c>
      <c r="X45" s="88">
        <f>VLOOKUP(V45,'BD2'!$A$2:$AF$1139,31,0)</f>
        <v>0</v>
      </c>
      <c r="Y45" s="89" t="str">
        <f t="shared" si="0"/>
        <v>Pérdida</v>
      </c>
    </row>
    <row r="46" spans="1:25" ht="18.75" x14ac:dyDescent="0.3">
      <c r="A46" s="22" t="s">
        <v>3034</v>
      </c>
      <c r="B46" s="15">
        <f>COUNTIFS('BD1'!H:H,Estadísticas!A46,'BD1'!U:U,"no")</f>
        <v>6</v>
      </c>
      <c r="C46" s="16">
        <f>COUNTIFS('BD2'!H:H,Estadísticas!A46,'BD2'!U:U,"no")</f>
        <v>10</v>
      </c>
      <c r="D46" s="17">
        <f>(COUNTIFS('BD1'!H:H,Estadísticas!A46,'BD1'!K:K,"ok") + COUNTIFS('BD1'!H:H,Estadísticas!A46,'BD1'!K:K,"sin video"))</f>
        <v>217</v>
      </c>
      <c r="E46" s="48">
        <f t="shared" ref="E46:E51" si="12">B46*100/D46</f>
        <v>2.7649769585253456</v>
      </c>
      <c r="F46" s="52">
        <f>(D46-B46)*100/D46</f>
        <v>97.235023041474648</v>
      </c>
      <c r="G46" s="48">
        <f t="shared" ref="G46:G51" si="13">C46*100/D46</f>
        <v>4.6082949308755756</v>
      </c>
      <c r="H46" s="56">
        <f t="shared" ref="H46:H51" si="14">(D46-C46)*100/D46</f>
        <v>95.391705069124427</v>
      </c>
      <c r="V46" s="90">
        <v>215</v>
      </c>
      <c r="W46" s="91">
        <f>VLOOKUP(V46,'BD1'!$A$2:$AF$1139,31,0)</f>
        <v>8</v>
      </c>
      <c r="X46" s="91">
        <f>VLOOKUP(V46,'BD2'!$A$2:$AF$1139,31,0)</f>
        <v>7</v>
      </c>
      <c r="Y46" s="92" t="str">
        <f t="shared" si="0"/>
        <v>Pérdida</v>
      </c>
    </row>
    <row r="47" spans="1:25" ht="18.75" x14ac:dyDescent="0.3">
      <c r="A47" s="23" t="s">
        <v>3035</v>
      </c>
      <c r="B47" s="10">
        <f>COUNTIFS('BD1'!H:H,Estadísticas!A47,'BD1'!U:U,"no")</f>
        <v>4</v>
      </c>
      <c r="C47" s="8">
        <f>COUNTIFS('BD2'!H:H,Estadísticas!A47,'BD2'!U:U,"no")</f>
        <v>0</v>
      </c>
      <c r="D47" s="13">
        <f>(COUNTIFS('BD1'!H:H,Estadísticas!A47,'BD1'!K:K,"ok") + COUNTIFS('BD1'!H:H,Estadísticas!A47,'BD1'!K:K,"sin video"))</f>
        <v>47</v>
      </c>
      <c r="E47" s="49">
        <f t="shared" si="12"/>
        <v>8.5106382978723403</v>
      </c>
      <c r="F47" s="53">
        <f t="shared" ref="F47:F51" si="15">(D47-B47)*100/D47</f>
        <v>91.489361702127653</v>
      </c>
      <c r="G47" s="49">
        <f t="shared" si="13"/>
        <v>0</v>
      </c>
      <c r="H47" s="53">
        <f t="shared" si="14"/>
        <v>100</v>
      </c>
      <c r="V47" s="87">
        <v>216</v>
      </c>
      <c r="W47" s="88">
        <f>VLOOKUP(V47,'BD1'!$A$2:$AF$1139,31,0)</f>
        <v>8</v>
      </c>
      <c r="X47" s="88">
        <f>VLOOKUP(V47,'BD2'!$A$2:$AF$1139,31,0)</f>
        <v>8</v>
      </c>
      <c r="Y47" s="89" t="str">
        <f t="shared" si="0"/>
        <v>Se mantiene</v>
      </c>
    </row>
    <row r="48" spans="1:25" ht="18.75" x14ac:dyDescent="0.3">
      <c r="A48" s="24" t="s">
        <v>3036</v>
      </c>
      <c r="B48" s="6">
        <f>COUNTIFS('BD1'!H:H,Estadísticas!A48,'BD1'!U:U,"no")</f>
        <v>7</v>
      </c>
      <c r="C48" s="7">
        <f>COUNTIFS('BD2'!H:H,Estadísticas!A48,'BD2'!U:U,"no")</f>
        <v>7</v>
      </c>
      <c r="D48" s="12">
        <f>(COUNTIFS('BD1'!H:H,Estadísticas!A48,'BD1'!K:K,"ok") + COUNTIFS('BD1'!H:H,Estadísticas!A48,'BD1'!K:K,"sin video"))</f>
        <v>55</v>
      </c>
      <c r="E48" s="50">
        <f t="shared" si="12"/>
        <v>12.727272727272727</v>
      </c>
      <c r="F48" s="54">
        <f t="shared" si="15"/>
        <v>87.272727272727266</v>
      </c>
      <c r="G48" s="50">
        <f t="shared" si="13"/>
        <v>12.727272727272727</v>
      </c>
      <c r="H48" s="54">
        <f t="shared" si="14"/>
        <v>87.272727272727266</v>
      </c>
      <c r="V48" s="90">
        <v>217</v>
      </c>
      <c r="W48" s="91">
        <f>VLOOKUP(V48,'BD1'!$A$2:$AF$1139,31,0)</f>
        <v>8</v>
      </c>
      <c r="X48" s="91">
        <f>VLOOKUP(V48,'BD2'!$A$2:$AF$1139,31,0)</f>
        <v>0</v>
      </c>
      <c r="Y48" s="92" t="str">
        <f t="shared" si="0"/>
        <v>Pérdida</v>
      </c>
    </row>
    <row r="49" spans="1:25" ht="18.75" x14ac:dyDescent="0.3">
      <c r="A49" s="23" t="s">
        <v>3037</v>
      </c>
      <c r="B49" s="10">
        <f>COUNTIFS('BD1'!H:H,Estadísticas!A49,'BD1'!U:U,"no")</f>
        <v>1</v>
      </c>
      <c r="C49" s="8">
        <f>COUNTIFS('BD2'!H:H,Estadísticas!A49,'BD2'!U:U,"no")</f>
        <v>0</v>
      </c>
      <c r="D49" s="13">
        <f>(COUNTIFS('BD1'!H:H,Estadísticas!A49,'BD1'!K:K,"ok") + COUNTIFS('BD1'!H:H,Estadísticas!A49,'BD1'!K:K,"sin video"))</f>
        <v>54</v>
      </c>
      <c r="E49" s="49">
        <f t="shared" si="12"/>
        <v>1.8518518518518519</v>
      </c>
      <c r="F49" s="53">
        <f t="shared" si="15"/>
        <v>98.148148148148152</v>
      </c>
      <c r="G49" s="49">
        <f t="shared" si="13"/>
        <v>0</v>
      </c>
      <c r="H49" s="53">
        <f t="shared" si="14"/>
        <v>100</v>
      </c>
      <c r="V49" s="87">
        <v>222</v>
      </c>
      <c r="W49" s="88">
        <f>VLOOKUP(V49,'BD1'!$A$2:$AF$1139,31,0)</f>
        <v>8</v>
      </c>
      <c r="X49" s="88">
        <f>VLOOKUP(V49,'BD2'!$A$2:$AF$1139,31,0)</f>
        <v>8</v>
      </c>
      <c r="Y49" s="89" t="str">
        <f t="shared" si="0"/>
        <v>Se mantiene</v>
      </c>
    </row>
    <row r="50" spans="1:25" ht="18.75" x14ac:dyDescent="0.3">
      <c r="A50" s="24" t="s">
        <v>3038</v>
      </c>
      <c r="B50" s="6">
        <f>COUNTIFS('BD1'!H:H,Estadísticas!A50,'BD1'!U:U,"no")</f>
        <v>3</v>
      </c>
      <c r="C50" s="7">
        <f>COUNTIFS('BD2'!H:H,Estadísticas!A50,'BD2'!U:U,"no")</f>
        <v>4</v>
      </c>
      <c r="D50" s="12">
        <f>(COUNTIFS('BD1'!H:H,Estadísticas!A50,'BD1'!K:K,"ok") + COUNTIFS('BD1'!H:H,Estadísticas!A50,'BD1'!K:K,"sin video"))</f>
        <v>20</v>
      </c>
      <c r="E50" s="50">
        <f t="shared" si="12"/>
        <v>15</v>
      </c>
      <c r="F50" s="54">
        <f t="shared" si="15"/>
        <v>85</v>
      </c>
      <c r="G50" s="50">
        <f t="shared" si="13"/>
        <v>20</v>
      </c>
      <c r="H50" s="54">
        <f t="shared" si="14"/>
        <v>80</v>
      </c>
      <c r="V50" s="90">
        <v>224</v>
      </c>
      <c r="W50" s="91">
        <f>VLOOKUP(V50,'BD1'!$A$2:$AF$1139,31,0)</f>
        <v>8</v>
      </c>
      <c r="X50" s="91">
        <f>VLOOKUP(V50,'BD2'!$A$2:$AF$1139,31,0)</f>
        <v>8</v>
      </c>
      <c r="Y50" s="92" t="str">
        <f t="shared" si="0"/>
        <v>Se mantiene</v>
      </c>
    </row>
    <row r="51" spans="1:25" ht="19.5" thickBot="1" x14ac:dyDescent="0.35">
      <c r="A51" s="25" t="s">
        <v>3039</v>
      </c>
      <c r="B51" s="11">
        <f>COUNTIFS('BD1'!H:H,Estadísticas!A51,'BD1'!U:U,"no")</f>
        <v>2</v>
      </c>
      <c r="C51" s="9">
        <f>COUNTIFS('BD2'!H:H,Estadísticas!A51,'BD2'!U:U,"no")</f>
        <v>2</v>
      </c>
      <c r="D51" s="14">
        <f>(COUNTIFS('BD1'!H:H,Estadísticas!A51,'BD1'!K:K,"ok") + COUNTIFS('BD1'!H:H,Estadísticas!A51,'BD1'!K:K,"sin video"))</f>
        <v>25</v>
      </c>
      <c r="E51" s="51">
        <f t="shared" si="12"/>
        <v>8</v>
      </c>
      <c r="F51" s="55">
        <f t="shared" si="15"/>
        <v>92</v>
      </c>
      <c r="G51" s="51">
        <f t="shared" si="13"/>
        <v>8</v>
      </c>
      <c r="H51" s="55">
        <f t="shared" si="14"/>
        <v>92</v>
      </c>
      <c r="V51" s="87">
        <v>231</v>
      </c>
      <c r="W51" s="88">
        <f>VLOOKUP(V51,'BD1'!$A$2:$AF$1139,31,0)</f>
        <v>7</v>
      </c>
      <c r="X51" s="88">
        <f>VLOOKUP(V51,'BD2'!$A$2:$AF$1139,31,0)</f>
        <v>7</v>
      </c>
      <c r="Y51" s="89" t="str">
        <f t="shared" si="0"/>
        <v>Se mantiene</v>
      </c>
    </row>
    <row r="52" spans="1:25" ht="15.75" thickBot="1" x14ac:dyDescent="0.3">
      <c r="V52" s="90">
        <v>233</v>
      </c>
      <c r="W52" s="91">
        <f>VLOOKUP(V52,'BD1'!$A$2:$AF$1139,31,0)</f>
        <v>8</v>
      </c>
      <c r="X52" s="91">
        <f>VLOOKUP(V52,'BD2'!$A$2:$AF$1139,31,0)</f>
        <v>8</v>
      </c>
      <c r="Y52" s="92" t="str">
        <f t="shared" si="0"/>
        <v>Se mantiene</v>
      </c>
    </row>
    <row r="53" spans="1:25" ht="21.75" thickBot="1" x14ac:dyDescent="0.4">
      <c r="A53" s="63" t="s">
        <v>3044</v>
      </c>
      <c r="B53" s="64"/>
      <c r="C53" s="64"/>
      <c r="D53" s="64"/>
      <c r="E53" s="64"/>
      <c r="F53" s="64"/>
      <c r="G53" s="64"/>
      <c r="H53" s="65"/>
      <c r="V53" s="87">
        <v>234</v>
      </c>
      <c r="W53" s="88">
        <f>VLOOKUP(V53,'BD1'!$A$2:$AF$1139,31,0)</f>
        <v>8</v>
      </c>
      <c r="X53" s="88">
        <f>VLOOKUP(V53,'BD2'!$A$2:$AF$1139,31,0)</f>
        <v>8</v>
      </c>
      <c r="Y53" s="89" t="str">
        <f t="shared" si="0"/>
        <v>Se mantiene</v>
      </c>
    </row>
    <row r="54" spans="1:25" ht="15.75" thickBot="1" x14ac:dyDescent="0.3">
      <c r="A54" s="18" t="s">
        <v>3040</v>
      </c>
      <c r="B54" s="19" t="s">
        <v>3050</v>
      </c>
      <c r="C54" s="20" t="s">
        <v>3051</v>
      </c>
      <c r="D54" s="21" t="s">
        <v>3041</v>
      </c>
      <c r="E54" s="19" t="s">
        <v>3052</v>
      </c>
      <c r="F54" s="20" t="s">
        <v>3053</v>
      </c>
      <c r="G54" s="19" t="s">
        <v>3054</v>
      </c>
      <c r="H54" s="20" t="s">
        <v>3055</v>
      </c>
      <c r="V54" s="90">
        <v>241</v>
      </c>
      <c r="W54" s="91">
        <f>VLOOKUP(V54,'BD1'!$A$2:$AF$1139,31,0)</f>
        <v>8</v>
      </c>
      <c r="X54" s="91">
        <f>VLOOKUP(V54,'BD2'!$A$2:$AF$1139,31,0)</f>
        <v>8</v>
      </c>
      <c r="Y54" s="92" t="str">
        <f t="shared" si="0"/>
        <v>Se mantiene</v>
      </c>
    </row>
    <row r="55" spans="1:25" ht="18.75" x14ac:dyDescent="0.3">
      <c r="A55" s="22" t="s">
        <v>3034</v>
      </c>
      <c r="B55" s="15">
        <f>COUNTIFS('BD1'!H:H,Estadísticas!A55,'BD1'!V:V,"no")</f>
        <v>16</v>
      </c>
      <c r="C55" s="16">
        <f>COUNTIFS('BD2'!H:H,Estadísticas!A55,'BD2'!V:V,"no")</f>
        <v>29</v>
      </c>
      <c r="D55" s="17">
        <f>(COUNTIFS('BD1'!H:H,Estadísticas!A55,'BD1'!K:K,"ok") + COUNTIFS('BD1'!H:H,Estadísticas!A55,'BD1'!K:K,"sin video"))</f>
        <v>217</v>
      </c>
      <c r="E55" s="48">
        <f t="shared" ref="E55:E60" si="16">B55*100/D55</f>
        <v>7.3732718894009217</v>
      </c>
      <c r="F55" s="52">
        <f>(D55-B55)*100/D55</f>
        <v>92.626728110599075</v>
      </c>
      <c r="G55" s="48">
        <f t="shared" ref="G55:G60" si="17">C55*100/D55</f>
        <v>13.364055299539171</v>
      </c>
      <c r="H55" s="56">
        <f t="shared" ref="H55:H60" si="18">(D55-C55)*100/D55</f>
        <v>86.635944700460826</v>
      </c>
      <c r="V55" s="87">
        <v>242</v>
      </c>
      <c r="W55" s="88">
        <f>VLOOKUP(V55,'BD1'!$A$2:$AF$1139,31,0)</f>
        <v>8</v>
      </c>
      <c r="X55" s="88">
        <f>VLOOKUP(V55,'BD2'!$A$2:$AF$1139,31,0)</f>
        <v>8</v>
      </c>
      <c r="Y55" s="89" t="str">
        <f t="shared" si="0"/>
        <v>Se mantiene</v>
      </c>
    </row>
    <row r="56" spans="1:25" ht="18.75" x14ac:dyDescent="0.3">
      <c r="A56" s="23" t="s">
        <v>3035</v>
      </c>
      <c r="B56" s="10">
        <f>COUNTIFS('BD1'!H:H,Estadísticas!A56,'BD1'!V:V,"no")</f>
        <v>4</v>
      </c>
      <c r="C56" s="8">
        <f>COUNTIFS('BD2'!H:H,Estadísticas!A56,'BD2'!V:V,"no")</f>
        <v>0</v>
      </c>
      <c r="D56" s="13">
        <f>(COUNTIFS('BD1'!H:H,Estadísticas!A56,'BD1'!K:K,"ok") + COUNTIFS('BD1'!H:H,Estadísticas!A56,'BD1'!K:K,"sin video"))</f>
        <v>47</v>
      </c>
      <c r="E56" s="49">
        <f t="shared" si="16"/>
        <v>8.5106382978723403</v>
      </c>
      <c r="F56" s="53">
        <f t="shared" ref="F56:F60" si="19">(D56-B56)*100/D56</f>
        <v>91.489361702127653</v>
      </c>
      <c r="G56" s="49">
        <f t="shared" si="17"/>
        <v>0</v>
      </c>
      <c r="H56" s="53">
        <f t="shared" si="18"/>
        <v>100</v>
      </c>
      <c r="V56" s="90">
        <v>248</v>
      </c>
      <c r="W56" s="91">
        <f>VLOOKUP(V56,'BD1'!$A$2:$AF$1139,31,0)</f>
        <v>7</v>
      </c>
      <c r="X56" s="91">
        <f>VLOOKUP(V56,'BD2'!$A$2:$AF$1139,31,0)</f>
        <v>5</v>
      </c>
      <c r="Y56" s="92" t="str">
        <f t="shared" si="0"/>
        <v>Pérdida</v>
      </c>
    </row>
    <row r="57" spans="1:25" ht="18.75" x14ac:dyDescent="0.3">
      <c r="A57" s="24" t="s">
        <v>3036</v>
      </c>
      <c r="B57" s="6">
        <f>COUNTIFS('BD1'!H:H,Estadísticas!A57,'BD1'!V:V,"no")</f>
        <v>13</v>
      </c>
      <c r="C57" s="7">
        <f>COUNTIFS('BD2'!H:H,Estadísticas!A57,'BD2'!V:V,"no")</f>
        <v>13</v>
      </c>
      <c r="D57" s="12">
        <f>(COUNTIFS('BD1'!H:H,Estadísticas!A57,'BD1'!K:K,"ok") + COUNTIFS('BD1'!H:H,Estadísticas!A57,'BD1'!K:K,"sin video"))</f>
        <v>55</v>
      </c>
      <c r="E57" s="50">
        <f t="shared" si="16"/>
        <v>23.636363636363637</v>
      </c>
      <c r="F57" s="54">
        <f t="shared" si="19"/>
        <v>76.36363636363636</v>
      </c>
      <c r="G57" s="50">
        <f t="shared" si="17"/>
        <v>23.636363636363637</v>
      </c>
      <c r="H57" s="54">
        <f t="shared" si="18"/>
        <v>76.36363636363636</v>
      </c>
      <c r="V57" s="87">
        <v>254</v>
      </c>
      <c r="W57" s="88">
        <f>VLOOKUP(V57,'BD1'!$A$2:$AF$1139,31,0)</f>
        <v>7</v>
      </c>
      <c r="X57" s="88">
        <f>VLOOKUP(V57,'BD2'!$A$2:$AF$1139,31,0)</f>
        <v>8</v>
      </c>
      <c r="Y57" s="89" t="str">
        <f t="shared" si="0"/>
        <v>Mejoría</v>
      </c>
    </row>
    <row r="58" spans="1:25" ht="18.75" x14ac:dyDescent="0.3">
      <c r="A58" s="23" t="s">
        <v>3037</v>
      </c>
      <c r="B58" s="10">
        <f>COUNTIFS('BD1'!H:H,Estadísticas!A58,'BD1'!V:V,"no")</f>
        <v>3</v>
      </c>
      <c r="C58" s="8">
        <f>COUNTIFS('BD2'!H:H,Estadísticas!A58,'BD2'!V:V,"no")</f>
        <v>1</v>
      </c>
      <c r="D58" s="13">
        <f>(COUNTIFS('BD1'!H:H,Estadísticas!A58,'BD1'!K:K,"ok") + COUNTIFS('BD1'!H:H,Estadísticas!A58,'BD1'!K:K,"sin video"))</f>
        <v>54</v>
      </c>
      <c r="E58" s="49">
        <f t="shared" si="16"/>
        <v>5.5555555555555554</v>
      </c>
      <c r="F58" s="53">
        <f t="shared" si="19"/>
        <v>94.444444444444443</v>
      </c>
      <c r="G58" s="49">
        <f t="shared" si="17"/>
        <v>1.8518518518518519</v>
      </c>
      <c r="H58" s="53">
        <f t="shared" si="18"/>
        <v>98.148148148148152</v>
      </c>
      <c r="V58" s="90">
        <v>256</v>
      </c>
      <c r="W58" s="91">
        <f>VLOOKUP(V58,'BD1'!$A$2:$AF$1139,31,0)</f>
        <v>8</v>
      </c>
      <c r="X58" s="91">
        <f>VLOOKUP(V58,'BD2'!$A$2:$AF$1139,31,0)</f>
        <v>8</v>
      </c>
      <c r="Y58" s="92" t="str">
        <f t="shared" si="0"/>
        <v>Se mantiene</v>
      </c>
    </row>
    <row r="59" spans="1:25" ht="18.75" x14ac:dyDescent="0.3">
      <c r="A59" s="24" t="s">
        <v>3038</v>
      </c>
      <c r="B59" s="6">
        <f>COUNTIFS('BD1'!H:H,Estadísticas!A59,'BD1'!V:V,"no")</f>
        <v>5</v>
      </c>
      <c r="C59" s="7">
        <f>COUNTIFS('BD2'!H:H,Estadísticas!A59,'BD2'!V:V,"no")</f>
        <v>6</v>
      </c>
      <c r="D59" s="12">
        <f>(COUNTIFS('BD1'!H:H,Estadísticas!A59,'BD1'!K:K,"ok") + COUNTIFS('BD1'!H:H,Estadísticas!A59,'BD1'!K:K,"sin video"))</f>
        <v>20</v>
      </c>
      <c r="E59" s="50">
        <f t="shared" si="16"/>
        <v>25</v>
      </c>
      <c r="F59" s="54">
        <f t="shared" si="19"/>
        <v>75</v>
      </c>
      <c r="G59" s="50">
        <f t="shared" si="17"/>
        <v>30</v>
      </c>
      <c r="H59" s="54">
        <f t="shared" si="18"/>
        <v>70</v>
      </c>
      <c r="V59" s="87">
        <v>257</v>
      </c>
      <c r="W59" s="88">
        <f>VLOOKUP(V59,'BD1'!$A$2:$AF$1139,31,0)</f>
        <v>8</v>
      </c>
      <c r="X59" s="88">
        <f>VLOOKUP(V59,'BD2'!$A$2:$AF$1139,31,0)</f>
        <v>8</v>
      </c>
      <c r="Y59" s="89" t="str">
        <f t="shared" si="0"/>
        <v>Se mantiene</v>
      </c>
    </row>
    <row r="60" spans="1:25" ht="19.5" thickBot="1" x14ac:dyDescent="0.35">
      <c r="A60" s="25" t="s">
        <v>3039</v>
      </c>
      <c r="B60" s="11">
        <f>COUNTIFS('BD1'!H:H,Estadísticas!A60,'BD1'!V:V,"no")</f>
        <v>2</v>
      </c>
      <c r="C60" s="9">
        <f>COUNTIFS('BD2'!H:H,Estadísticas!A60,'BD2'!V:V,"no")</f>
        <v>2</v>
      </c>
      <c r="D60" s="14">
        <f>(COUNTIFS('BD1'!H:H,Estadísticas!A60,'BD1'!K:K,"ok") + COUNTIFS('BD1'!H:H,Estadísticas!A60,'BD1'!K:K,"sin video"))</f>
        <v>25</v>
      </c>
      <c r="E60" s="51">
        <f t="shared" si="16"/>
        <v>8</v>
      </c>
      <c r="F60" s="55">
        <f t="shared" si="19"/>
        <v>92</v>
      </c>
      <c r="G60" s="51">
        <f t="shared" si="17"/>
        <v>8</v>
      </c>
      <c r="H60" s="55">
        <f t="shared" si="18"/>
        <v>92</v>
      </c>
      <c r="V60" s="90">
        <v>259</v>
      </c>
      <c r="W60" s="91">
        <f>VLOOKUP(V60,'BD1'!$A$2:$AF$1139,31,0)</f>
        <v>8</v>
      </c>
      <c r="X60" s="91">
        <f>VLOOKUP(V60,'BD2'!$A$2:$AF$1139,31,0)</f>
        <v>8</v>
      </c>
      <c r="Y60" s="92" t="str">
        <f t="shared" si="0"/>
        <v>Se mantiene</v>
      </c>
    </row>
    <row r="61" spans="1:25" ht="15.75" thickBot="1" x14ac:dyDescent="0.3">
      <c r="V61" s="87">
        <v>266</v>
      </c>
      <c r="W61" s="88">
        <f>VLOOKUP(V61,'BD1'!$A$2:$AF$1139,31,0)</f>
        <v>8</v>
      </c>
      <c r="X61" s="88">
        <f>VLOOKUP(V61,'BD2'!$A$2:$AF$1139,31,0)</f>
        <v>8</v>
      </c>
      <c r="Y61" s="89" t="str">
        <f t="shared" si="0"/>
        <v>Se mantiene</v>
      </c>
    </row>
    <row r="62" spans="1:25" ht="21.75" thickBot="1" x14ac:dyDescent="0.4">
      <c r="A62" s="63" t="s">
        <v>3045</v>
      </c>
      <c r="B62" s="64"/>
      <c r="C62" s="64"/>
      <c r="D62" s="64"/>
      <c r="E62" s="64"/>
      <c r="F62" s="64"/>
      <c r="G62" s="64"/>
      <c r="H62" s="65"/>
      <c r="V62" s="90">
        <v>269</v>
      </c>
      <c r="W62" s="91">
        <f>VLOOKUP(V62,'BD1'!$A$2:$AF$1139,31,0)</f>
        <v>8</v>
      </c>
      <c r="X62" s="91">
        <f>VLOOKUP(V62,'BD2'!$A$2:$AF$1139,31,0)</f>
        <v>3</v>
      </c>
      <c r="Y62" s="92" t="str">
        <f t="shared" si="0"/>
        <v>Pérdida</v>
      </c>
    </row>
    <row r="63" spans="1:25" ht="15.75" thickBot="1" x14ac:dyDescent="0.3">
      <c r="A63" s="18" t="s">
        <v>3040</v>
      </c>
      <c r="B63" s="19" t="s">
        <v>3050</v>
      </c>
      <c r="C63" s="20" t="s">
        <v>3051</v>
      </c>
      <c r="D63" s="21" t="s">
        <v>3041</v>
      </c>
      <c r="E63" s="19" t="s">
        <v>3052</v>
      </c>
      <c r="F63" s="20" t="s">
        <v>3053</v>
      </c>
      <c r="G63" s="19" t="s">
        <v>3054</v>
      </c>
      <c r="H63" s="20" t="s">
        <v>3055</v>
      </c>
      <c r="V63" s="87">
        <v>274</v>
      </c>
      <c r="W63" s="88">
        <f>VLOOKUP(V63,'BD1'!$A$2:$AF$1139,31,0)</f>
        <v>7</v>
      </c>
      <c r="X63" s="88">
        <f>VLOOKUP(V63,'BD2'!$A$2:$AF$1139,31,0)</f>
        <v>8</v>
      </c>
      <c r="Y63" s="89" t="str">
        <f t="shared" si="0"/>
        <v>Mejoría</v>
      </c>
    </row>
    <row r="64" spans="1:25" ht="18.75" x14ac:dyDescent="0.3">
      <c r="A64" s="22" t="s">
        <v>3034</v>
      </c>
      <c r="B64" s="15">
        <f>COUNTIFS('BD1'!H:H,Estadísticas!A64,'BD1'!W:W,"no")</f>
        <v>6</v>
      </c>
      <c r="C64" s="16">
        <f>COUNTIFS('BD2'!H:H,Estadísticas!A64,'BD2'!W:W,"no")</f>
        <v>11</v>
      </c>
      <c r="D64" s="17">
        <f>(COUNTIFS('BD1'!H:H,Estadísticas!A64,'BD1'!K:K,"ok") + COUNTIFS('BD1'!H:H,Estadísticas!A64,'BD1'!K:K,"sin video"))</f>
        <v>217</v>
      </c>
      <c r="E64" s="48">
        <f t="shared" ref="E64:E69" si="20">B64*100/D64</f>
        <v>2.7649769585253456</v>
      </c>
      <c r="F64" s="52">
        <f>(D64-B64)*100/D64</f>
        <v>97.235023041474648</v>
      </c>
      <c r="G64" s="48">
        <f t="shared" ref="G64:G69" si="21">C64*100/D64</f>
        <v>5.0691244239631335</v>
      </c>
      <c r="H64" s="56">
        <f t="shared" ref="H64:H69" si="22">(D64-C64)*100/D64</f>
        <v>94.930875576036868</v>
      </c>
      <c r="V64" s="90">
        <v>275</v>
      </c>
      <c r="W64" s="91">
        <f>VLOOKUP(V64,'BD1'!$A$2:$AF$1139,31,0)</f>
        <v>8</v>
      </c>
      <c r="X64" s="91">
        <f>VLOOKUP(V64,'BD2'!$A$2:$AF$1139,31,0)</f>
        <v>8</v>
      </c>
      <c r="Y64" s="92" t="str">
        <f t="shared" si="0"/>
        <v>Se mantiene</v>
      </c>
    </row>
    <row r="65" spans="1:25" ht="18.75" x14ac:dyDescent="0.3">
      <c r="A65" s="23" t="s">
        <v>3035</v>
      </c>
      <c r="B65" s="10">
        <f>COUNTIFS('BD1'!H:H,Estadísticas!A65,'BD1'!W:W,"no")</f>
        <v>3</v>
      </c>
      <c r="C65" s="8">
        <f>COUNTIFS('BD2'!H:H,Estadísticas!A65,'BD2'!W:W,"no")</f>
        <v>0</v>
      </c>
      <c r="D65" s="13">
        <f>(COUNTIFS('BD1'!H:H,Estadísticas!A65,'BD1'!K:K,"ok") + COUNTIFS('BD1'!H:H,Estadísticas!A65,'BD1'!K:K,"sin video"))</f>
        <v>47</v>
      </c>
      <c r="E65" s="49">
        <f t="shared" si="20"/>
        <v>6.3829787234042552</v>
      </c>
      <c r="F65" s="53">
        <f t="shared" ref="F65:F69" si="23">(D65-B65)*100/D65</f>
        <v>93.61702127659575</v>
      </c>
      <c r="G65" s="49">
        <f t="shared" si="21"/>
        <v>0</v>
      </c>
      <c r="H65" s="53">
        <f t="shared" si="22"/>
        <v>100</v>
      </c>
      <c r="V65" s="87">
        <v>287</v>
      </c>
      <c r="W65" s="88">
        <f>VLOOKUP(V65,'BD1'!$A$2:$AF$1139,31,0)</f>
        <v>8</v>
      </c>
      <c r="X65" s="88">
        <f>VLOOKUP(V65,'BD2'!$A$2:$AF$1139,31,0)</f>
        <v>8</v>
      </c>
      <c r="Y65" s="89" t="str">
        <f t="shared" si="0"/>
        <v>Se mantiene</v>
      </c>
    </row>
    <row r="66" spans="1:25" ht="18.75" x14ac:dyDescent="0.3">
      <c r="A66" s="24" t="s">
        <v>3036</v>
      </c>
      <c r="B66" s="6">
        <f>COUNTIFS('BD1'!H:H,Estadísticas!A66,'BD1'!W:W,"no")</f>
        <v>7</v>
      </c>
      <c r="C66" s="7">
        <f>COUNTIFS('BD2'!H:H,Estadísticas!A66,'BD2'!W:W,"no")</f>
        <v>8</v>
      </c>
      <c r="D66" s="12">
        <f>(COUNTIFS('BD1'!H:H,Estadísticas!A66,'BD1'!K:K,"ok") + COUNTIFS('BD1'!H:H,Estadísticas!A66,'BD1'!K:K,"sin video"))</f>
        <v>55</v>
      </c>
      <c r="E66" s="50">
        <f t="shared" si="20"/>
        <v>12.727272727272727</v>
      </c>
      <c r="F66" s="54">
        <f t="shared" si="23"/>
        <v>87.272727272727266</v>
      </c>
      <c r="G66" s="50">
        <f t="shared" si="21"/>
        <v>14.545454545454545</v>
      </c>
      <c r="H66" s="54">
        <f t="shared" si="22"/>
        <v>85.454545454545453</v>
      </c>
      <c r="V66" s="90">
        <v>295</v>
      </c>
      <c r="W66" s="91">
        <f>VLOOKUP(V66,'BD1'!$A$2:$AF$1139,31,0)</f>
        <v>8</v>
      </c>
      <c r="X66" s="91">
        <f>VLOOKUP(V66,'BD2'!$A$2:$AF$1139,31,0)</f>
        <v>2</v>
      </c>
      <c r="Y66" s="92" t="str">
        <f t="shared" si="0"/>
        <v>Pérdida</v>
      </c>
    </row>
    <row r="67" spans="1:25" ht="18.75" x14ac:dyDescent="0.3">
      <c r="A67" s="23" t="s">
        <v>3037</v>
      </c>
      <c r="B67" s="10">
        <f>COUNTIFS('BD1'!H:H,Estadísticas!A67,'BD1'!W:W,"no")</f>
        <v>1</v>
      </c>
      <c r="C67" s="8">
        <f>COUNTIFS('BD2'!H:H,Estadísticas!A67,'BD2'!W:W,"no")</f>
        <v>0</v>
      </c>
      <c r="D67" s="13">
        <f>(COUNTIFS('BD1'!H:H,Estadísticas!A67,'BD1'!K:K,"ok") + COUNTIFS('BD1'!H:H,Estadísticas!A67,'BD1'!K:K,"sin video"))</f>
        <v>54</v>
      </c>
      <c r="E67" s="49">
        <f t="shared" si="20"/>
        <v>1.8518518518518519</v>
      </c>
      <c r="F67" s="53">
        <f t="shared" si="23"/>
        <v>98.148148148148152</v>
      </c>
      <c r="G67" s="49">
        <f t="shared" si="21"/>
        <v>0</v>
      </c>
      <c r="H67" s="53">
        <f t="shared" si="22"/>
        <v>100</v>
      </c>
      <c r="V67" s="87">
        <v>298</v>
      </c>
      <c r="W67" s="88">
        <f>VLOOKUP(V67,'BD1'!$A$2:$AF$1139,31,0)</f>
        <v>8</v>
      </c>
      <c r="X67" s="88">
        <f>VLOOKUP(V67,'BD2'!$A$2:$AF$1139,31,0)</f>
        <v>3</v>
      </c>
      <c r="Y67" s="89" t="str">
        <f t="shared" si="0"/>
        <v>Pérdida</v>
      </c>
    </row>
    <row r="68" spans="1:25" ht="18.75" x14ac:dyDescent="0.3">
      <c r="A68" s="24" t="s">
        <v>3038</v>
      </c>
      <c r="B68" s="6">
        <f>COUNTIFS('BD1'!H:H,Estadísticas!A68,'BD1'!W:W,"no")</f>
        <v>3</v>
      </c>
      <c r="C68" s="7">
        <f>COUNTIFS('BD2'!H:H,Estadísticas!A68,'BD2'!W:W,"no")</f>
        <v>5</v>
      </c>
      <c r="D68" s="12">
        <f>(COUNTIFS('BD1'!H:H,Estadísticas!A68,'BD1'!K:K,"ok") + COUNTIFS('BD1'!H:H,Estadísticas!A68,'BD1'!K:K,"sin video"))</f>
        <v>20</v>
      </c>
      <c r="E68" s="50">
        <f t="shared" si="20"/>
        <v>15</v>
      </c>
      <c r="F68" s="54">
        <f t="shared" si="23"/>
        <v>85</v>
      </c>
      <c r="G68" s="50">
        <f t="shared" si="21"/>
        <v>25</v>
      </c>
      <c r="H68" s="54">
        <f t="shared" si="22"/>
        <v>75</v>
      </c>
      <c r="V68" s="90">
        <v>305</v>
      </c>
      <c r="W68" s="91">
        <f>VLOOKUP(V68,'BD1'!$A$2:$AF$1139,31,0)</f>
        <v>6</v>
      </c>
      <c r="X68" s="91">
        <f>VLOOKUP(V68,'BD2'!$A$2:$AF$1139,31,0)</f>
        <v>8</v>
      </c>
      <c r="Y68" s="92" t="str">
        <f t="shared" ref="Y68:Y131" si="24">IF(X68&gt;W68,"Mejoría",IF(X68&lt;W68,"Pérdida","Se mantiene"))</f>
        <v>Mejoría</v>
      </c>
    </row>
    <row r="69" spans="1:25" ht="19.5" thickBot="1" x14ac:dyDescent="0.35">
      <c r="A69" s="25" t="s">
        <v>3039</v>
      </c>
      <c r="B69" s="11">
        <f>COUNTIFS('BD1'!H:H,Estadísticas!A69,'BD1'!W:W,"no")</f>
        <v>2</v>
      </c>
      <c r="C69" s="9">
        <f>COUNTIFS('BD2'!H:H,Estadísticas!A69,'BD2'!W:W,"no")</f>
        <v>2</v>
      </c>
      <c r="D69" s="14">
        <f>(COUNTIFS('BD1'!H:H,Estadísticas!A69,'BD1'!K:K,"ok") + COUNTIFS('BD1'!H:H,Estadísticas!A69,'BD1'!K:K,"sin video"))</f>
        <v>25</v>
      </c>
      <c r="E69" s="51">
        <f t="shared" si="20"/>
        <v>8</v>
      </c>
      <c r="F69" s="55">
        <f t="shared" si="23"/>
        <v>92</v>
      </c>
      <c r="G69" s="51">
        <f t="shared" si="21"/>
        <v>8</v>
      </c>
      <c r="H69" s="55">
        <f t="shared" si="22"/>
        <v>92</v>
      </c>
      <c r="V69" s="87">
        <v>307</v>
      </c>
      <c r="W69" s="88">
        <f>VLOOKUP(V69,'BD1'!$A$2:$AF$1139,31,0)</f>
        <v>8</v>
      </c>
      <c r="X69" s="88">
        <f>VLOOKUP(V69,'BD2'!$A$2:$AF$1139,31,0)</f>
        <v>7</v>
      </c>
      <c r="Y69" s="89" t="str">
        <f t="shared" si="24"/>
        <v>Pérdida</v>
      </c>
    </row>
    <row r="70" spans="1:25" ht="15.75" thickBot="1" x14ac:dyDescent="0.3">
      <c r="V70" s="90">
        <v>312</v>
      </c>
      <c r="W70" s="91">
        <f>VLOOKUP(V70,'BD1'!$A$2:$AF$1139,31,0)</f>
        <v>7</v>
      </c>
      <c r="X70" s="91">
        <f>VLOOKUP(V70,'BD2'!$A$2:$AF$1139,31,0)</f>
        <v>7</v>
      </c>
      <c r="Y70" s="92" t="str">
        <f t="shared" si="24"/>
        <v>Se mantiene</v>
      </c>
    </row>
    <row r="71" spans="1:25" ht="21.75" thickBot="1" x14ac:dyDescent="0.4">
      <c r="A71" s="63" t="s">
        <v>3046</v>
      </c>
      <c r="B71" s="64"/>
      <c r="C71" s="64"/>
      <c r="D71" s="64"/>
      <c r="E71" s="64"/>
      <c r="F71" s="64"/>
      <c r="G71" s="64"/>
      <c r="H71" s="65"/>
      <c r="V71" s="87">
        <v>313</v>
      </c>
      <c r="W71" s="88">
        <f>VLOOKUP(V71,'BD1'!$A$2:$AF$1139,31,0)</f>
        <v>8</v>
      </c>
      <c r="X71" s="88">
        <f>VLOOKUP(V71,'BD2'!$A$2:$AF$1139,31,0)</f>
        <v>7</v>
      </c>
      <c r="Y71" s="89" t="str">
        <f t="shared" si="24"/>
        <v>Pérdida</v>
      </c>
    </row>
    <row r="72" spans="1:25" ht="15.75" thickBot="1" x14ac:dyDescent="0.3">
      <c r="A72" s="18" t="s">
        <v>3040</v>
      </c>
      <c r="B72" s="19" t="s">
        <v>3050</v>
      </c>
      <c r="C72" s="20" t="s">
        <v>3051</v>
      </c>
      <c r="D72" s="21" t="s">
        <v>3041</v>
      </c>
      <c r="E72" s="19" t="s">
        <v>3052</v>
      </c>
      <c r="F72" s="20" t="s">
        <v>3053</v>
      </c>
      <c r="G72" s="19" t="s">
        <v>3054</v>
      </c>
      <c r="H72" s="20" t="s">
        <v>3055</v>
      </c>
      <c r="V72" s="90">
        <v>314</v>
      </c>
      <c r="W72" s="91">
        <f>VLOOKUP(V72,'BD1'!$A$2:$AF$1139,31,0)</f>
        <v>6</v>
      </c>
      <c r="X72" s="91">
        <f>VLOOKUP(V72,'BD2'!$A$2:$AF$1139,31,0)</f>
        <v>8</v>
      </c>
      <c r="Y72" s="92" t="str">
        <f t="shared" si="24"/>
        <v>Mejoría</v>
      </c>
    </row>
    <row r="73" spans="1:25" ht="18.75" x14ac:dyDescent="0.3">
      <c r="A73" s="22" t="s">
        <v>3034</v>
      </c>
      <c r="B73" s="15">
        <f>COUNTIFS('BD1'!H:H,Estadísticas!A73,'BD1'!X:X,"no")</f>
        <v>12</v>
      </c>
      <c r="C73" s="16">
        <f>COUNTIFS('BD2'!H:H,Estadísticas!A73,'BD2'!X:X,"no")</f>
        <v>31</v>
      </c>
      <c r="D73" s="17">
        <f>(COUNTIFS('BD1'!H:H,Estadísticas!A73,'BD1'!K:K,"ok") + COUNTIFS('BD1'!H:H,Estadísticas!A73,'BD1'!K:K,"sin video"))</f>
        <v>217</v>
      </c>
      <c r="E73" s="48">
        <f t="shared" ref="E73:E78" si="25">B73*100/D73</f>
        <v>5.5299539170506913</v>
      </c>
      <c r="F73" s="52">
        <f>(D73-B73)*100/D73</f>
        <v>94.47004608294931</v>
      </c>
      <c r="G73" s="48">
        <f t="shared" ref="G73:G78" si="26">C73*100/D73</f>
        <v>14.285714285714286</v>
      </c>
      <c r="H73" s="56">
        <f t="shared" ref="H73:H78" si="27">(D73-C73)*100/D73</f>
        <v>85.714285714285708</v>
      </c>
      <c r="V73" s="87">
        <v>322</v>
      </c>
      <c r="W73" s="88">
        <f>VLOOKUP(V73,'BD1'!$A$2:$AF$1139,31,0)</f>
        <v>7</v>
      </c>
      <c r="X73" s="88">
        <f>VLOOKUP(V73,'BD2'!$A$2:$AF$1139,31,0)</f>
        <v>8</v>
      </c>
      <c r="Y73" s="89" t="str">
        <f t="shared" si="24"/>
        <v>Mejoría</v>
      </c>
    </row>
    <row r="74" spans="1:25" ht="18.75" x14ac:dyDescent="0.3">
      <c r="A74" s="23" t="s">
        <v>3035</v>
      </c>
      <c r="B74" s="10">
        <f>COUNTIFS('BD1'!H:H,Estadísticas!A74,'BD1'!X:X,"no")</f>
        <v>5</v>
      </c>
      <c r="C74" s="8">
        <f>COUNTIFS('BD2'!H:H,Estadísticas!A74,'BD2'!X:X,"no")</f>
        <v>0</v>
      </c>
      <c r="D74" s="13">
        <f>(COUNTIFS('BD1'!H:H,Estadísticas!A74,'BD1'!K:K,"ok") + COUNTIFS('BD1'!H:H,Estadísticas!A74,'BD1'!K:K,"sin video"))</f>
        <v>47</v>
      </c>
      <c r="E74" s="49">
        <f t="shared" si="25"/>
        <v>10.638297872340425</v>
      </c>
      <c r="F74" s="53">
        <f t="shared" ref="F74:F78" si="28">(D74-B74)*100/D74</f>
        <v>89.361702127659569</v>
      </c>
      <c r="G74" s="49">
        <f t="shared" si="26"/>
        <v>0</v>
      </c>
      <c r="H74" s="53">
        <f t="shared" si="27"/>
        <v>100</v>
      </c>
      <c r="V74" s="90">
        <v>333</v>
      </c>
      <c r="W74" s="91">
        <f>VLOOKUP(V74,'BD1'!$A$2:$AF$1139,31,0)</f>
        <v>7</v>
      </c>
      <c r="X74" s="91">
        <f>VLOOKUP(V74,'BD2'!$A$2:$AF$1139,31,0)</f>
        <v>8</v>
      </c>
      <c r="Y74" s="92" t="str">
        <f t="shared" si="24"/>
        <v>Mejoría</v>
      </c>
    </row>
    <row r="75" spans="1:25" ht="18.75" x14ac:dyDescent="0.3">
      <c r="A75" s="24" t="s">
        <v>3036</v>
      </c>
      <c r="B75" s="6">
        <f>COUNTIFS('BD1'!H:H,Estadísticas!A75,'BD1'!X:X,"no")</f>
        <v>11</v>
      </c>
      <c r="C75" s="7">
        <f>COUNTIFS('BD2'!H:H,Estadísticas!A75,'BD2'!X:X,"no")</f>
        <v>13</v>
      </c>
      <c r="D75" s="12">
        <f>(COUNTIFS('BD1'!H:H,Estadísticas!A75,'BD1'!K:K,"ok") + COUNTIFS('BD1'!H:H,Estadísticas!A75,'BD1'!K:K,"sin video"))</f>
        <v>55</v>
      </c>
      <c r="E75" s="50">
        <f t="shared" si="25"/>
        <v>20</v>
      </c>
      <c r="F75" s="54">
        <f t="shared" si="28"/>
        <v>80</v>
      </c>
      <c r="G75" s="50">
        <f t="shared" si="26"/>
        <v>23.636363636363637</v>
      </c>
      <c r="H75" s="54">
        <f t="shared" si="27"/>
        <v>76.36363636363636</v>
      </c>
      <c r="V75" s="87">
        <v>335</v>
      </c>
      <c r="W75" s="88">
        <f>VLOOKUP(V75,'BD1'!$A$2:$AF$1139,31,0)</f>
        <v>0</v>
      </c>
      <c r="X75" s="88">
        <f>VLOOKUP(V75,'BD2'!$A$2:$AF$1139,31,0)</f>
        <v>6</v>
      </c>
      <c r="Y75" s="89" t="str">
        <f t="shared" si="24"/>
        <v>Mejoría</v>
      </c>
    </row>
    <row r="76" spans="1:25" ht="18.75" x14ac:dyDescent="0.3">
      <c r="A76" s="23" t="s">
        <v>3037</v>
      </c>
      <c r="B76" s="10">
        <f>COUNTIFS('BD1'!H:H,Estadísticas!A76,'BD1'!X:X,"no")</f>
        <v>2</v>
      </c>
      <c r="C76" s="8">
        <f>COUNTIFS('BD2'!H:H,Estadísticas!A76,'BD2'!X:X,"no")</f>
        <v>1</v>
      </c>
      <c r="D76" s="13">
        <f>(COUNTIFS('BD1'!H:H,Estadísticas!A76,'BD1'!K:K,"ok") + COUNTIFS('BD1'!H:H,Estadísticas!A76,'BD1'!K:K,"sin video"))</f>
        <v>54</v>
      </c>
      <c r="E76" s="49">
        <f t="shared" si="25"/>
        <v>3.7037037037037037</v>
      </c>
      <c r="F76" s="53">
        <f t="shared" si="28"/>
        <v>96.296296296296291</v>
      </c>
      <c r="G76" s="49">
        <f t="shared" si="26"/>
        <v>1.8518518518518519</v>
      </c>
      <c r="H76" s="53">
        <f t="shared" si="27"/>
        <v>98.148148148148152</v>
      </c>
      <c r="V76" s="90">
        <v>339</v>
      </c>
      <c r="W76" s="91">
        <f>VLOOKUP(V76,'BD1'!$A$2:$AF$1139,31,0)</f>
        <v>6</v>
      </c>
      <c r="X76" s="91">
        <f>VLOOKUP(V76,'BD2'!$A$2:$AF$1139,31,0)</f>
        <v>8</v>
      </c>
      <c r="Y76" s="92" t="str">
        <f t="shared" si="24"/>
        <v>Mejoría</v>
      </c>
    </row>
    <row r="77" spans="1:25" ht="18.75" x14ac:dyDescent="0.3">
      <c r="A77" s="24" t="s">
        <v>3038</v>
      </c>
      <c r="B77" s="6">
        <f>COUNTIFS('BD1'!H:H,Estadísticas!A77,'BD1'!X:X,"no")</f>
        <v>3</v>
      </c>
      <c r="C77" s="7">
        <f>COUNTIFS('BD2'!H:H,Estadísticas!A77,'BD2'!X:X,"no")</f>
        <v>6</v>
      </c>
      <c r="D77" s="12">
        <f>(COUNTIFS('BD1'!H:H,Estadísticas!A77,'BD1'!K:K,"ok") + COUNTIFS('BD1'!H:H,Estadísticas!A77,'BD1'!K:K,"sin video"))</f>
        <v>20</v>
      </c>
      <c r="E77" s="50">
        <f t="shared" si="25"/>
        <v>15</v>
      </c>
      <c r="F77" s="54">
        <f t="shared" si="28"/>
        <v>85</v>
      </c>
      <c r="G77" s="50">
        <f t="shared" si="26"/>
        <v>30</v>
      </c>
      <c r="H77" s="54">
        <f t="shared" si="27"/>
        <v>70</v>
      </c>
      <c r="V77" s="87">
        <v>342</v>
      </c>
      <c r="W77" s="88">
        <f>VLOOKUP(V77,'BD1'!$A$2:$AF$1139,31,0)</f>
        <v>8</v>
      </c>
      <c r="X77" s="88">
        <f>VLOOKUP(V77,'BD2'!$A$2:$AF$1139,31,0)</f>
        <v>8</v>
      </c>
      <c r="Y77" s="89" t="str">
        <f t="shared" si="24"/>
        <v>Se mantiene</v>
      </c>
    </row>
    <row r="78" spans="1:25" ht="19.5" thickBot="1" x14ac:dyDescent="0.35">
      <c r="A78" s="25" t="s">
        <v>3039</v>
      </c>
      <c r="B78" s="11">
        <f>COUNTIFS('BD1'!H:H,Estadísticas!A78,'BD1'!X:X,"no")</f>
        <v>2</v>
      </c>
      <c r="C78" s="9">
        <f>COUNTIFS('BD2'!H:H,Estadísticas!A78,'BD2'!X:X,"no")</f>
        <v>3</v>
      </c>
      <c r="D78" s="14">
        <f>(COUNTIFS('BD1'!H:H,Estadísticas!A78,'BD1'!K:K,"ok") + COUNTIFS('BD1'!H:H,Estadísticas!A78,'BD1'!K:K,"sin video"))</f>
        <v>25</v>
      </c>
      <c r="E78" s="51">
        <f t="shared" si="25"/>
        <v>8</v>
      </c>
      <c r="F78" s="55">
        <f t="shared" si="28"/>
        <v>92</v>
      </c>
      <c r="G78" s="51">
        <f t="shared" si="26"/>
        <v>12</v>
      </c>
      <c r="H78" s="55">
        <f t="shared" si="27"/>
        <v>88</v>
      </c>
      <c r="V78" s="90">
        <v>345</v>
      </c>
      <c r="W78" s="91">
        <f>VLOOKUP(V78,'BD1'!$A$2:$AF$1139,31,0)</f>
        <v>7</v>
      </c>
      <c r="X78" s="91">
        <f>VLOOKUP(V78,'BD2'!$A$2:$AF$1139,31,0)</f>
        <v>8</v>
      </c>
      <c r="Y78" s="92" t="str">
        <f t="shared" si="24"/>
        <v>Mejoría</v>
      </c>
    </row>
    <row r="79" spans="1:25" ht="15.75" thickBot="1" x14ac:dyDescent="0.3">
      <c r="V79" s="87">
        <v>352</v>
      </c>
      <c r="W79" s="88">
        <f>VLOOKUP(V79,'BD1'!$A$2:$AF$1139,31,0)</f>
        <v>8</v>
      </c>
      <c r="X79" s="88">
        <f>VLOOKUP(V79,'BD2'!$A$2:$AF$1139,31,0)</f>
        <v>3</v>
      </c>
      <c r="Y79" s="89" t="str">
        <f t="shared" si="24"/>
        <v>Pérdida</v>
      </c>
    </row>
    <row r="80" spans="1:25" ht="21.75" thickBot="1" x14ac:dyDescent="0.4">
      <c r="A80" s="63" t="s">
        <v>3047</v>
      </c>
      <c r="B80" s="64"/>
      <c r="C80" s="64"/>
      <c r="D80" s="64"/>
      <c r="E80" s="64"/>
      <c r="F80" s="64"/>
      <c r="G80" s="64"/>
      <c r="H80" s="65"/>
      <c r="V80" s="90">
        <v>354</v>
      </c>
      <c r="W80" s="91">
        <f>VLOOKUP(V80,'BD1'!$A$2:$AF$1139,31,0)</f>
        <v>7</v>
      </c>
      <c r="X80" s="91">
        <f>VLOOKUP(V80,'BD2'!$A$2:$AF$1139,31,0)</f>
        <v>8</v>
      </c>
      <c r="Y80" s="92" t="str">
        <f t="shared" si="24"/>
        <v>Mejoría</v>
      </c>
    </row>
    <row r="81" spans="1:25" ht="15.75" thickBot="1" x14ac:dyDescent="0.3">
      <c r="A81" s="18" t="s">
        <v>3040</v>
      </c>
      <c r="B81" s="19" t="s">
        <v>3050</v>
      </c>
      <c r="C81" s="20" t="s">
        <v>3051</v>
      </c>
      <c r="D81" s="21" t="s">
        <v>3041</v>
      </c>
      <c r="E81" s="19" t="s">
        <v>3052</v>
      </c>
      <c r="F81" s="20" t="s">
        <v>3053</v>
      </c>
      <c r="G81" s="19" t="s">
        <v>3054</v>
      </c>
      <c r="H81" s="20" t="s">
        <v>3055</v>
      </c>
      <c r="V81" s="87">
        <v>355</v>
      </c>
      <c r="W81" s="88">
        <f>VLOOKUP(V81,'BD1'!$A$2:$AF$1139,31,0)</f>
        <v>6</v>
      </c>
      <c r="X81" s="88">
        <f>VLOOKUP(V81,'BD2'!$A$2:$AF$1139,31,0)</f>
        <v>8</v>
      </c>
      <c r="Y81" s="89" t="str">
        <f t="shared" si="24"/>
        <v>Mejoría</v>
      </c>
    </row>
    <row r="82" spans="1:25" ht="18.75" x14ac:dyDescent="0.3">
      <c r="A82" s="22" t="s">
        <v>3034</v>
      </c>
      <c r="B82" s="15">
        <f>COUNTIFS('BD1'!H:H,Estadísticas!A82,'BD1'!Y:Y,"no")</f>
        <v>25</v>
      </c>
      <c r="C82" s="16">
        <f>COUNTIFS('BD2'!H:H,Estadísticas!A82,'BD2'!Y:Y,"no")</f>
        <v>33</v>
      </c>
      <c r="D82" s="17">
        <f>(COUNTIFS('BD1'!H:H,Estadísticas!A82,'BD1'!K:K,"ok") + COUNTIFS('BD1'!H:H,Estadísticas!A82,'BD1'!K:K,"sin video"))</f>
        <v>217</v>
      </c>
      <c r="E82" s="48">
        <f t="shared" ref="E82:E87" si="29">B82*100/D82</f>
        <v>11.52073732718894</v>
      </c>
      <c r="F82" s="52">
        <f>(D82-B82)*100/D82</f>
        <v>88.47926267281106</v>
      </c>
      <c r="G82" s="48">
        <f t="shared" ref="G82:G87" si="30">C82*100/D82</f>
        <v>15.2073732718894</v>
      </c>
      <c r="H82" s="56">
        <f t="shared" ref="H82:H87" si="31">(D82-C82)*100/D82</f>
        <v>84.792626728110605</v>
      </c>
      <c r="V82" s="90">
        <v>358</v>
      </c>
      <c r="W82" s="91">
        <f>VLOOKUP(V82,'BD1'!$A$2:$AF$1139,31,0)</f>
        <v>8</v>
      </c>
      <c r="X82" s="91">
        <f>VLOOKUP(V82,'BD2'!$A$2:$AF$1139,31,0)</f>
        <v>7</v>
      </c>
      <c r="Y82" s="92" t="str">
        <f t="shared" si="24"/>
        <v>Pérdida</v>
      </c>
    </row>
    <row r="83" spans="1:25" ht="18.75" x14ac:dyDescent="0.3">
      <c r="A83" s="23" t="s">
        <v>3035</v>
      </c>
      <c r="B83" s="10">
        <f>COUNTIFS('BD1'!H:H,Estadísticas!A83,'BD1'!Y:Y,"no")</f>
        <v>6</v>
      </c>
      <c r="C83" s="8">
        <f>COUNTIFS('BD2'!H:H,Estadísticas!A83,'BD2'!Y:Y,"no")</f>
        <v>0</v>
      </c>
      <c r="D83" s="13">
        <f>(COUNTIFS('BD1'!H:H,Estadísticas!A83,'BD1'!K:K,"ok") + COUNTIFS('BD1'!H:H,Estadísticas!A83,'BD1'!K:K,"sin video"))</f>
        <v>47</v>
      </c>
      <c r="E83" s="49">
        <f t="shared" si="29"/>
        <v>12.76595744680851</v>
      </c>
      <c r="F83" s="53">
        <f t="shared" ref="F83:F87" si="32">(D83-B83)*100/D83</f>
        <v>87.234042553191486</v>
      </c>
      <c r="G83" s="49">
        <f t="shared" si="30"/>
        <v>0</v>
      </c>
      <c r="H83" s="53">
        <f t="shared" si="31"/>
        <v>100</v>
      </c>
      <c r="V83" s="87">
        <v>359</v>
      </c>
      <c r="W83" s="88">
        <f>VLOOKUP(V83,'BD1'!$A$2:$AF$1139,31,0)</f>
        <v>7</v>
      </c>
      <c r="X83" s="88">
        <f>VLOOKUP(V83,'BD2'!$A$2:$AF$1139,31,0)</f>
        <v>8</v>
      </c>
      <c r="Y83" s="89" t="str">
        <f t="shared" si="24"/>
        <v>Mejoría</v>
      </c>
    </row>
    <row r="84" spans="1:25" ht="18.75" x14ac:dyDescent="0.3">
      <c r="A84" s="24" t="s">
        <v>3036</v>
      </c>
      <c r="B84" s="6">
        <f>COUNTIFS('BD1'!H:H,Estadísticas!A84,'BD1'!Y:Y,"no")</f>
        <v>17</v>
      </c>
      <c r="C84" s="7">
        <f>COUNTIFS('BD2'!H:H,Estadísticas!A84,'BD2'!Y:Y,"no")</f>
        <v>13</v>
      </c>
      <c r="D84" s="12">
        <f>(COUNTIFS('BD1'!H:H,Estadísticas!A84,'BD1'!K:K,"ok") + COUNTIFS('BD1'!H:H,Estadísticas!A84,'BD1'!K:K,"sin video"))</f>
        <v>55</v>
      </c>
      <c r="E84" s="50">
        <f t="shared" si="29"/>
        <v>30.90909090909091</v>
      </c>
      <c r="F84" s="54">
        <f t="shared" si="32"/>
        <v>69.090909090909093</v>
      </c>
      <c r="G84" s="50">
        <f t="shared" si="30"/>
        <v>23.636363636363637</v>
      </c>
      <c r="H84" s="54">
        <f t="shared" si="31"/>
        <v>76.36363636363636</v>
      </c>
      <c r="V84" s="90">
        <v>360</v>
      </c>
      <c r="W84" s="91">
        <f>VLOOKUP(V84,'BD1'!$A$2:$AF$1139,31,0)</f>
        <v>8</v>
      </c>
      <c r="X84" s="91">
        <f>VLOOKUP(V84,'BD2'!$A$2:$AF$1139,31,0)</f>
        <v>8</v>
      </c>
      <c r="Y84" s="92" t="str">
        <f t="shared" si="24"/>
        <v>Se mantiene</v>
      </c>
    </row>
    <row r="85" spans="1:25" ht="18.75" x14ac:dyDescent="0.3">
      <c r="A85" s="23" t="s">
        <v>3037</v>
      </c>
      <c r="B85" s="10">
        <f>COUNTIFS('BD1'!H:H,Estadísticas!A85,'BD1'!Y:Y,"no")</f>
        <v>4</v>
      </c>
      <c r="C85" s="8">
        <f>COUNTIFS('BD2'!H:H,Estadísticas!A85,'BD2'!Y:Y,"no")</f>
        <v>1</v>
      </c>
      <c r="D85" s="13">
        <f>(COUNTIFS('BD1'!H:H,Estadísticas!A85,'BD1'!K:K,"ok") + COUNTIFS('BD1'!H:H,Estadísticas!A85,'BD1'!K:K,"sin video"))</f>
        <v>54</v>
      </c>
      <c r="E85" s="49">
        <f t="shared" si="29"/>
        <v>7.4074074074074074</v>
      </c>
      <c r="F85" s="53">
        <f t="shared" si="32"/>
        <v>92.592592592592595</v>
      </c>
      <c r="G85" s="49">
        <f t="shared" si="30"/>
        <v>1.8518518518518519</v>
      </c>
      <c r="H85" s="53">
        <f t="shared" si="31"/>
        <v>98.148148148148152</v>
      </c>
      <c r="V85" s="87">
        <v>361</v>
      </c>
      <c r="W85" s="88">
        <f>VLOOKUP(V85,'BD1'!$A$2:$AF$1139,31,0)</f>
        <v>8</v>
      </c>
      <c r="X85" s="88">
        <f>VLOOKUP(V85,'BD2'!$A$2:$AF$1139,31,0)</f>
        <v>8</v>
      </c>
      <c r="Y85" s="89" t="str">
        <f t="shared" si="24"/>
        <v>Se mantiene</v>
      </c>
    </row>
    <row r="86" spans="1:25" ht="18.75" x14ac:dyDescent="0.3">
      <c r="A86" s="24" t="s">
        <v>3038</v>
      </c>
      <c r="B86" s="6">
        <f>COUNTIFS('BD1'!H:H,Estadísticas!A86,'BD1'!Y:Y,"no")</f>
        <v>3</v>
      </c>
      <c r="C86" s="7">
        <f>COUNTIFS('BD2'!H:H,Estadísticas!A86,'BD2'!Y:Y,"no")</f>
        <v>7</v>
      </c>
      <c r="D86" s="12">
        <f>(COUNTIFS('BD1'!H:H,Estadísticas!A86,'BD1'!K:K,"ok") + COUNTIFS('BD1'!H:H,Estadísticas!A86,'BD1'!K:K,"sin video"))</f>
        <v>20</v>
      </c>
      <c r="E86" s="50">
        <f t="shared" si="29"/>
        <v>15</v>
      </c>
      <c r="F86" s="54">
        <f t="shared" si="32"/>
        <v>85</v>
      </c>
      <c r="G86" s="50">
        <f t="shared" si="30"/>
        <v>35</v>
      </c>
      <c r="H86" s="54">
        <f t="shared" si="31"/>
        <v>65</v>
      </c>
      <c r="V86" s="90">
        <v>369</v>
      </c>
      <c r="W86" s="91">
        <f>VLOOKUP(V86,'BD1'!$A$2:$AF$1139,31,0)</f>
        <v>6</v>
      </c>
      <c r="X86" s="91">
        <f>VLOOKUP(V86,'BD2'!$A$2:$AF$1139,31,0)</f>
        <v>8</v>
      </c>
      <c r="Y86" s="92" t="str">
        <f t="shared" si="24"/>
        <v>Mejoría</v>
      </c>
    </row>
    <row r="87" spans="1:25" ht="19.5" thickBot="1" x14ac:dyDescent="0.35">
      <c r="A87" s="25" t="s">
        <v>3039</v>
      </c>
      <c r="B87" s="11">
        <f>COUNTIFS('BD1'!H:H,Estadísticas!A87,'BD1'!Y:Y,"no")</f>
        <v>2</v>
      </c>
      <c r="C87" s="9">
        <f>COUNTIFS('BD2'!H:H,Estadísticas!A87,'BD2'!Y:Y,"no")</f>
        <v>2</v>
      </c>
      <c r="D87" s="14">
        <f>(COUNTIFS('BD1'!H:H,Estadísticas!A87,'BD1'!K:K,"ok") + COUNTIFS('BD1'!H:H,Estadísticas!A87,'BD1'!K:K,"sin video"))</f>
        <v>25</v>
      </c>
      <c r="E87" s="51">
        <f t="shared" si="29"/>
        <v>8</v>
      </c>
      <c r="F87" s="55">
        <f t="shared" si="32"/>
        <v>92</v>
      </c>
      <c r="G87" s="51">
        <f t="shared" si="30"/>
        <v>8</v>
      </c>
      <c r="H87" s="55">
        <f t="shared" si="31"/>
        <v>92</v>
      </c>
      <c r="V87" s="87">
        <v>372</v>
      </c>
      <c r="W87" s="88">
        <f>VLOOKUP(V87,'BD1'!$A$2:$AF$1139,31,0)</f>
        <v>8</v>
      </c>
      <c r="X87" s="88">
        <f>VLOOKUP(V87,'BD2'!$A$2:$AF$1139,31,0)</f>
        <v>8</v>
      </c>
      <c r="Y87" s="89" t="str">
        <f t="shared" si="24"/>
        <v>Se mantiene</v>
      </c>
    </row>
    <row r="88" spans="1:25" ht="15.75" thickBot="1" x14ac:dyDescent="0.3">
      <c r="V88" s="90">
        <v>380</v>
      </c>
      <c r="W88" s="91">
        <f>VLOOKUP(V88,'BD1'!$A$2:$AF$1139,31,0)</f>
        <v>8</v>
      </c>
      <c r="X88" s="91">
        <f>VLOOKUP(V88,'BD2'!$A$2:$AF$1139,31,0)</f>
        <v>1</v>
      </c>
      <c r="Y88" s="92" t="str">
        <f t="shared" si="24"/>
        <v>Pérdida</v>
      </c>
    </row>
    <row r="89" spans="1:25" ht="21.75" thickBot="1" x14ac:dyDescent="0.4">
      <c r="A89" s="63" t="s">
        <v>3048</v>
      </c>
      <c r="B89" s="64"/>
      <c r="C89" s="64"/>
      <c r="D89" s="64"/>
      <c r="E89" s="64"/>
      <c r="F89" s="64"/>
      <c r="G89" s="64"/>
      <c r="H89" s="65"/>
      <c r="V89" s="87">
        <v>381</v>
      </c>
      <c r="W89" s="88">
        <f>VLOOKUP(V89,'BD1'!$A$2:$AF$1139,31,0)</f>
        <v>8</v>
      </c>
      <c r="X89" s="88">
        <f>VLOOKUP(V89,'BD2'!$A$2:$AF$1139,31,0)</f>
        <v>8</v>
      </c>
      <c r="Y89" s="89" t="str">
        <f t="shared" si="24"/>
        <v>Se mantiene</v>
      </c>
    </row>
    <row r="90" spans="1:25" ht="15.75" thickBot="1" x14ac:dyDescent="0.3">
      <c r="A90" s="18" t="s">
        <v>3040</v>
      </c>
      <c r="B90" s="19" t="s">
        <v>3050</v>
      </c>
      <c r="C90" s="20" t="s">
        <v>3051</v>
      </c>
      <c r="D90" s="21" t="s">
        <v>3041</v>
      </c>
      <c r="E90" s="19" t="s">
        <v>3052</v>
      </c>
      <c r="F90" s="20" t="s">
        <v>3053</v>
      </c>
      <c r="G90" s="19" t="s">
        <v>3054</v>
      </c>
      <c r="H90" s="20" t="s">
        <v>3055</v>
      </c>
      <c r="V90" s="90">
        <v>382</v>
      </c>
      <c r="W90" s="91">
        <f>VLOOKUP(V90,'BD1'!$A$2:$AF$1139,31,0)</f>
        <v>8</v>
      </c>
      <c r="X90" s="91">
        <f>VLOOKUP(V90,'BD2'!$A$2:$AF$1139,31,0)</f>
        <v>8</v>
      </c>
      <c r="Y90" s="92" t="str">
        <f t="shared" si="24"/>
        <v>Se mantiene</v>
      </c>
    </row>
    <row r="91" spans="1:25" ht="18.75" x14ac:dyDescent="0.3">
      <c r="A91" s="22" t="s">
        <v>3034</v>
      </c>
      <c r="B91" s="15">
        <f>COUNTIFS('BD1'!H:H,Estadísticas!A91,'BD1'!Z:Z,"no")</f>
        <v>45</v>
      </c>
      <c r="C91" s="16">
        <f>COUNTIFS('BD2'!H:H,Estadísticas!A91,'BD2'!Z:Z,"no")</f>
        <v>55</v>
      </c>
      <c r="D91" s="17">
        <f>(COUNTIFS('BD1'!H:H,Estadísticas!A91,'BD1'!K:K,"ok") + COUNTIFS('BD1'!H:H,Estadísticas!A91,'BD1'!K:K,"sin video"))</f>
        <v>217</v>
      </c>
      <c r="E91" s="48">
        <f t="shared" ref="E91:E96" si="33">B91*100/D91</f>
        <v>20.737327188940093</v>
      </c>
      <c r="F91" s="52">
        <f>(D91-B91)*100/D91</f>
        <v>79.262672811059915</v>
      </c>
      <c r="G91" s="48">
        <f t="shared" ref="G91:G96" si="34">C91*100/D91</f>
        <v>25.345622119815669</v>
      </c>
      <c r="H91" s="56">
        <f t="shared" ref="H91:H96" si="35">(D91-C91)*100/D91</f>
        <v>74.654377880184327</v>
      </c>
      <c r="V91" s="87">
        <v>384</v>
      </c>
      <c r="W91" s="88">
        <f>VLOOKUP(V91,'BD1'!$A$2:$AF$1139,31,0)</f>
        <v>8</v>
      </c>
      <c r="X91" s="88">
        <f>VLOOKUP(V91,'BD2'!$A$2:$AF$1139,31,0)</f>
        <v>8</v>
      </c>
      <c r="Y91" s="89" t="str">
        <f t="shared" si="24"/>
        <v>Se mantiene</v>
      </c>
    </row>
    <row r="92" spans="1:25" ht="18.75" x14ac:dyDescent="0.3">
      <c r="A92" s="23" t="s">
        <v>3035</v>
      </c>
      <c r="B92" s="10">
        <f>COUNTIFS('BD1'!H:H,Estadísticas!A92,'BD1'!Z:Z,"no")</f>
        <v>11</v>
      </c>
      <c r="C92" s="8">
        <f>COUNTIFS('BD2'!H:H,Estadísticas!A92,'BD2'!Z:Z,"no")</f>
        <v>47</v>
      </c>
      <c r="D92" s="13">
        <f>(COUNTIFS('BD1'!H:H,Estadísticas!A92,'BD1'!K:K,"ok") + COUNTIFS('BD1'!H:H,Estadísticas!A92,'BD1'!K:K,"sin video"))</f>
        <v>47</v>
      </c>
      <c r="E92" s="49">
        <f t="shared" si="33"/>
        <v>23.404255319148938</v>
      </c>
      <c r="F92" s="53">
        <f t="shared" ref="F92:F96" si="36">(D92-B92)*100/D92</f>
        <v>76.59574468085107</v>
      </c>
      <c r="G92" s="49">
        <f t="shared" si="34"/>
        <v>100</v>
      </c>
      <c r="H92" s="53">
        <f t="shared" si="35"/>
        <v>0</v>
      </c>
      <c r="V92" s="90">
        <v>385</v>
      </c>
      <c r="W92" s="91">
        <f>VLOOKUP(V92,'BD1'!$A$2:$AF$1139,31,0)</f>
        <v>8</v>
      </c>
      <c r="X92" s="91">
        <f>VLOOKUP(V92,'BD2'!$A$2:$AF$1139,31,0)</f>
        <v>6</v>
      </c>
      <c r="Y92" s="92" t="str">
        <f t="shared" si="24"/>
        <v>Pérdida</v>
      </c>
    </row>
    <row r="93" spans="1:25" ht="18.75" x14ac:dyDescent="0.3">
      <c r="A93" s="24" t="s">
        <v>3036</v>
      </c>
      <c r="B93" s="6">
        <f>COUNTIFS('BD1'!H:H,Estadísticas!A93,'BD1'!Z:Z,"no")</f>
        <v>13</v>
      </c>
      <c r="C93" s="7">
        <f>COUNTIFS('BD2'!H:H,Estadísticas!A93,'BD2'!Z:Z,"no")</f>
        <v>21</v>
      </c>
      <c r="D93" s="12">
        <f>(COUNTIFS('BD1'!H:H,Estadísticas!A93,'BD1'!K:K,"ok") + COUNTIFS('BD1'!H:H,Estadísticas!A93,'BD1'!K:K,"sin video"))</f>
        <v>55</v>
      </c>
      <c r="E93" s="50">
        <f t="shared" si="33"/>
        <v>23.636363636363637</v>
      </c>
      <c r="F93" s="54">
        <f t="shared" si="36"/>
        <v>76.36363636363636</v>
      </c>
      <c r="G93" s="50">
        <f t="shared" si="34"/>
        <v>38.18181818181818</v>
      </c>
      <c r="H93" s="54">
        <f t="shared" si="35"/>
        <v>61.81818181818182</v>
      </c>
      <c r="V93" s="87">
        <v>386</v>
      </c>
      <c r="W93" s="88">
        <f>VLOOKUP(V93,'BD1'!$A$2:$AF$1139,31,0)</f>
        <v>5</v>
      </c>
      <c r="X93" s="88">
        <f>VLOOKUP(V93,'BD2'!$A$2:$AF$1139,31,0)</f>
        <v>8</v>
      </c>
      <c r="Y93" s="89" t="str">
        <f t="shared" si="24"/>
        <v>Mejoría</v>
      </c>
    </row>
    <row r="94" spans="1:25" ht="18.75" x14ac:dyDescent="0.3">
      <c r="A94" s="23" t="s">
        <v>3037</v>
      </c>
      <c r="B94" s="10">
        <f>COUNTIFS('BD1'!H:H,Estadísticas!A94,'BD1'!Z:Z,"no")</f>
        <v>11</v>
      </c>
      <c r="C94" s="8">
        <f>COUNTIFS('BD2'!H:H,Estadísticas!A94,'BD2'!Z:Z,"no")</f>
        <v>41</v>
      </c>
      <c r="D94" s="13">
        <f>(COUNTIFS('BD1'!H:H,Estadísticas!A94,'BD1'!K:K,"ok") + COUNTIFS('BD1'!H:H,Estadísticas!A94,'BD1'!K:K,"sin video"))</f>
        <v>54</v>
      </c>
      <c r="E94" s="49">
        <f t="shared" si="33"/>
        <v>20.37037037037037</v>
      </c>
      <c r="F94" s="53">
        <f t="shared" si="36"/>
        <v>79.629629629629633</v>
      </c>
      <c r="G94" s="49">
        <f t="shared" si="34"/>
        <v>75.925925925925924</v>
      </c>
      <c r="H94" s="53">
        <f t="shared" si="35"/>
        <v>24.074074074074073</v>
      </c>
      <c r="V94" s="90">
        <v>387</v>
      </c>
      <c r="W94" s="91">
        <f>VLOOKUP(V94,'BD1'!$A$2:$AF$1139,31,0)</f>
        <v>8</v>
      </c>
      <c r="X94" s="91">
        <f>VLOOKUP(V94,'BD2'!$A$2:$AF$1139,31,0)</f>
        <v>4</v>
      </c>
      <c r="Y94" s="92" t="str">
        <f t="shared" si="24"/>
        <v>Pérdida</v>
      </c>
    </row>
    <row r="95" spans="1:25" ht="18.75" x14ac:dyDescent="0.3">
      <c r="A95" s="24" t="s">
        <v>3038</v>
      </c>
      <c r="B95" s="6">
        <f>COUNTIFS('BD1'!H:H,Estadísticas!A95,'BD1'!Z:Z,"no")</f>
        <v>8</v>
      </c>
      <c r="C95" s="7">
        <f>COUNTIFS('BD2'!H:H,Estadísticas!A95,'BD2'!Z:Z,"no")</f>
        <v>9</v>
      </c>
      <c r="D95" s="12">
        <f>(COUNTIFS('BD1'!H:H,Estadísticas!A95,'BD1'!K:K,"ok") + COUNTIFS('BD1'!H:H,Estadísticas!A95,'BD1'!K:K,"sin video"))</f>
        <v>20</v>
      </c>
      <c r="E95" s="50">
        <f t="shared" si="33"/>
        <v>40</v>
      </c>
      <c r="F95" s="54">
        <f t="shared" si="36"/>
        <v>60</v>
      </c>
      <c r="G95" s="50">
        <f t="shared" si="34"/>
        <v>45</v>
      </c>
      <c r="H95" s="54">
        <f t="shared" si="35"/>
        <v>55</v>
      </c>
      <c r="V95" s="87">
        <v>388</v>
      </c>
      <c r="W95" s="88">
        <f>VLOOKUP(V95,'BD1'!$A$2:$AF$1139,31,0)</f>
        <v>8</v>
      </c>
      <c r="X95" s="88">
        <f>VLOOKUP(V95,'BD2'!$A$2:$AF$1139,31,0)</f>
        <v>8</v>
      </c>
      <c r="Y95" s="89" t="str">
        <f t="shared" si="24"/>
        <v>Se mantiene</v>
      </c>
    </row>
    <row r="96" spans="1:25" ht="19.5" thickBot="1" x14ac:dyDescent="0.35">
      <c r="A96" s="25" t="s">
        <v>3039</v>
      </c>
      <c r="B96" s="11">
        <f>COUNTIFS('BD1'!H:H,Estadísticas!A96,'BD1'!Z:Z,"no")</f>
        <v>6</v>
      </c>
      <c r="C96" s="9">
        <f>COUNTIFS('BD2'!H:H,Estadísticas!A96,'BD2'!Z:Z,"no")</f>
        <v>8</v>
      </c>
      <c r="D96" s="14">
        <f>(COUNTIFS('BD1'!H:H,Estadísticas!A96,'BD1'!K:K,"ok") + COUNTIFS('BD1'!H:H,Estadísticas!A96,'BD1'!K:K,"sin video"))</f>
        <v>25</v>
      </c>
      <c r="E96" s="51">
        <f t="shared" si="33"/>
        <v>24</v>
      </c>
      <c r="F96" s="55">
        <f t="shared" si="36"/>
        <v>76</v>
      </c>
      <c r="G96" s="51">
        <f t="shared" si="34"/>
        <v>32</v>
      </c>
      <c r="H96" s="55">
        <f t="shared" si="35"/>
        <v>68</v>
      </c>
      <c r="V96" s="90">
        <v>389</v>
      </c>
      <c r="W96" s="91">
        <f>VLOOKUP(V96,'BD1'!$A$2:$AF$1139,31,0)</f>
        <v>8</v>
      </c>
      <c r="X96" s="91">
        <f>VLOOKUP(V96,'BD2'!$A$2:$AF$1139,31,0)</f>
        <v>8</v>
      </c>
      <c r="Y96" s="92" t="str">
        <f t="shared" si="24"/>
        <v>Se mantiene</v>
      </c>
    </row>
    <row r="97" spans="22:25" x14ac:dyDescent="0.25">
      <c r="V97" s="87">
        <v>396</v>
      </c>
      <c r="W97" s="88">
        <f>VLOOKUP(V97,'BD1'!$A$2:$AF$1139,31,0)</f>
        <v>8</v>
      </c>
      <c r="X97" s="88">
        <f>VLOOKUP(V97,'BD2'!$A$2:$AF$1139,31,0)</f>
        <v>7</v>
      </c>
      <c r="Y97" s="89" t="str">
        <f t="shared" si="24"/>
        <v>Pérdida</v>
      </c>
    </row>
    <row r="98" spans="22:25" x14ac:dyDescent="0.25">
      <c r="V98" s="90">
        <v>400</v>
      </c>
      <c r="W98" s="91">
        <f>VLOOKUP(V98,'BD1'!$A$2:$AF$1139,31,0)</f>
        <v>8</v>
      </c>
      <c r="X98" s="91">
        <f>VLOOKUP(V98,'BD2'!$A$2:$AF$1139,31,0)</f>
        <v>8</v>
      </c>
      <c r="Y98" s="92" t="str">
        <f t="shared" si="24"/>
        <v>Se mantiene</v>
      </c>
    </row>
    <row r="99" spans="22:25" x14ac:dyDescent="0.25">
      <c r="V99" s="87">
        <v>401</v>
      </c>
      <c r="W99" s="88">
        <f>VLOOKUP(V99,'BD1'!$A$2:$AF$1139,31,0)</f>
        <v>8</v>
      </c>
      <c r="X99" s="88">
        <f>VLOOKUP(V99,'BD2'!$A$2:$AF$1139,31,0)</f>
        <v>8</v>
      </c>
      <c r="Y99" s="89" t="str">
        <f t="shared" si="24"/>
        <v>Se mantiene</v>
      </c>
    </row>
    <row r="100" spans="22:25" x14ac:dyDescent="0.25">
      <c r="V100" s="90">
        <v>412</v>
      </c>
      <c r="W100" s="91">
        <f>VLOOKUP(V100,'BD1'!$A$2:$AF$1139,31,0)</f>
        <v>0</v>
      </c>
      <c r="X100" s="91">
        <f>VLOOKUP(V100,'BD2'!$A$2:$AF$1139,31,0)</f>
        <v>8</v>
      </c>
      <c r="Y100" s="92" t="str">
        <f t="shared" si="24"/>
        <v>Mejoría</v>
      </c>
    </row>
    <row r="101" spans="22:25" x14ac:dyDescent="0.25">
      <c r="V101" s="87">
        <v>416</v>
      </c>
      <c r="W101" s="88">
        <f>VLOOKUP(V101,'BD1'!$A$2:$AF$1139,31,0)</f>
        <v>7</v>
      </c>
      <c r="X101" s="88">
        <f>VLOOKUP(V101,'BD2'!$A$2:$AF$1139,31,0)</f>
        <v>8</v>
      </c>
      <c r="Y101" s="89" t="str">
        <f t="shared" si="24"/>
        <v>Mejoría</v>
      </c>
    </row>
    <row r="102" spans="22:25" x14ac:dyDescent="0.25">
      <c r="V102" s="90">
        <v>419</v>
      </c>
      <c r="W102" s="91">
        <f>VLOOKUP(V102,'BD1'!$A$2:$AF$1139,31,0)</f>
        <v>7</v>
      </c>
      <c r="X102" s="91">
        <f>VLOOKUP(V102,'BD2'!$A$2:$AF$1139,31,0)</f>
        <v>7</v>
      </c>
      <c r="Y102" s="92" t="str">
        <f t="shared" si="24"/>
        <v>Se mantiene</v>
      </c>
    </row>
    <row r="103" spans="22:25" x14ac:dyDescent="0.25">
      <c r="V103" s="87">
        <v>422</v>
      </c>
      <c r="W103" s="88">
        <f>VLOOKUP(V103,'BD1'!$A$2:$AF$1139,31,0)</f>
        <v>8</v>
      </c>
      <c r="X103" s="88">
        <f>VLOOKUP(V103,'BD2'!$A$2:$AF$1139,31,0)</f>
        <v>7</v>
      </c>
      <c r="Y103" s="89" t="str">
        <f t="shared" si="24"/>
        <v>Pérdida</v>
      </c>
    </row>
    <row r="104" spans="22:25" x14ac:dyDescent="0.25">
      <c r="V104" s="90">
        <v>428</v>
      </c>
      <c r="W104" s="91">
        <f>VLOOKUP(V104,'BD1'!$A$2:$AF$1139,31,0)</f>
        <v>8</v>
      </c>
      <c r="X104" s="91">
        <f>VLOOKUP(V104,'BD2'!$A$2:$AF$1139,31,0)</f>
        <v>8</v>
      </c>
      <c r="Y104" s="92" t="str">
        <f t="shared" si="24"/>
        <v>Se mantiene</v>
      </c>
    </row>
    <row r="105" spans="22:25" x14ac:dyDescent="0.25">
      <c r="V105" s="87">
        <v>429</v>
      </c>
      <c r="W105" s="88">
        <f>VLOOKUP(V105,'BD1'!$A$2:$AF$1139,31,0)</f>
        <v>8</v>
      </c>
      <c r="X105" s="88">
        <f>VLOOKUP(V105,'BD2'!$A$2:$AF$1139,31,0)</f>
        <v>8</v>
      </c>
      <c r="Y105" s="89" t="str">
        <f t="shared" si="24"/>
        <v>Se mantiene</v>
      </c>
    </row>
    <row r="106" spans="22:25" x14ac:dyDescent="0.25">
      <c r="V106" s="90">
        <v>435</v>
      </c>
      <c r="W106" s="91">
        <f>VLOOKUP(V106,'BD1'!$A$2:$AF$1139,31,0)</f>
        <v>8</v>
      </c>
      <c r="X106" s="91">
        <f>VLOOKUP(V106,'BD2'!$A$2:$AF$1139,31,0)</f>
        <v>0</v>
      </c>
      <c r="Y106" s="92" t="str">
        <f t="shared" si="24"/>
        <v>Pérdida</v>
      </c>
    </row>
    <row r="107" spans="22:25" x14ac:dyDescent="0.25">
      <c r="V107" s="87">
        <v>438</v>
      </c>
      <c r="W107" s="88">
        <f>VLOOKUP(V107,'BD1'!$A$2:$AF$1139,31,0)</f>
        <v>8</v>
      </c>
      <c r="X107" s="88">
        <f>VLOOKUP(V107,'BD2'!$A$2:$AF$1139,31,0)</f>
        <v>3</v>
      </c>
      <c r="Y107" s="89" t="str">
        <f t="shared" si="24"/>
        <v>Pérdida</v>
      </c>
    </row>
    <row r="108" spans="22:25" x14ac:dyDescent="0.25">
      <c r="V108" s="90">
        <v>439</v>
      </c>
      <c r="W108" s="91">
        <f>VLOOKUP(V108,'BD1'!$A$2:$AF$1139,31,0)</f>
        <v>8</v>
      </c>
      <c r="X108" s="91">
        <f>VLOOKUP(V108,'BD2'!$A$2:$AF$1139,31,0)</f>
        <v>8</v>
      </c>
      <c r="Y108" s="92" t="str">
        <f t="shared" si="24"/>
        <v>Se mantiene</v>
      </c>
    </row>
    <row r="109" spans="22:25" x14ac:dyDescent="0.25">
      <c r="V109" s="87">
        <v>443</v>
      </c>
      <c r="W109" s="88">
        <f>VLOOKUP(V109,'BD1'!$A$2:$AF$1139,31,0)</f>
        <v>8</v>
      </c>
      <c r="X109" s="88">
        <f>VLOOKUP(V109,'BD2'!$A$2:$AF$1139,31,0)</f>
        <v>8</v>
      </c>
      <c r="Y109" s="89" t="str">
        <f t="shared" si="24"/>
        <v>Se mantiene</v>
      </c>
    </row>
    <row r="110" spans="22:25" x14ac:dyDescent="0.25">
      <c r="V110" s="90">
        <v>445</v>
      </c>
      <c r="W110" s="91">
        <f>VLOOKUP(V110,'BD1'!$A$2:$AF$1139,31,0)</f>
        <v>8</v>
      </c>
      <c r="X110" s="91">
        <f>VLOOKUP(V110,'BD2'!$A$2:$AF$1139,31,0)</f>
        <v>8</v>
      </c>
      <c r="Y110" s="92" t="str">
        <f t="shared" si="24"/>
        <v>Se mantiene</v>
      </c>
    </row>
    <row r="111" spans="22:25" x14ac:dyDescent="0.25">
      <c r="V111" s="87">
        <v>447</v>
      </c>
      <c r="W111" s="88">
        <f>VLOOKUP(V111,'BD1'!$A$2:$AF$1139,31,0)</f>
        <v>7</v>
      </c>
      <c r="X111" s="88">
        <f>VLOOKUP(V111,'BD2'!$A$2:$AF$1139,31,0)</f>
        <v>7</v>
      </c>
      <c r="Y111" s="89" t="str">
        <f t="shared" si="24"/>
        <v>Se mantiene</v>
      </c>
    </row>
    <row r="112" spans="22:25" x14ac:dyDescent="0.25">
      <c r="V112" s="90">
        <v>458</v>
      </c>
      <c r="W112" s="91">
        <f>VLOOKUP(V112,'BD1'!$A$2:$AF$1139,31,0)</f>
        <v>6</v>
      </c>
      <c r="X112" s="91">
        <f>VLOOKUP(V112,'BD2'!$A$2:$AF$1139,31,0)</f>
        <v>8</v>
      </c>
      <c r="Y112" s="92" t="str">
        <f t="shared" si="24"/>
        <v>Mejoría</v>
      </c>
    </row>
    <row r="113" spans="22:25" x14ac:dyDescent="0.25">
      <c r="V113" s="87">
        <v>465</v>
      </c>
      <c r="W113" s="88">
        <f>VLOOKUP(V113,'BD1'!$A$2:$AF$1139,31,0)</f>
        <v>8</v>
      </c>
      <c r="X113" s="88">
        <f>VLOOKUP(V113,'BD2'!$A$2:$AF$1139,31,0)</f>
        <v>7</v>
      </c>
      <c r="Y113" s="89" t="str">
        <f t="shared" si="24"/>
        <v>Pérdida</v>
      </c>
    </row>
    <row r="114" spans="22:25" x14ac:dyDescent="0.25">
      <c r="V114" s="90">
        <v>468</v>
      </c>
      <c r="W114" s="91">
        <f>VLOOKUP(V114,'BD1'!$A$2:$AF$1139,31,0)</f>
        <v>8</v>
      </c>
      <c r="X114" s="91">
        <f>VLOOKUP(V114,'BD2'!$A$2:$AF$1139,31,0)</f>
        <v>8</v>
      </c>
      <c r="Y114" s="92" t="str">
        <f t="shared" si="24"/>
        <v>Se mantiene</v>
      </c>
    </row>
    <row r="115" spans="22:25" x14ac:dyDescent="0.25">
      <c r="V115" s="87">
        <v>478</v>
      </c>
      <c r="W115" s="88">
        <f>VLOOKUP(V115,'BD1'!$A$2:$AF$1139,31,0)</f>
        <v>5</v>
      </c>
      <c r="X115" s="88">
        <f>VLOOKUP(V115,'BD2'!$A$2:$AF$1139,31,0)</f>
        <v>8</v>
      </c>
      <c r="Y115" s="89" t="str">
        <f t="shared" si="24"/>
        <v>Mejoría</v>
      </c>
    </row>
    <row r="116" spans="22:25" x14ac:dyDescent="0.25">
      <c r="V116" s="90">
        <v>479</v>
      </c>
      <c r="W116" s="91">
        <f>VLOOKUP(V116,'BD1'!$A$2:$AF$1139,31,0)</f>
        <v>4</v>
      </c>
      <c r="X116" s="91">
        <f>VLOOKUP(V116,'BD2'!$A$2:$AF$1139,31,0)</f>
        <v>0</v>
      </c>
      <c r="Y116" s="92" t="str">
        <f t="shared" si="24"/>
        <v>Pérdida</v>
      </c>
    </row>
    <row r="117" spans="22:25" x14ac:dyDescent="0.25">
      <c r="V117" s="87">
        <v>487</v>
      </c>
      <c r="W117" s="88">
        <f>VLOOKUP(V117,'BD1'!$A$2:$AF$1139,31,0)</f>
        <v>7</v>
      </c>
      <c r="X117" s="88">
        <f>VLOOKUP(V117,'BD2'!$A$2:$AF$1139,31,0)</f>
        <v>8</v>
      </c>
      <c r="Y117" s="89" t="str">
        <f t="shared" si="24"/>
        <v>Mejoría</v>
      </c>
    </row>
    <row r="118" spans="22:25" x14ac:dyDescent="0.25">
      <c r="V118" s="90">
        <v>488</v>
      </c>
      <c r="W118" s="91">
        <f>VLOOKUP(V118,'BD1'!$A$2:$AF$1139,31,0)</f>
        <v>8</v>
      </c>
      <c r="X118" s="91">
        <f>VLOOKUP(V118,'BD2'!$A$2:$AF$1139,31,0)</f>
        <v>0</v>
      </c>
      <c r="Y118" s="92" t="str">
        <f t="shared" si="24"/>
        <v>Pérdida</v>
      </c>
    </row>
    <row r="119" spans="22:25" x14ac:dyDescent="0.25">
      <c r="V119" s="87">
        <v>489</v>
      </c>
      <c r="W119" s="88">
        <f>VLOOKUP(V119,'BD1'!$A$2:$AF$1139,31,0)</f>
        <v>7</v>
      </c>
      <c r="X119" s="88">
        <f>VLOOKUP(V119,'BD2'!$A$2:$AF$1139,31,0)</f>
        <v>7</v>
      </c>
      <c r="Y119" s="89" t="str">
        <f t="shared" si="24"/>
        <v>Se mantiene</v>
      </c>
    </row>
    <row r="120" spans="22:25" x14ac:dyDescent="0.25">
      <c r="V120" s="90">
        <v>491</v>
      </c>
      <c r="W120" s="91">
        <f>VLOOKUP(V120,'BD1'!$A$2:$AF$1139,31,0)</f>
        <v>8</v>
      </c>
      <c r="X120" s="91">
        <f>VLOOKUP(V120,'BD2'!$A$2:$AF$1139,31,0)</f>
        <v>7</v>
      </c>
      <c r="Y120" s="92" t="str">
        <f t="shared" si="24"/>
        <v>Pérdida</v>
      </c>
    </row>
    <row r="121" spans="22:25" x14ac:dyDescent="0.25">
      <c r="V121" s="87">
        <v>499</v>
      </c>
      <c r="W121" s="88">
        <f>VLOOKUP(V121,'BD1'!$A$2:$AF$1139,31,0)</f>
        <v>7</v>
      </c>
      <c r="X121" s="88">
        <f>VLOOKUP(V121,'BD2'!$A$2:$AF$1139,31,0)</f>
        <v>8</v>
      </c>
      <c r="Y121" s="89" t="str">
        <f t="shared" si="24"/>
        <v>Mejoría</v>
      </c>
    </row>
    <row r="122" spans="22:25" x14ac:dyDescent="0.25">
      <c r="V122" s="90">
        <v>500</v>
      </c>
      <c r="W122" s="91">
        <f>VLOOKUP(V122,'BD1'!$A$2:$AF$1139,31,0)</f>
        <v>8</v>
      </c>
      <c r="X122" s="91">
        <f>VLOOKUP(V122,'BD2'!$A$2:$AF$1139,31,0)</f>
        <v>8</v>
      </c>
      <c r="Y122" s="92" t="str">
        <f t="shared" si="24"/>
        <v>Se mantiene</v>
      </c>
    </row>
    <row r="123" spans="22:25" x14ac:dyDescent="0.25">
      <c r="V123" s="87">
        <v>504</v>
      </c>
      <c r="W123" s="88">
        <f>VLOOKUP(V123,'BD1'!$A$2:$AF$1139,31,0)</f>
        <v>0</v>
      </c>
      <c r="X123" s="88">
        <f>VLOOKUP(V123,'BD2'!$A$2:$AF$1139,31,0)</f>
        <v>8</v>
      </c>
      <c r="Y123" s="89" t="str">
        <f t="shared" si="24"/>
        <v>Mejoría</v>
      </c>
    </row>
    <row r="124" spans="22:25" x14ac:dyDescent="0.25">
      <c r="V124" s="90">
        <v>524</v>
      </c>
      <c r="W124" s="91">
        <f>VLOOKUP(V124,'BD1'!$A$2:$AF$1139,31,0)</f>
        <v>8</v>
      </c>
      <c r="X124" s="91">
        <f>VLOOKUP(V124,'BD2'!$A$2:$AF$1139,31,0)</f>
        <v>8</v>
      </c>
      <c r="Y124" s="92" t="str">
        <f t="shared" si="24"/>
        <v>Se mantiene</v>
      </c>
    </row>
    <row r="125" spans="22:25" x14ac:dyDescent="0.25">
      <c r="V125" s="87">
        <v>537</v>
      </c>
      <c r="W125" s="88">
        <f>VLOOKUP(V125,'BD1'!$A$2:$AF$1139,31,0)</f>
        <v>8</v>
      </c>
      <c r="X125" s="88">
        <f>VLOOKUP(V125,'BD2'!$A$2:$AF$1139,31,0)</f>
        <v>8</v>
      </c>
      <c r="Y125" s="89" t="str">
        <f t="shared" si="24"/>
        <v>Se mantiene</v>
      </c>
    </row>
    <row r="126" spans="22:25" x14ac:dyDescent="0.25">
      <c r="V126" s="90">
        <v>552</v>
      </c>
      <c r="W126" s="91">
        <f>VLOOKUP(V126,'BD1'!$A$2:$AF$1139,31,0)</f>
        <v>8</v>
      </c>
      <c r="X126" s="91">
        <f>VLOOKUP(V126,'BD2'!$A$2:$AF$1139,31,0)</f>
        <v>8</v>
      </c>
      <c r="Y126" s="92" t="str">
        <f t="shared" si="24"/>
        <v>Se mantiene</v>
      </c>
    </row>
    <row r="127" spans="22:25" x14ac:dyDescent="0.25">
      <c r="V127" s="87">
        <v>557</v>
      </c>
      <c r="W127" s="88">
        <f>VLOOKUP(V127,'BD1'!$A$2:$AF$1139,31,0)</f>
        <v>0</v>
      </c>
      <c r="X127" s="88">
        <f>VLOOKUP(V127,'BD2'!$A$2:$AF$1139,31,0)</f>
        <v>8</v>
      </c>
      <c r="Y127" s="89" t="str">
        <f t="shared" si="24"/>
        <v>Mejoría</v>
      </c>
    </row>
    <row r="128" spans="22:25" x14ac:dyDescent="0.25">
      <c r="V128" s="90">
        <v>558</v>
      </c>
      <c r="W128" s="91">
        <f>VLOOKUP(V128,'BD1'!$A$2:$AF$1139,31,0)</f>
        <v>8</v>
      </c>
      <c r="X128" s="91">
        <f>VLOOKUP(V128,'BD2'!$A$2:$AF$1139,31,0)</f>
        <v>8</v>
      </c>
      <c r="Y128" s="92" t="str">
        <f t="shared" si="24"/>
        <v>Se mantiene</v>
      </c>
    </row>
    <row r="129" spans="22:25" x14ac:dyDescent="0.25">
      <c r="V129" s="87">
        <v>559</v>
      </c>
      <c r="W129" s="88">
        <f>VLOOKUP(V129,'BD1'!$A$2:$AF$1139,31,0)</f>
        <v>8</v>
      </c>
      <c r="X129" s="88">
        <f>VLOOKUP(V129,'BD2'!$A$2:$AF$1139,31,0)</f>
        <v>8</v>
      </c>
      <c r="Y129" s="89" t="str">
        <f t="shared" si="24"/>
        <v>Se mantiene</v>
      </c>
    </row>
    <row r="130" spans="22:25" x14ac:dyDescent="0.25">
      <c r="V130" s="90">
        <v>563</v>
      </c>
      <c r="W130" s="91">
        <f>VLOOKUP(V130,'BD1'!$A$2:$AF$1139,31,0)</f>
        <v>7</v>
      </c>
      <c r="X130" s="91">
        <f>VLOOKUP(V130,'BD2'!$A$2:$AF$1139,31,0)</f>
        <v>8</v>
      </c>
      <c r="Y130" s="92" t="str">
        <f t="shared" si="24"/>
        <v>Mejoría</v>
      </c>
    </row>
    <row r="131" spans="22:25" x14ac:dyDescent="0.25">
      <c r="V131" s="87">
        <v>564</v>
      </c>
      <c r="W131" s="88">
        <f>VLOOKUP(V131,'BD1'!$A$2:$AF$1139,31,0)</f>
        <v>8</v>
      </c>
      <c r="X131" s="88">
        <f>VLOOKUP(V131,'BD2'!$A$2:$AF$1139,31,0)</f>
        <v>7</v>
      </c>
      <c r="Y131" s="89" t="str">
        <f t="shared" si="24"/>
        <v>Pérdida</v>
      </c>
    </row>
    <row r="132" spans="22:25" x14ac:dyDescent="0.25">
      <c r="V132" s="90">
        <v>569</v>
      </c>
      <c r="W132" s="91">
        <f>VLOOKUP(V132,'BD1'!$A$2:$AF$1139,31,0)</f>
        <v>8</v>
      </c>
      <c r="X132" s="91">
        <f>VLOOKUP(V132,'BD2'!$A$2:$AF$1139,31,0)</f>
        <v>8</v>
      </c>
      <c r="Y132" s="92" t="str">
        <f t="shared" ref="Y132:Y195" si="37">IF(X132&gt;W132,"Mejoría",IF(X132&lt;W132,"Pérdida","Se mantiene"))</f>
        <v>Se mantiene</v>
      </c>
    </row>
    <row r="133" spans="22:25" x14ac:dyDescent="0.25">
      <c r="V133" s="87">
        <v>570</v>
      </c>
      <c r="W133" s="88">
        <f>VLOOKUP(V133,'BD1'!$A$2:$AF$1139,31,0)</f>
        <v>8</v>
      </c>
      <c r="X133" s="88">
        <f>VLOOKUP(V133,'BD2'!$A$2:$AF$1139,31,0)</f>
        <v>4</v>
      </c>
      <c r="Y133" s="89" t="str">
        <f t="shared" si="37"/>
        <v>Pérdida</v>
      </c>
    </row>
    <row r="134" spans="22:25" x14ac:dyDescent="0.25">
      <c r="V134" s="90">
        <v>575</v>
      </c>
      <c r="W134" s="91">
        <f>VLOOKUP(V134,'BD1'!$A$2:$AF$1139,31,0)</f>
        <v>8</v>
      </c>
      <c r="X134" s="91">
        <f>VLOOKUP(V134,'BD2'!$A$2:$AF$1139,31,0)</f>
        <v>8</v>
      </c>
      <c r="Y134" s="92" t="str">
        <f t="shared" si="37"/>
        <v>Se mantiene</v>
      </c>
    </row>
    <row r="135" spans="22:25" x14ac:dyDescent="0.25">
      <c r="V135" s="87">
        <v>577</v>
      </c>
      <c r="W135" s="88">
        <f>VLOOKUP(V135,'BD1'!$A$2:$AF$1139,31,0)</f>
        <v>8</v>
      </c>
      <c r="X135" s="88">
        <f>VLOOKUP(V135,'BD2'!$A$2:$AF$1139,31,0)</f>
        <v>0</v>
      </c>
      <c r="Y135" s="89" t="str">
        <f t="shared" si="37"/>
        <v>Pérdida</v>
      </c>
    </row>
    <row r="136" spans="22:25" x14ac:dyDescent="0.25">
      <c r="V136" s="90">
        <v>591</v>
      </c>
      <c r="W136" s="91">
        <f>VLOOKUP(V136,'BD1'!$A$2:$AF$1139,31,0)</f>
        <v>8</v>
      </c>
      <c r="X136" s="91">
        <f>VLOOKUP(V136,'BD2'!$A$2:$AF$1139,31,0)</f>
        <v>8</v>
      </c>
      <c r="Y136" s="92" t="str">
        <f t="shared" si="37"/>
        <v>Se mantiene</v>
      </c>
    </row>
    <row r="137" spans="22:25" x14ac:dyDescent="0.25">
      <c r="V137" s="87">
        <v>592</v>
      </c>
      <c r="W137" s="88">
        <f>VLOOKUP(V137,'BD1'!$A$2:$AF$1139,31,0)</f>
        <v>8</v>
      </c>
      <c r="X137" s="88">
        <f>VLOOKUP(V137,'BD2'!$A$2:$AF$1139,31,0)</f>
        <v>8</v>
      </c>
      <c r="Y137" s="89" t="str">
        <f t="shared" si="37"/>
        <v>Se mantiene</v>
      </c>
    </row>
    <row r="138" spans="22:25" x14ac:dyDescent="0.25">
      <c r="V138" s="90">
        <v>599</v>
      </c>
      <c r="W138" s="91">
        <f>VLOOKUP(V138,'BD1'!$A$2:$AF$1139,31,0)</f>
        <v>8</v>
      </c>
      <c r="X138" s="91">
        <f>VLOOKUP(V138,'BD2'!$A$2:$AF$1139,31,0)</f>
        <v>8</v>
      </c>
      <c r="Y138" s="92" t="str">
        <f t="shared" si="37"/>
        <v>Se mantiene</v>
      </c>
    </row>
    <row r="139" spans="22:25" x14ac:dyDescent="0.25">
      <c r="V139" s="87">
        <v>601</v>
      </c>
      <c r="W139" s="88">
        <f>VLOOKUP(V139,'BD1'!$A$2:$AF$1139,31,0)</f>
        <v>8</v>
      </c>
      <c r="X139" s="88">
        <f>VLOOKUP(V139,'BD2'!$A$2:$AF$1139,31,0)</f>
        <v>7</v>
      </c>
      <c r="Y139" s="89" t="str">
        <f t="shared" si="37"/>
        <v>Pérdida</v>
      </c>
    </row>
    <row r="140" spans="22:25" x14ac:dyDescent="0.25">
      <c r="V140" s="90">
        <v>602</v>
      </c>
      <c r="W140" s="91">
        <f>VLOOKUP(V140,'BD1'!$A$2:$AF$1139,31,0)</f>
        <v>8</v>
      </c>
      <c r="X140" s="91">
        <f>VLOOKUP(V140,'BD2'!$A$2:$AF$1139,31,0)</f>
        <v>0</v>
      </c>
      <c r="Y140" s="92" t="str">
        <f t="shared" si="37"/>
        <v>Pérdida</v>
      </c>
    </row>
    <row r="141" spans="22:25" x14ac:dyDescent="0.25">
      <c r="V141" s="87">
        <v>606</v>
      </c>
      <c r="W141" s="88">
        <f>VLOOKUP(V141,'BD1'!$A$2:$AF$1139,31,0)</f>
        <v>8</v>
      </c>
      <c r="X141" s="88">
        <f>VLOOKUP(V141,'BD2'!$A$2:$AF$1139,31,0)</f>
        <v>8</v>
      </c>
      <c r="Y141" s="89" t="str">
        <f t="shared" si="37"/>
        <v>Se mantiene</v>
      </c>
    </row>
    <row r="142" spans="22:25" x14ac:dyDescent="0.25">
      <c r="V142" s="90">
        <v>632</v>
      </c>
      <c r="W142" s="91">
        <f>VLOOKUP(V142,'BD1'!$A$2:$AF$1139,31,0)</f>
        <v>8</v>
      </c>
      <c r="X142" s="91">
        <f>VLOOKUP(V142,'BD2'!$A$2:$AF$1139,31,0)</f>
        <v>8</v>
      </c>
      <c r="Y142" s="92" t="str">
        <f t="shared" si="37"/>
        <v>Se mantiene</v>
      </c>
    </row>
    <row r="143" spans="22:25" x14ac:dyDescent="0.25">
      <c r="V143" s="87">
        <v>635</v>
      </c>
      <c r="W143" s="88">
        <f>VLOOKUP(V143,'BD1'!$A$2:$AF$1139,31,0)</f>
        <v>8</v>
      </c>
      <c r="X143" s="88">
        <f>VLOOKUP(V143,'BD2'!$A$2:$AF$1139,31,0)</f>
        <v>8</v>
      </c>
      <c r="Y143" s="89" t="str">
        <f t="shared" si="37"/>
        <v>Se mantiene</v>
      </c>
    </row>
    <row r="144" spans="22:25" x14ac:dyDescent="0.25">
      <c r="V144" s="90">
        <v>636</v>
      </c>
      <c r="W144" s="91">
        <f>VLOOKUP(V144,'BD1'!$A$2:$AF$1139,31,0)</f>
        <v>8</v>
      </c>
      <c r="X144" s="91">
        <f>VLOOKUP(V144,'BD2'!$A$2:$AF$1139,31,0)</f>
        <v>8</v>
      </c>
      <c r="Y144" s="92" t="str">
        <f t="shared" si="37"/>
        <v>Se mantiene</v>
      </c>
    </row>
    <row r="145" spans="22:25" x14ac:dyDescent="0.25">
      <c r="V145" s="87">
        <v>638</v>
      </c>
      <c r="W145" s="88">
        <f>VLOOKUP(V145,'BD1'!$A$2:$AF$1139,31,0)</f>
        <v>8</v>
      </c>
      <c r="X145" s="88">
        <f>VLOOKUP(V145,'BD2'!$A$2:$AF$1139,31,0)</f>
        <v>4</v>
      </c>
      <c r="Y145" s="89" t="str">
        <f t="shared" si="37"/>
        <v>Pérdida</v>
      </c>
    </row>
    <row r="146" spans="22:25" x14ac:dyDescent="0.25">
      <c r="V146" s="90">
        <v>640</v>
      </c>
      <c r="W146" s="91">
        <f>VLOOKUP(V146,'BD1'!$A$2:$AF$1139,31,0)</f>
        <v>8</v>
      </c>
      <c r="X146" s="91">
        <f>VLOOKUP(V146,'BD2'!$A$2:$AF$1139,31,0)</f>
        <v>3</v>
      </c>
      <c r="Y146" s="92" t="str">
        <f t="shared" si="37"/>
        <v>Pérdida</v>
      </c>
    </row>
    <row r="147" spans="22:25" x14ac:dyDescent="0.25">
      <c r="V147" s="87">
        <v>642</v>
      </c>
      <c r="W147" s="88">
        <f>VLOOKUP(V147,'BD1'!$A$2:$AF$1139,31,0)</f>
        <v>3</v>
      </c>
      <c r="X147" s="88">
        <f>VLOOKUP(V147,'BD2'!$A$2:$AF$1139,31,0)</f>
        <v>4</v>
      </c>
      <c r="Y147" s="89" t="str">
        <f t="shared" si="37"/>
        <v>Mejoría</v>
      </c>
    </row>
    <row r="148" spans="22:25" x14ac:dyDescent="0.25">
      <c r="V148" s="90">
        <v>650</v>
      </c>
      <c r="W148" s="91">
        <f>VLOOKUP(V148,'BD1'!$A$2:$AF$1139,31,0)</f>
        <v>8</v>
      </c>
      <c r="X148" s="91">
        <f>VLOOKUP(V148,'BD2'!$A$2:$AF$1139,31,0)</f>
        <v>8</v>
      </c>
      <c r="Y148" s="92" t="str">
        <f t="shared" si="37"/>
        <v>Se mantiene</v>
      </c>
    </row>
    <row r="149" spans="22:25" x14ac:dyDescent="0.25">
      <c r="V149" s="87">
        <v>652</v>
      </c>
      <c r="W149" s="88">
        <f>VLOOKUP(V149,'BD1'!$A$2:$AF$1139,31,0)</f>
        <v>8</v>
      </c>
      <c r="X149" s="88">
        <f>VLOOKUP(V149,'BD2'!$A$2:$AF$1139,31,0)</f>
        <v>7</v>
      </c>
      <c r="Y149" s="89" t="str">
        <f t="shared" si="37"/>
        <v>Pérdida</v>
      </c>
    </row>
    <row r="150" spans="22:25" x14ac:dyDescent="0.25">
      <c r="V150" s="90">
        <v>653</v>
      </c>
      <c r="W150" s="91">
        <f>VLOOKUP(V150,'BD1'!$A$2:$AF$1139,31,0)</f>
        <v>8</v>
      </c>
      <c r="X150" s="91">
        <f>VLOOKUP(V150,'BD2'!$A$2:$AF$1139,31,0)</f>
        <v>8</v>
      </c>
      <c r="Y150" s="92" t="str">
        <f t="shared" si="37"/>
        <v>Se mantiene</v>
      </c>
    </row>
    <row r="151" spans="22:25" x14ac:dyDescent="0.25">
      <c r="V151" s="87">
        <v>663</v>
      </c>
      <c r="W151" s="88">
        <f>VLOOKUP(V151,'BD1'!$A$2:$AF$1139,31,0)</f>
        <v>8</v>
      </c>
      <c r="X151" s="88">
        <f>VLOOKUP(V151,'BD2'!$A$2:$AF$1139,31,0)</f>
        <v>8</v>
      </c>
      <c r="Y151" s="89" t="str">
        <f t="shared" si="37"/>
        <v>Se mantiene</v>
      </c>
    </row>
    <row r="152" spans="22:25" x14ac:dyDescent="0.25">
      <c r="V152" s="90">
        <v>670</v>
      </c>
      <c r="W152" s="91">
        <f>VLOOKUP(V152,'BD1'!$A$2:$AF$1139,31,0)</f>
        <v>8</v>
      </c>
      <c r="X152" s="91">
        <f>VLOOKUP(V152,'BD2'!$A$2:$AF$1139,31,0)</f>
        <v>8</v>
      </c>
      <c r="Y152" s="92" t="str">
        <f t="shared" si="37"/>
        <v>Se mantiene</v>
      </c>
    </row>
    <row r="153" spans="22:25" x14ac:dyDescent="0.25">
      <c r="V153" s="87">
        <v>679</v>
      </c>
      <c r="W153" s="88">
        <f>VLOOKUP(V153,'BD1'!$A$2:$AF$1139,31,0)</f>
        <v>8</v>
      </c>
      <c r="X153" s="88">
        <f>VLOOKUP(V153,'BD2'!$A$2:$AF$1139,31,0)</f>
        <v>6</v>
      </c>
      <c r="Y153" s="89" t="str">
        <f t="shared" si="37"/>
        <v>Pérdida</v>
      </c>
    </row>
    <row r="154" spans="22:25" x14ac:dyDescent="0.25">
      <c r="V154" s="90">
        <v>685</v>
      </c>
      <c r="W154" s="91">
        <f>VLOOKUP(V154,'BD1'!$A$2:$AF$1139,31,0)</f>
        <v>8</v>
      </c>
      <c r="X154" s="91">
        <f>VLOOKUP(V154,'BD2'!$A$2:$AF$1139,31,0)</f>
        <v>8</v>
      </c>
      <c r="Y154" s="92" t="str">
        <f t="shared" si="37"/>
        <v>Se mantiene</v>
      </c>
    </row>
    <row r="155" spans="22:25" x14ac:dyDescent="0.25">
      <c r="V155" s="87">
        <v>705</v>
      </c>
      <c r="W155" s="88">
        <f>VLOOKUP(V155,'BD1'!$A$2:$AF$1139,31,0)</f>
        <v>8</v>
      </c>
      <c r="X155" s="88">
        <f>VLOOKUP(V155,'BD2'!$A$2:$AF$1139,31,0)</f>
        <v>7</v>
      </c>
      <c r="Y155" s="89" t="str">
        <f t="shared" si="37"/>
        <v>Pérdida</v>
      </c>
    </row>
    <row r="156" spans="22:25" x14ac:dyDescent="0.25">
      <c r="V156" s="90">
        <v>706</v>
      </c>
      <c r="W156" s="91">
        <f>VLOOKUP(V156,'BD1'!$A$2:$AF$1139,31,0)</f>
        <v>7</v>
      </c>
      <c r="X156" s="91">
        <f>VLOOKUP(V156,'BD2'!$A$2:$AF$1139,31,0)</f>
        <v>8</v>
      </c>
      <c r="Y156" s="92" t="str">
        <f t="shared" si="37"/>
        <v>Mejoría</v>
      </c>
    </row>
    <row r="157" spans="22:25" x14ac:dyDescent="0.25">
      <c r="V157" s="87">
        <v>707</v>
      </c>
      <c r="W157" s="88">
        <f>VLOOKUP(V157,'BD1'!$A$2:$AF$1139,31,0)</f>
        <v>7</v>
      </c>
      <c r="X157" s="88">
        <f>VLOOKUP(V157,'BD2'!$A$2:$AF$1139,31,0)</f>
        <v>8</v>
      </c>
      <c r="Y157" s="89" t="str">
        <f t="shared" si="37"/>
        <v>Mejoría</v>
      </c>
    </row>
    <row r="158" spans="22:25" x14ac:dyDescent="0.25">
      <c r="V158" s="90">
        <v>708</v>
      </c>
      <c r="W158" s="91">
        <f>VLOOKUP(V158,'BD1'!$A$2:$AF$1139,31,0)</f>
        <v>8</v>
      </c>
      <c r="X158" s="91">
        <f>VLOOKUP(V158,'BD2'!$A$2:$AF$1139,31,0)</f>
        <v>8</v>
      </c>
      <c r="Y158" s="92" t="str">
        <f t="shared" si="37"/>
        <v>Se mantiene</v>
      </c>
    </row>
    <row r="159" spans="22:25" x14ac:dyDescent="0.25">
      <c r="V159" s="87">
        <v>709</v>
      </c>
      <c r="W159" s="88">
        <f>VLOOKUP(V159,'BD1'!$A$2:$AF$1139,31,0)</f>
        <v>8</v>
      </c>
      <c r="X159" s="88">
        <f>VLOOKUP(V159,'BD2'!$A$2:$AF$1139,31,0)</f>
        <v>7</v>
      </c>
      <c r="Y159" s="89" t="str">
        <f t="shared" si="37"/>
        <v>Pérdida</v>
      </c>
    </row>
    <row r="160" spans="22:25" x14ac:dyDescent="0.25">
      <c r="V160" s="90">
        <v>710</v>
      </c>
      <c r="W160" s="91">
        <f>VLOOKUP(V160,'BD1'!$A$2:$AF$1139,31,0)</f>
        <v>8</v>
      </c>
      <c r="X160" s="91">
        <f>VLOOKUP(V160,'BD2'!$A$2:$AF$1139,31,0)</f>
        <v>8</v>
      </c>
      <c r="Y160" s="92" t="str">
        <f t="shared" si="37"/>
        <v>Se mantiene</v>
      </c>
    </row>
    <row r="161" spans="22:25" x14ac:dyDescent="0.25">
      <c r="V161" s="87">
        <v>713</v>
      </c>
      <c r="W161" s="88">
        <f>VLOOKUP(V161,'BD1'!$A$2:$AF$1139,31,0)</f>
        <v>8</v>
      </c>
      <c r="X161" s="88">
        <f>VLOOKUP(V161,'BD2'!$A$2:$AF$1139,31,0)</f>
        <v>8</v>
      </c>
      <c r="Y161" s="89" t="str">
        <f t="shared" si="37"/>
        <v>Se mantiene</v>
      </c>
    </row>
    <row r="162" spans="22:25" x14ac:dyDescent="0.25">
      <c r="V162" s="90">
        <v>716</v>
      </c>
      <c r="W162" s="91">
        <f>VLOOKUP(V162,'BD1'!$A$2:$AF$1139,31,0)</f>
        <v>7</v>
      </c>
      <c r="X162" s="91">
        <f>VLOOKUP(V162,'BD2'!$A$2:$AF$1139,31,0)</f>
        <v>0</v>
      </c>
      <c r="Y162" s="92" t="str">
        <f t="shared" si="37"/>
        <v>Pérdida</v>
      </c>
    </row>
    <row r="163" spans="22:25" x14ac:dyDescent="0.25">
      <c r="V163" s="87">
        <v>722</v>
      </c>
      <c r="W163" s="88">
        <f>VLOOKUP(V163,'BD1'!$A$2:$AF$1139,31,0)</f>
        <v>4</v>
      </c>
      <c r="X163" s="88">
        <f>VLOOKUP(V163,'BD2'!$A$2:$AF$1139,31,0)</f>
        <v>8</v>
      </c>
      <c r="Y163" s="89" t="str">
        <f t="shared" si="37"/>
        <v>Mejoría</v>
      </c>
    </row>
    <row r="164" spans="22:25" x14ac:dyDescent="0.25">
      <c r="V164" s="90">
        <v>764</v>
      </c>
      <c r="W164" s="91">
        <f>VLOOKUP(V164,'BD1'!$A$2:$AF$1139,31,0)</f>
        <v>7</v>
      </c>
      <c r="X164" s="91">
        <f>VLOOKUP(V164,'BD2'!$A$2:$AF$1139,31,0)</f>
        <v>8</v>
      </c>
      <c r="Y164" s="92" t="str">
        <f t="shared" si="37"/>
        <v>Mejoría</v>
      </c>
    </row>
    <row r="165" spans="22:25" x14ac:dyDescent="0.25">
      <c r="V165" s="87">
        <v>804</v>
      </c>
      <c r="W165" s="88">
        <f>VLOOKUP(V165,'BD1'!$A$2:$AF$1139,31,0)</f>
        <v>8</v>
      </c>
      <c r="X165" s="88">
        <f>VLOOKUP(V165,'BD2'!$A$2:$AF$1139,31,0)</f>
        <v>4</v>
      </c>
      <c r="Y165" s="89" t="str">
        <f t="shared" si="37"/>
        <v>Pérdida</v>
      </c>
    </row>
    <row r="166" spans="22:25" x14ac:dyDescent="0.25">
      <c r="V166" s="90">
        <v>811</v>
      </c>
      <c r="W166" s="91">
        <f>VLOOKUP(V166,'BD1'!$A$2:$AF$1139,31,0)</f>
        <v>8</v>
      </c>
      <c r="X166" s="91">
        <f>VLOOKUP(V166,'BD2'!$A$2:$AF$1139,31,0)</f>
        <v>8</v>
      </c>
      <c r="Y166" s="92" t="str">
        <f t="shared" si="37"/>
        <v>Se mantiene</v>
      </c>
    </row>
    <row r="167" spans="22:25" x14ac:dyDescent="0.25">
      <c r="V167" s="87">
        <v>812</v>
      </c>
      <c r="W167" s="88">
        <f>VLOOKUP(V167,'BD1'!$A$2:$AF$1139,31,0)</f>
        <v>8</v>
      </c>
      <c r="X167" s="88">
        <f>VLOOKUP(V167,'BD2'!$A$2:$AF$1139,31,0)</f>
        <v>8</v>
      </c>
      <c r="Y167" s="89" t="str">
        <f t="shared" si="37"/>
        <v>Se mantiene</v>
      </c>
    </row>
    <row r="168" spans="22:25" x14ac:dyDescent="0.25">
      <c r="V168" s="90">
        <v>821</v>
      </c>
      <c r="W168" s="91">
        <f>VLOOKUP(V168,'BD1'!$A$2:$AF$1139,31,0)</f>
        <v>8</v>
      </c>
      <c r="X168" s="91">
        <f>VLOOKUP(V168,'BD2'!$A$2:$AF$1139,31,0)</f>
        <v>8</v>
      </c>
      <c r="Y168" s="92" t="str">
        <f t="shared" si="37"/>
        <v>Se mantiene</v>
      </c>
    </row>
    <row r="169" spans="22:25" x14ac:dyDescent="0.25">
      <c r="V169" s="87">
        <v>822</v>
      </c>
      <c r="W169" s="88">
        <f>VLOOKUP(V169,'BD1'!$A$2:$AF$1139,31,0)</f>
        <v>8</v>
      </c>
      <c r="X169" s="88">
        <f>VLOOKUP(V169,'BD2'!$A$2:$AF$1139,31,0)</f>
        <v>8</v>
      </c>
      <c r="Y169" s="89" t="str">
        <f t="shared" si="37"/>
        <v>Se mantiene</v>
      </c>
    </row>
    <row r="170" spans="22:25" x14ac:dyDescent="0.25">
      <c r="V170" s="90">
        <v>882</v>
      </c>
      <c r="W170" s="91">
        <f>VLOOKUP(V170,'BD1'!$A$2:$AF$1139,31,0)</f>
        <v>3</v>
      </c>
      <c r="X170" s="91">
        <f>VLOOKUP(V170,'BD2'!$A$2:$AF$1139,31,0)</f>
        <v>7</v>
      </c>
      <c r="Y170" s="92" t="str">
        <f t="shared" si="37"/>
        <v>Mejoría</v>
      </c>
    </row>
    <row r="171" spans="22:25" x14ac:dyDescent="0.25">
      <c r="V171" s="87">
        <v>898</v>
      </c>
      <c r="W171" s="88">
        <f>VLOOKUP(V171,'BD1'!$A$2:$AF$1139,31,0)</f>
        <v>8</v>
      </c>
      <c r="X171" s="88">
        <f>VLOOKUP(V171,'BD2'!$A$2:$AF$1139,31,0)</f>
        <v>8</v>
      </c>
      <c r="Y171" s="89" t="str">
        <f t="shared" si="37"/>
        <v>Se mantiene</v>
      </c>
    </row>
    <row r="172" spans="22:25" x14ac:dyDescent="0.25">
      <c r="V172" s="90">
        <v>911</v>
      </c>
      <c r="W172" s="91">
        <f>VLOOKUP(V172,'BD1'!$A$2:$AF$1139,31,0)</f>
        <v>8</v>
      </c>
      <c r="X172" s="91">
        <f>VLOOKUP(V172,'BD2'!$A$2:$AF$1139,31,0)</f>
        <v>8</v>
      </c>
      <c r="Y172" s="92" t="str">
        <f t="shared" si="37"/>
        <v>Se mantiene</v>
      </c>
    </row>
    <row r="173" spans="22:25" x14ac:dyDescent="0.25">
      <c r="V173" s="87">
        <v>916</v>
      </c>
      <c r="W173" s="88">
        <f>VLOOKUP(V173,'BD1'!$A$2:$AF$1139,31,0)</f>
        <v>0</v>
      </c>
      <c r="X173" s="88">
        <f>VLOOKUP(V173,'BD2'!$A$2:$AF$1139,31,0)</f>
        <v>4</v>
      </c>
      <c r="Y173" s="89" t="str">
        <f t="shared" si="37"/>
        <v>Mejoría</v>
      </c>
    </row>
    <row r="174" spans="22:25" x14ac:dyDescent="0.25">
      <c r="V174" s="90">
        <v>928</v>
      </c>
      <c r="W174" s="91">
        <f>VLOOKUP(V174,'BD1'!$A$2:$AF$1139,31,0)</f>
        <v>8</v>
      </c>
      <c r="X174" s="91">
        <f>VLOOKUP(V174,'BD2'!$A$2:$AF$1139,31,0)</f>
        <v>8</v>
      </c>
      <c r="Y174" s="92" t="str">
        <f t="shared" si="37"/>
        <v>Se mantiene</v>
      </c>
    </row>
    <row r="175" spans="22:25" x14ac:dyDescent="0.25">
      <c r="V175" s="87">
        <v>933</v>
      </c>
      <c r="W175" s="88">
        <f>VLOOKUP(V175,'BD1'!$A$2:$AF$1139,31,0)</f>
        <v>7</v>
      </c>
      <c r="X175" s="88">
        <f>VLOOKUP(V175,'BD2'!$A$2:$AF$1139,31,0)</f>
        <v>4</v>
      </c>
      <c r="Y175" s="89" t="str">
        <f t="shared" si="37"/>
        <v>Pérdida</v>
      </c>
    </row>
    <row r="176" spans="22:25" x14ac:dyDescent="0.25">
      <c r="V176" s="90">
        <v>952</v>
      </c>
      <c r="W176" s="91">
        <f>VLOOKUP(V176,'BD1'!$A$2:$AF$1139,31,0)</f>
        <v>7</v>
      </c>
      <c r="X176" s="91">
        <f>VLOOKUP(V176,'BD2'!$A$2:$AF$1139,31,0)</f>
        <v>6</v>
      </c>
      <c r="Y176" s="92" t="str">
        <f t="shared" si="37"/>
        <v>Pérdida</v>
      </c>
    </row>
    <row r="177" spans="22:25" x14ac:dyDescent="0.25">
      <c r="V177" s="87">
        <v>953</v>
      </c>
      <c r="W177" s="88">
        <f>VLOOKUP(V177,'BD1'!$A$2:$AF$1139,31,0)</f>
        <v>6</v>
      </c>
      <c r="X177" s="88">
        <f>VLOOKUP(V177,'BD2'!$A$2:$AF$1139,31,0)</f>
        <v>8</v>
      </c>
      <c r="Y177" s="89" t="str">
        <f t="shared" si="37"/>
        <v>Mejoría</v>
      </c>
    </row>
    <row r="178" spans="22:25" x14ac:dyDescent="0.25">
      <c r="V178" s="90">
        <v>966</v>
      </c>
      <c r="W178" s="91">
        <f>VLOOKUP(V178,'BD1'!$A$2:$AF$1139,31,0)</f>
        <v>7</v>
      </c>
      <c r="X178" s="91">
        <f>VLOOKUP(V178,'BD2'!$A$2:$AF$1139,31,0)</f>
        <v>8</v>
      </c>
      <c r="Y178" s="92" t="str">
        <f t="shared" si="37"/>
        <v>Mejoría</v>
      </c>
    </row>
    <row r="179" spans="22:25" x14ac:dyDescent="0.25">
      <c r="V179" s="87">
        <v>967</v>
      </c>
      <c r="W179" s="88">
        <f>VLOOKUP(V179,'BD1'!$A$2:$AF$1139,31,0)</f>
        <v>8</v>
      </c>
      <c r="X179" s="88">
        <f>VLOOKUP(V179,'BD2'!$A$2:$AF$1139,31,0)</f>
        <v>8</v>
      </c>
      <c r="Y179" s="89" t="str">
        <f t="shared" si="37"/>
        <v>Se mantiene</v>
      </c>
    </row>
    <row r="180" spans="22:25" x14ac:dyDescent="0.25">
      <c r="V180" s="90">
        <v>968</v>
      </c>
      <c r="W180" s="91">
        <f>VLOOKUP(V180,'BD1'!$A$2:$AF$1139,31,0)</f>
        <v>8</v>
      </c>
      <c r="X180" s="91">
        <f>VLOOKUP(V180,'BD2'!$A$2:$AF$1139,31,0)</f>
        <v>8</v>
      </c>
      <c r="Y180" s="92" t="str">
        <f t="shared" si="37"/>
        <v>Se mantiene</v>
      </c>
    </row>
    <row r="181" spans="22:25" x14ac:dyDescent="0.25">
      <c r="V181" s="87">
        <v>969</v>
      </c>
      <c r="W181" s="88">
        <f>VLOOKUP(V181,'BD1'!$A$2:$AF$1139,31,0)</f>
        <v>7</v>
      </c>
      <c r="X181" s="88">
        <f>VLOOKUP(V181,'BD2'!$A$2:$AF$1139,31,0)</f>
        <v>8</v>
      </c>
      <c r="Y181" s="89" t="str">
        <f t="shared" si="37"/>
        <v>Mejoría</v>
      </c>
    </row>
    <row r="182" spans="22:25" x14ac:dyDescent="0.25">
      <c r="V182" s="90">
        <v>971</v>
      </c>
      <c r="W182" s="91">
        <f>VLOOKUP(V182,'BD1'!$A$2:$AF$1139,31,0)</f>
        <v>7</v>
      </c>
      <c r="X182" s="91">
        <f>VLOOKUP(V182,'BD2'!$A$2:$AF$1139,31,0)</f>
        <v>8</v>
      </c>
      <c r="Y182" s="92" t="str">
        <f t="shared" si="37"/>
        <v>Mejoría</v>
      </c>
    </row>
    <row r="183" spans="22:25" x14ac:dyDescent="0.25">
      <c r="V183" s="87">
        <v>972</v>
      </c>
      <c r="W183" s="88">
        <f>VLOOKUP(V183,'BD1'!$A$2:$AF$1139,31,0)</f>
        <v>8</v>
      </c>
      <c r="X183" s="88">
        <f>VLOOKUP(V183,'BD2'!$A$2:$AF$1139,31,0)</f>
        <v>8</v>
      </c>
      <c r="Y183" s="89" t="str">
        <f t="shared" si="37"/>
        <v>Se mantiene</v>
      </c>
    </row>
    <row r="184" spans="22:25" x14ac:dyDescent="0.25">
      <c r="V184" s="90">
        <v>973</v>
      </c>
      <c r="W184" s="91">
        <f>VLOOKUP(V184,'BD1'!$A$2:$AF$1139,31,0)</f>
        <v>8</v>
      </c>
      <c r="X184" s="91">
        <f>VLOOKUP(V184,'BD2'!$A$2:$AF$1139,31,0)</f>
        <v>8</v>
      </c>
      <c r="Y184" s="92" t="str">
        <f t="shared" si="37"/>
        <v>Se mantiene</v>
      </c>
    </row>
    <row r="185" spans="22:25" x14ac:dyDescent="0.25">
      <c r="V185" s="87">
        <v>975</v>
      </c>
      <c r="W185" s="88">
        <f>VLOOKUP(V185,'BD1'!$A$2:$AF$1139,31,0)</f>
        <v>8</v>
      </c>
      <c r="X185" s="88">
        <f>VLOOKUP(V185,'BD2'!$A$2:$AF$1139,31,0)</f>
        <v>8</v>
      </c>
      <c r="Y185" s="89" t="str">
        <f t="shared" si="37"/>
        <v>Se mantiene</v>
      </c>
    </row>
    <row r="186" spans="22:25" x14ac:dyDescent="0.25">
      <c r="V186" s="90">
        <v>976</v>
      </c>
      <c r="W186" s="91">
        <f>VLOOKUP(V186,'BD1'!$A$2:$AF$1139,31,0)</f>
        <v>8</v>
      </c>
      <c r="X186" s="91">
        <f>VLOOKUP(V186,'BD2'!$A$2:$AF$1139,31,0)</f>
        <v>8</v>
      </c>
      <c r="Y186" s="92" t="str">
        <f t="shared" si="37"/>
        <v>Se mantiene</v>
      </c>
    </row>
    <row r="187" spans="22:25" x14ac:dyDescent="0.25">
      <c r="V187" s="87">
        <v>978</v>
      </c>
      <c r="W187" s="88">
        <f>VLOOKUP(V187,'BD1'!$A$2:$AF$1139,31,0)</f>
        <v>8</v>
      </c>
      <c r="X187" s="88">
        <f>VLOOKUP(V187,'BD2'!$A$2:$AF$1139,31,0)</f>
        <v>8</v>
      </c>
      <c r="Y187" s="89" t="str">
        <f t="shared" si="37"/>
        <v>Se mantiene</v>
      </c>
    </row>
    <row r="188" spans="22:25" x14ac:dyDescent="0.25">
      <c r="V188" s="90">
        <v>981</v>
      </c>
      <c r="W188" s="91">
        <f>VLOOKUP(V188,'BD1'!$A$2:$AF$1139,31,0)</f>
        <v>8</v>
      </c>
      <c r="X188" s="91">
        <f>VLOOKUP(V188,'BD2'!$A$2:$AF$1139,31,0)</f>
        <v>0</v>
      </c>
      <c r="Y188" s="92" t="str">
        <f t="shared" si="37"/>
        <v>Pérdida</v>
      </c>
    </row>
    <row r="189" spans="22:25" x14ac:dyDescent="0.25">
      <c r="V189" s="87">
        <v>982</v>
      </c>
      <c r="W189" s="88">
        <f>VLOOKUP(V189,'BD1'!$A$2:$AF$1139,31,0)</f>
        <v>8</v>
      </c>
      <c r="X189" s="88">
        <f>VLOOKUP(V189,'BD2'!$A$2:$AF$1139,31,0)</f>
        <v>8</v>
      </c>
      <c r="Y189" s="89" t="str">
        <f t="shared" si="37"/>
        <v>Se mantiene</v>
      </c>
    </row>
    <row r="190" spans="22:25" x14ac:dyDescent="0.25">
      <c r="V190" s="90">
        <v>984</v>
      </c>
      <c r="W190" s="91">
        <f>VLOOKUP(V190,'BD1'!$A$2:$AF$1139,31,0)</f>
        <v>8</v>
      </c>
      <c r="X190" s="91">
        <f>VLOOKUP(V190,'BD2'!$A$2:$AF$1139,31,0)</f>
        <v>3</v>
      </c>
      <c r="Y190" s="92" t="str">
        <f t="shared" si="37"/>
        <v>Pérdida</v>
      </c>
    </row>
    <row r="191" spans="22:25" x14ac:dyDescent="0.25">
      <c r="V191" s="87">
        <v>985</v>
      </c>
      <c r="W191" s="88">
        <f>VLOOKUP(V191,'BD1'!$A$2:$AF$1139,31,0)</f>
        <v>8</v>
      </c>
      <c r="X191" s="88">
        <f>VLOOKUP(V191,'BD2'!$A$2:$AF$1139,31,0)</f>
        <v>8</v>
      </c>
      <c r="Y191" s="89" t="str">
        <f t="shared" si="37"/>
        <v>Se mantiene</v>
      </c>
    </row>
    <row r="192" spans="22:25" x14ac:dyDescent="0.25">
      <c r="V192" s="90">
        <v>987</v>
      </c>
      <c r="W192" s="91">
        <f>VLOOKUP(V192,'BD1'!$A$2:$AF$1139,31,0)</f>
        <v>8</v>
      </c>
      <c r="X192" s="91">
        <f>VLOOKUP(V192,'BD2'!$A$2:$AF$1139,31,0)</f>
        <v>8</v>
      </c>
      <c r="Y192" s="92" t="str">
        <f t="shared" si="37"/>
        <v>Se mantiene</v>
      </c>
    </row>
    <row r="193" spans="22:25" x14ac:dyDescent="0.25">
      <c r="V193" s="87">
        <v>990</v>
      </c>
      <c r="W193" s="88">
        <f>VLOOKUP(V193,'BD1'!$A$2:$AF$1139,31,0)</f>
        <v>8</v>
      </c>
      <c r="X193" s="88">
        <f>VLOOKUP(V193,'BD2'!$A$2:$AF$1139,31,0)</f>
        <v>8</v>
      </c>
      <c r="Y193" s="89" t="str">
        <f t="shared" si="37"/>
        <v>Se mantiene</v>
      </c>
    </row>
    <row r="194" spans="22:25" x14ac:dyDescent="0.25">
      <c r="V194" s="90">
        <v>991</v>
      </c>
      <c r="W194" s="91">
        <f>VLOOKUP(V194,'BD1'!$A$2:$AF$1139,31,0)</f>
        <v>7</v>
      </c>
      <c r="X194" s="91">
        <f>VLOOKUP(V194,'BD2'!$A$2:$AF$1139,31,0)</f>
        <v>8</v>
      </c>
      <c r="Y194" s="92" t="str">
        <f t="shared" si="37"/>
        <v>Mejoría</v>
      </c>
    </row>
    <row r="195" spans="22:25" x14ac:dyDescent="0.25">
      <c r="V195" s="87">
        <v>992</v>
      </c>
      <c r="W195" s="88">
        <f>VLOOKUP(V195,'BD1'!$A$2:$AF$1139,31,0)</f>
        <v>8</v>
      </c>
      <c r="X195" s="88">
        <f>VLOOKUP(V195,'BD2'!$A$2:$AF$1139,31,0)</f>
        <v>8</v>
      </c>
      <c r="Y195" s="89" t="str">
        <f t="shared" si="37"/>
        <v>Se mantiene</v>
      </c>
    </row>
    <row r="196" spans="22:25" x14ac:dyDescent="0.25">
      <c r="V196" s="90">
        <v>995</v>
      </c>
      <c r="W196" s="91">
        <f>VLOOKUP(V196,'BD1'!$A$2:$AF$1139,31,0)</f>
        <v>8</v>
      </c>
      <c r="X196" s="91">
        <f>VLOOKUP(V196,'BD2'!$A$2:$AF$1139,31,0)</f>
        <v>8</v>
      </c>
      <c r="Y196" s="92" t="str">
        <f t="shared" ref="Y196:Y259" si="38">IF(X196&gt;W196,"Mejoría",IF(X196&lt;W196,"Pérdida","Se mantiene"))</f>
        <v>Se mantiene</v>
      </c>
    </row>
    <row r="197" spans="22:25" x14ac:dyDescent="0.25">
      <c r="V197" s="87">
        <v>1002</v>
      </c>
      <c r="W197" s="88">
        <f>VLOOKUP(V197,'BD1'!$A$2:$AF$1139,31,0)</f>
        <v>8</v>
      </c>
      <c r="X197" s="88">
        <f>VLOOKUP(V197,'BD2'!$A$2:$AF$1139,31,0)</f>
        <v>8</v>
      </c>
      <c r="Y197" s="89" t="str">
        <f t="shared" si="38"/>
        <v>Se mantiene</v>
      </c>
    </row>
    <row r="198" spans="22:25" x14ac:dyDescent="0.25">
      <c r="V198" s="90">
        <v>1008</v>
      </c>
      <c r="W198" s="91">
        <f>VLOOKUP(V198,'BD1'!$A$2:$AF$1139,31,0)</f>
        <v>8</v>
      </c>
      <c r="X198" s="91">
        <f>VLOOKUP(V198,'BD2'!$A$2:$AF$1139,31,0)</f>
        <v>1</v>
      </c>
      <c r="Y198" s="92" t="str">
        <f t="shared" si="38"/>
        <v>Pérdida</v>
      </c>
    </row>
    <row r="199" spans="22:25" x14ac:dyDescent="0.25">
      <c r="V199" s="87">
        <v>1016</v>
      </c>
      <c r="W199" s="88">
        <f>VLOOKUP(V199,'BD1'!$A$2:$AF$1139,31,0)</f>
        <v>8</v>
      </c>
      <c r="X199" s="88">
        <f>VLOOKUP(V199,'BD2'!$A$2:$AF$1139,31,0)</f>
        <v>8</v>
      </c>
      <c r="Y199" s="89" t="str">
        <f t="shared" si="38"/>
        <v>Se mantiene</v>
      </c>
    </row>
    <row r="200" spans="22:25" x14ac:dyDescent="0.25">
      <c r="V200" s="90">
        <v>1017</v>
      </c>
      <c r="W200" s="91">
        <f>VLOOKUP(V200,'BD1'!$A$2:$AF$1139,31,0)</f>
        <v>8</v>
      </c>
      <c r="X200" s="91">
        <f>VLOOKUP(V200,'BD2'!$A$2:$AF$1139,31,0)</f>
        <v>7</v>
      </c>
      <c r="Y200" s="92" t="str">
        <f t="shared" si="38"/>
        <v>Pérdida</v>
      </c>
    </row>
    <row r="201" spans="22:25" x14ac:dyDescent="0.25">
      <c r="V201" s="87">
        <v>1034</v>
      </c>
      <c r="W201" s="88">
        <f>VLOOKUP(V201,'BD1'!$A$2:$AF$1139,31,0)</f>
        <v>8</v>
      </c>
      <c r="X201" s="88">
        <f>VLOOKUP(V201,'BD2'!$A$2:$AF$1139,31,0)</f>
        <v>5</v>
      </c>
      <c r="Y201" s="89" t="str">
        <f t="shared" si="38"/>
        <v>Pérdida</v>
      </c>
    </row>
    <row r="202" spans="22:25" x14ac:dyDescent="0.25">
      <c r="V202" s="90">
        <v>1035</v>
      </c>
      <c r="W202" s="91">
        <f>VLOOKUP(V202,'BD1'!$A$2:$AF$1139,31,0)</f>
        <v>8</v>
      </c>
      <c r="X202" s="91">
        <f>VLOOKUP(V202,'BD2'!$A$2:$AF$1139,31,0)</f>
        <v>8</v>
      </c>
      <c r="Y202" s="92" t="str">
        <f t="shared" si="38"/>
        <v>Se mantiene</v>
      </c>
    </row>
    <row r="203" spans="22:25" x14ac:dyDescent="0.25">
      <c r="V203" s="87">
        <v>1039</v>
      </c>
      <c r="W203" s="88">
        <f>VLOOKUP(V203,'BD1'!$A$2:$AF$1139,31,0)</f>
        <v>8</v>
      </c>
      <c r="X203" s="88">
        <f>VLOOKUP(V203,'BD2'!$A$2:$AF$1139,31,0)</f>
        <v>8</v>
      </c>
      <c r="Y203" s="89" t="str">
        <f t="shared" si="38"/>
        <v>Se mantiene</v>
      </c>
    </row>
    <row r="204" spans="22:25" x14ac:dyDescent="0.25">
      <c r="V204" s="90">
        <v>1040</v>
      </c>
      <c r="W204" s="91">
        <f>VLOOKUP(V204,'BD1'!$A$2:$AF$1139,31,0)</f>
        <v>7</v>
      </c>
      <c r="X204" s="91">
        <f>VLOOKUP(V204,'BD2'!$A$2:$AF$1139,31,0)</f>
        <v>6</v>
      </c>
      <c r="Y204" s="92" t="str">
        <f t="shared" si="38"/>
        <v>Pérdida</v>
      </c>
    </row>
    <row r="205" spans="22:25" x14ac:dyDescent="0.25">
      <c r="V205" s="87">
        <v>1042</v>
      </c>
      <c r="W205" s="88">
        <f>VLOOKUP(V205,'BD1'!$A$2:$AF$1139,31,0)</f>
        <v>8</v>
      </c>
      <c r="X205" s="88">
        <f>VLOOKUP(V205,'BD2'!$A$2:$AF$1139,31,0)</f>
        <v>8</v>
      </c>
      <c r="Y205" s="89" t="str">
        <f t="shared" si="38"/>
        <v>Se mantiene</v>
      </c>
    </row>
    <row r="206" spans="22:25" x14ac:dyDescent="0.25">
      <c r="V206" s="90">
        <v>1047</v>
      </c>
      <c r="W206" s="91">
        <f>VLOOKUP(V206,'BD1'!$A$2:$AF$1139,31,0)</f>
        <v>8</v>
      </c>
      <c r="X206" s="91">
        <f>VLOOKUP(V206,'BD2'!$A$2:$AF$1139,31,0)</f>
        <v>8</v>
      </c>
      <c r="Y206" s="92" t="str">
        <f t="shared" si="38"/>
        <v>Se mantiene</v>
      </c>
    </row>
    <row r="207" spans="22:25" x14ac:dyDescent="0.25">
      <c r="V207" s="87">
        <v>1061</v>
      </c>
      <c r="W207" s="88" t="e">
        <f>VLOOKUP(V207,'BD1'!$A$2:$AF$1139,31,0)</f>
        <v>#N/A</v>
      </c>
      <c r="X207" s="88" t="e">
        <f>VLOOKUP(V207,'BD2'!$A$2:$AF$1139,31,0)</f>
        <v>#N/A</v>
      </c>
      <c r="Y207" s="89" t="e">
        <f t="shared" si="38"/>
        <v>#N/A</v>
      </c>
    </row>
    <row r="208" spans="22:25" x14ac:dyDescent="0.25">
      <c r="V208" s="90">
        <v>1064</v>
      </c>
      <c r="W208" s="91">
        <f>VLOOKUP(V208,'BD1'!$A$2:$AF$1139,31,0)</f>
        <v>7</v>
      </c>
      <c r="X208" s="91">
        <f>VLOOKUP(V208,'BD2'!$A$2:$AF$1139,31,0)</f>
        <v>5</v>
      </c>
      <c r="Y208" s="92" t="str">
        <f t="shared" si="38"/>
        <v>Pérdida</v>
      </c>
    </row>
    <row r="209" spans="22:25" x14ac:dyDescent="0.25">
      <c r="V209" s="87">
        <v>1066</v>
      </c>
      <c r="W209" s="88">
        <f>VLOOKUP(V209,'BD1'!$A$2:$AF$1139,31,0)</f>
        <v>7</v>
      </c>
      <c r="X209" s="88">
        <f>VLOOKUP(V209,'BD2'!$A$2:$AF$1139,31,0)</f>
        <v>6</v>
      </c>
      <c r="Y209" s="89" t="str">
        <f t="shared" si="38"/>
        <v>Pérdida</v>
      </c>
    </row>
    <row r="210" spans="22:25" x14ac:dyDescent="0.25">
      <c r="V210" s="90">
        <v>1068</v>
      </c>
      <c r="W210" s="91">
        <f>VLOOKUP(V210,'BD1'!$A$2:$AF$1139,31,0)</f>
        <v>8</v>
      </c>
      <c r="X210" s="91">
        <f>VLOOKUP(V210,'BD2'!$A$2:$AF$1139,31,0)</f>
        <v>7</v>
      </c>
      <c r="Y210" s="92" t="str">
        <f t="shared" si="38"/>
        <v>Pérdida</v>
      </c>
    </row>
    <row r="211" spans="22:25" x14ac:dyDescent="0.25">
      <c r="V211" s="87">
        <v>1071</v>
      </c>
      <c r="W211" s="88">
        <f>VLOOKUP(V211,'BD1'!$A$2:$AF$1139,31,0)</f>
        <v>8</v>
      </c>
      <c r="X211" s="88">
        <f>VLOOKUP(V211,'BD2'!$A$2:$AF$1139,31,0)</f>
        <v>8</v>
      </c>
      <c r="Y211" s="89" t="str">
        <f t="shared" si="38"/>
        <v>Se mantiene</v>
      </c>
    </row>
    <row r="212" spans="22:25" x14ac:dyDescent="0.25">
      <c r="V212" s="90">
        <v>1077</v>
      </c>
      <c r="W212" s="91">
        <f>VLOOKUP(V212,'BD1'!$A$2:$AF$1139,31,0)</f>
        <v>7</v>
      </c>
      <c r="X212" s="91">
        <f>VLOOKUP(V212,'BD2'!$A$2:$AF$1139,31,0)</f>
        <v>8</v>
      </c>
      <c r="Y212" s="92" t="str">
        <f t="shared" si="38"/>
        <v>Mejoría</v>
      </c>
    </row>
    <row r="213" spans="22:25" x14ac:dyDescent="0.25">
      <c r="V213" s="87">
        <v>1086</v>
      </c>
      <c r="W213" s="88">
        <f>VLOOKUP(V213,'BD1'!$A$2:$AF$1139,31,0)</f>
        <v>7</v>
      </c>
      <c r="X213" s="88">
        <f>VLOOKUP(V213,'BD2'!$A$2:$AF$1139,31,0)</f>
        <v>8</v>
      </c>
      <c r="Y213" s="89" t="str">
        <f t="shared" si="38"/>
        <v>Mejoría</v>
      </c>
    </row>
    <row r="214" spans="22:25" x14ac:dyDescent="0.25">
      <c r="V214" s="90">
        <v>1095</v>
      </c>
      <c r="W214" s="91">
        <f>VLOOKUP(V214,'BD1'!$A$2:$AF$1139,31,0)</f>
        <v>0</v>
      </c>
      <c r="X214" s="91">
        <f>VLOOKUP(V214,'BD2'!$A$2:$AF$1139,31,0)</f>
        <v>6</v>
      </c>
      <c r="Y214" s="92" t="str">
        <f t="shared" si="38"/>
        <v>Mejoría</v>
      </c>
    </row>
    <row r="215" spans="22:25" x14ac:dyDescent="0.25">
      <c r="V215" s="87">
        <v>1105</v>
      </c>
      <c r="W215" s="88">
        <f>VLOOKUP(V215,'BD1'!$A$2:$AF$1139,31,0)</f>
        <v>7</v>
      </c>
      <c r="X215" s="88">
        <f>VLOOKUP(V215,'BD2'!$A$2:$AF$1139,31,0)</f>
        <v>8</v>
      </c>
      <c r="Y215" s="89" t="str">
        <f t="shared" si="38"/>
        <v>Mejoría</v>
      </c>
    </row>
    <row r="216" spans="22:25" x14ac:dyDescent="0.25">
      <c r="V216" s="90">
        <v>1110</v>
      </c>
      <c r="W216" s="91">
        <f>VLOOKUP(V216,'BD1'!$A$2:$AF$1139,31,0)</f>
        <v>8</v>
      </c>
      <c r="X216" s="91">
        <f>VLOOKUP(V216,'BD2'!$A$2:$AF$1139,31,0)</f>
        <v>8</v>
      </c>
      <c r="Y216" s="92" t="str">
        <f t="shared" si="38"/>
        <v>Se mantiene</v>
      </c>
    </row>
    <row r="217" spans="22:25" x14ac:dyDescent="0.25">
      <c r="V217" s="87">
        <v>1121</v>
      </c>
      <c r="W217" s="88">
        <f>VLOOKUP(V217,'BD1'!$A$2:$AF$1139,31,0)</f>
        <v>8</v>
      </c>
      <c r="X217" s="88">
        <f>VLOOKUP(V217,'BD2'!$A$2:$AF$1139,31,0)</f>
        <v>8</v>
      </c>
      <c r="Y217" s="89" t="str">
        <f t="shared" si="38"/>
        <v>Se mantiene</v>
      </c>
    </row>
    <row r="218" spans="22:25" x14ac:dyDescent="0.25">
      <c r="V218" s="90" t="s">
        <v>1406</v>
      </c>
      <c r="W218" s="91">
        <f>VLOOKUP(V218,'BD1'!$A$2:$AF$1139,31,0)</f>
        <v>8</v>
      </c>
      <c r="X218" s="91">
        <f>VLOOKUP(V218,'BD2'!$A$2:$AF$1139,31,0)</f>
        <v>7</v>
      </c>
      <c r="Y218" s="92" t="str">
        <f t="shared" si="38"/>
        <v>Pérdida</v>
      </c>
    </row>
    <row r="219" spans="22:25" x14ac:dyDescent="0.25">
      <c r="V219" s="87" t="s">
        <v>1405</v>
      </c>
      <c r="W219" s="88">
        <f>VLOOKUP(V219,'BD1'!$A$2:$AF$1139,31,0)</f>
        <v>8</v>
      </c>
      <c r="X219" s="88">
        <f>VLOOKUP(V219,'BD2'!$A$2:$AF$1139,31,0)</f>
        <v>7</v>
      </c>
      <c r="Y219" s="89" t="str">
        <f t="shared" si="38"/>
        <v>Pérdida</v>
      </c>
    </row>
    <row r="220" spans="22:25" x14ac:dyDescent="0.25">
      <c r="V220" s="90">
        <v>28</v>
      </c>
      <c r="W220" s="91">
        <f>VLOOKUP(V220,'BD1'!$A$2:$AF$1139,31,0)</f>
        <v>8</v>
      </c>
      <c r="X220" s="91">
        <f>VLOOKUP(V220,'BD2'!$A$2:$AF$1139,31,0)</f>
        <v>7</v>
      </c>
      <c r="Y220" s="92" t="str">
        <f t="shared" si="38"/>
        <v>Pérdida</v>
      </c>
    </row>
    <row r="221" spans="22:25" x14ac:dyDescent="0.25">
      <c r="V221" s="87">
        <v>29</v>
      </c>
      <c r="W221" s="88">
        <f>VLOOKUP(V221,'BD1'!$A$2:$AF$1139,31,0)</f>
        <v>7</v>
      </c>
      <c r="X221" s="88">
        <f>VLOOKUP(V221,'BD2'!$A$2:$AF$1139,31,0)</f>
        <v>7</v>
      </c>
      <c r="Y221" s="89" t="str">
        <f t="shared" si="38"/>
        <v>Se mantiene</v>
      </c>
    </row>
    <row r="222" spans="22:25" x14ac:dyDescent="0.25">
      <c r="V222" s="90">
        <v>30</v>
      </c>
      <c r="W222" s="91">
        <f>VLOOKUP(V222,'BD1'!$A$2:$AF$1139,31,0)</f>
        <v>8</v>
      </c>
      <c r="X222" s="91">
        <f>VLOOKUP(V222,'BD2'!$A$2:$AF$1139,31,0)</f>
        <v>7</v>
      </c>
      <c r="Y222" s="92" t="str">
        <f t="shared" si="38"/>
        <v>Pérdida</v>
      </c>
    </row>
    <row r="223" spans="22:25" x14ac:dyDescent="0.25">
      <c r="V223" s="87">
        <v>31</v>
      </c>
      <c r="W223" s="88">
        <f>VLOOKUP(V223,'BD1'!$A$2:$AF$1139,31,0)</f>
        <v>8</v>
      </c>
      <c r="X223" s="88">
        <f>VLOOKUP(V223,'BD2'!$A$2:$AF$1139,31,0)</f>
        <v>7</v>
      </c>
      <c r="Y223" s="89" t="str">
        <f t="shared" si="38"/>
        <v>Pérdida</v>
      </c>
    </row>
    <row r="224" spans="22:25" x14ac:dyDescent="0.25">
      <c r="V224" s="90">
        <v>32</v>
      </c>
      <c r="W224" s="91">
        <f>VLOOKUP(V224,'BD1'!$A$2:$AF$1139,31,0)</f>
        <v>8</v>
      </c>
      <c r="X224" s="91">
        <f>VLOOKUP(V224,'BD2'!$A$2:$AF$1139,31,0)</f>
        <v>7</v>
      </c>
      <c r="Y224" s="92" t="str">
        <f t="shared" si="38"/>
        <v>Pérdida</v>
      </c>
    </row>
    <row r="225" spans="22:25" x14ac:dyDescent="0.25">
      <c r="V225" s="87">
        <v>33</v>
      </c>
      <c r="W225" s="88">
        <f>VLOOKUP(V225,'BD1'!$A$2:$AF$1139,31,0)</f>
        <v>8</v>
      </c>
      <c r="X225" s="88">
        <f>VLOOKUP(V225,'BD2'!$A$2:$AF$1139,31,0)</f>
        <v>7</v>
      </c>
      <c r="Y225" s="89" t="str">
        <f t="shared" si="38"/>
        <v>Pérdida</v>
      </c>
    </row>
    <row r="226" spans="22:25" x14ac:dyDescent="0.25">
      <c r="V226" s="90">
        <v>34</v>
      </c>
      <c r="W226" s="91">
        <f>VLOOKUP(V226,'BD1'!$A$2:$AF$1139,31,0)</f>
        <v>8</v>
      </c>
      <c r="X226" s="91">
        <f>VLOOKUP(V226,'BD2'!$A$2:$AF$1139,31,0)</f>
        <v>7</v>
      </c>
      <c r="Y226" s="92" t="str">
        <f t="shared" si="38"/>
        <v>Pérdida</v>
      </c>
    </row>
    <row r="227" spans="22:25" x14ac:dyDescent="0.25">
      <c r="V227" s="87">
        <v>35</v>
      </c>
      <c r="W227" s="88">
        <f>VLOOKUP(V227,'BD1'!$A$2:$AF$1139,31,0)</f>
        <v>8</v>
      </c>
      <c r="X227" s="88">
        <f>VLOOKUP(V227,'BD2'!$A$2:$AF$1139,31,0)</f>
        <v>7</v>
      </c>
      <c r="Y227" s="89" t="str">
        <f t="shared" si="38"/>
        <v>Pérdida</v>
      </c>
    </row>
    <row r="228" spans="22:25" x14ac:dyDescent="0.25">
      <c r="V228" s="90">
        <v>36</v>
      </c>
      <c r="W228" s="91">
        <f>VLOOKUP(V228,'BD1'!$A$2:$AF$1139,31,0)</f>
        <v>8</v>
      </c>
      <c r="X228" s="91">
        <f>VLOOKUP(V228,'BD2'!$A$2:$AF$1139,31,0)</f>
        <v>7</v>
      </c>
      <c r="Y228" s="92" t="str">
        <f t="shared" si="38"/>
        <v>Pérdida</v>
      </c>
    </row>
    <row r="229" spans="22:25" x14ac:dyDescent="0.25">
      <c r="V229" s="87">
        <v>104</v>
      </c>
      <c r="W229" s="88">
        <f>VLOOKUP(V229,'BD1'!$A$2:$AF$1139,31,0)</f>
        <v>0</v>
      </c>
      <c r="X229" s="88">
        <f>VLOOKUP(V229,'BD2'!$A$2:$AF$1139,31,0)</f>
        <v>7</v>
      </c>
      <c r="Y229" s="89" t="str">
        <f t="shared" si="38"/>
        <v>Mejoría</v>
      </c>
    </row>
    <row r="230" spans="22:25" x14ac:dyDescent="0.25">
      <c r="V230" s="90">
        <v>121</v>
      </c>
      <c r="W230" s="91">
        <f>VLOOKUP(V230,'BD1'!$A$2:$AF$1139,31,0)</f>
        <v>5</v>
      </c>
      <c r="X230" s="91">
        <f>VLOOKUP(V230,'BD2'!$A$2:$AF$1139,31,0)</f>
        <v>7</v>
      </c>
      <c r="Y230" s="92" t="str">
        <f t="shared" si="38"/>
        <v>Mejoría</v>
      </c>
    </row>
    <row r="231" spans="22:25" x14ac:dyDescent="0.25">
      <c r="V231" s="87">
        <v>150</v>
      </c>
      <c r="W231" s="88">
        <f>VLOOKUP(V231,'BD1'!$A$2:$AF$1139,31,0)</f>
        <v>8</v>
      </c>
      <c r="X231" s="88">
        <f>VLOOKUP(V231,'BD2'!$A$2:$AF$1139,31,0)</f>
        <v>7</v>
      </c>
      <c r="Y231" s="89" t="str">
        <f t="shared" si="38"/>
        <v>Pérdida</v>
      </c>
    </row>
    <row r="232" spans="22:25" x14ac:dyDescent="0.25">
      <c r="V232" s="90">
        <v>160</v>
      </c>
      <c r="W232" s="91">
        <f>VLOOKUP(V232,'BD1'!$A$2:$AF$1139,31,0)</f>
        <v>7</v>
      </c>
      <c r="X232" s="91">
        <f>VLOOKUP(V232,'BD2'!$A$2:$AF$1139,31,0)</f>
        <v>7</v>
      </c>
      <c r="Y232" s="92" t="str">
        <f t="shared" si="38"/>
        <v>Se mantiene</v>
      </c>
    </row>
    <row r="233" spans="22:25" x14ac:dyDescent="0.25">
      <c r="V233" s="87">
        <v>161</v>
      </c>
      <c r="W233" s="88">
        <f>VLOOKUP(V233,'BD1'!$A$2:$AF$1139,31,0)</f>
        <v>8</v>
      </c>
      <c r="X233" s="88">
        <f>VLOOKUP(V233,'BD2'!$A$2:$AF$1139,31,0)</f>
        <v>7</v>
      </c>
      <c r="Y233" s="89" t="str">
        <f t="shared" si="38"/>
        <v>Pérdida</v>
      </c>
    </row>
    <row r="234" spans="22:25" x14ac:dyDescent="0.25">
      <c r="V234" s="90">
        <v>209</v>
      </c>
      <c r="W234" s="91">
        <f>VLOOKUP(V234,'BD1'!$A$2:$AF$1139,31,0)</f>
        <v>8</v>
      </c>
      <c r="X234" s="91">
        <f>VLOOKUP(V234,'BD2'!$A$2:$AF$1139,31,0)</f>
        <v>7</v>
      </c>
      <c r="Y234" s="92" t="str">
        <f t="shared" si="38"/>
        <v>Pérdida</v>
      </c>
    </row>
    <row r="235" spans="22:25" x14ac:dyDescent="0.25">
      <c r="V235" s="87">
        <v>251</v>
      </c>
      <c r="W235" s="88">
        <f>VLOOKUP(V235,'BD1'!$A$2:$AF$1139,31,0)</f>
        <v>8</v>
      </c>
      <c r="X235" s="88">
        <f>VLOOKUP(V235,'BD2'!$A$2:$AF$1139,31,0)</f>
        <v>7</v>
      </c>
      <c r="Y235" s="89" t="str">
        <f t="shared" si="38"/>
        <v>Pérdida</v>
      </c>
    </row>
    <row r="236" spans="22:25" x14ac:dyDescent="0.25">
      <c r="V236" s="90">
        <v>262</v>
      </c>
      <c r="W236" s="91">
        <f>VLOOKUP(V236,'BD1'!$A$2:$AF$1139,31,0)</f>
        <v>8</v>
      </c>
      <c r="X236" s="91">
        <f>VLOOKUP(V236,'BD2'!$A$2:$AF$1139,31,0)</f>
        <v>7</v>
      </c>
      <c r="Y236" s="92" t="str">
        <f t="shared" si="38"/>
        <v>Pérdida</v>
      </c>
    </row>
    <row r="237" spans="22:25" x14ac:dyDescent="0.25">
      <c r="V237" s="87">
        <v>300</v>
      </c>
      <c r="W237" s="88">
        <f>VLOOKUP(V237,'BD1'!$A$2:$AF$1139,31,0)</f>
        <v>7</v>
      </c>
      <c r="X237" s="88">
        <f>VLOOKUP(V237,'BD2'!$A$2:$AF$1139,31,0)</f>
        <v>7</v>
      </c>
      <c r="Y237" s="89" t="str">
        <f t="shared" si="38"/>
        <v>Se mantiene</v>
      </c>
    </row>
    <row r="238" spans="22:25" x14ac:dyDescent="0.25">
      <c r="V238" s="90">
        <v>301</v>
      </c>
      <c r="W238" s="91">
        <f>VLOOKUP(V238,'BD1'!$A$2:$AF$1139,31,0)</f>
        <v>8</v>
      </c>
      <c r="X238" s="91">
        <f>VLOOKUP(V238,'BD2'!$A$2:$AF$1139,31,0)</f>
        <v>7</v>
      </c>
      <c r="Y238" s="92" t="str">
        <f t="shared" si="38"/>
        <v>Pérdida</v>
      </c>
    </row>
    <row r="239" spans="22:25" x14ac:dyDescent="0.25">
      <c r="V239" s="87">
        <v>302</v>
      </c>
      <c r="W239" s="88">
        <f>VLOOKUP(V239,'BD1'!$A$2:$AF$1139,31,0)</f>
        <v>8</v>
      </c>
      <c r="X239" s="88">
        <f>VLOOKUP(V239,'BD2'!$A$2:$AF$1139,31,0)</f>
        <v>7</v>
      </c>
      <c r="Y239" s="89" t="str">
        <f t="shared" si="38"/>
        <v>Pérdida</v>
      </c>
    </row>
    <row r="240" spans="22:25" x14ac:dyDescent="0.25">
      <c r="V240" s="90">
        <v>303</v>
      </c>
      <c r="W240" s="91">
        <f>VLOOKUP(V240,'BD1'!$A$2:$AF$1139,31,0)</f>
        <v>0</v>
      </c>
      <c r="X240" s="91">
        <f>VLOOKUP(V240,'BD2'!$A$2:$AF$1139,31,0)</f>
        <v>7</v>
      </c>
      <c r="Y240" s="92" t="str">
        <f t="shared" si="38"/>
        <v>Mejoría</v>
      </c>
    </row>
    <row r="241" spans="22:25" x14ac:dyDescent="0.25">
      <c r="V241" s="87">
        <v>324</v>
      </c>
      <c r="W241" s="88">
        <f>VLOOKUP(V241,'BD1'!$A$2:$AF$1139,31,0)</f>
        <v>8</v>
      </c>
      <c r="X241" s="88">
        <f>VLOOKUP(V241,'BD2'!$A$2:$AF$1139,31,0)</f>
        <v>7</v>
      </c>
      <c r="Y241" s="89" t="str">
        <f t="shared" si="38"/>
        <v>Pérdida</v>
      </c>
    </row>
    <row r="242" spans="22:25" x14ac:dyDescent="0.25">
      <c r="V242" s="90">
        <v>373</v>
      </c>
      <c r="W242" s="91">
        <f>VLOOKUP(V242,'BD1'!$A$2:$AF$1139,31,0)</f>
        <v>3</v>
      </c>
      <c r="X242" s="91">
        <f>VLOOKUP(V242,'BD2'!$A$2:$AF$1139,31,0)</f>
        <v>7</v>
      </c>
      <c r="Y242" s="92" t="str">
        <f t="shared" si="38"/>
        <v>Mejoría</v>
      </c>
    </row>
    <row r="243" spans="22:25" x14ac:dyDescent="0.25">
      <c r="V243" s="87">
        <v>441</v>
      </c>
      <c r="W243" s="88">
        <f>VLOOKUP(V243,'BD1'!$A$2:$AF$1139,31,0)</f>
        <v>8</v>
      </c>
      <c r="X243" s="88">
        <f>VLOOKUP(V243,'BD2'!$A$2:$AF$1139,31,0)</f>
        <v>7</v>
      </c>
      <c r="Y243" s="89" t="str">
        <f t="shared" si="38"/>
        <v>Pérdida</v>
      </c>
    </row>
    <row r="244" spans="22:25" x14ac:dyDescent="0.25">
      <c r="V244" s="90">
        <v>444</v>
      </c>
      <c r="W244" s="91">
        <f>VLOOKUP(V244,'BD1'!$A$2:$AF$1139,31,0)</f>
        <v>8</v>
      </c>
      <c r="X244" s="91">
        <f>VLOOKUP(V244,'BD2'!$A$2:$AF$1139,31,0)</f>
        <v>7</v>
      </c>
      <c r="Y244" s="92" t="str">
        <f t="shared" si="38"/>
        <v>Pérdida</v>
      </c>
    </row>
    <row r="245" spans="22:25" x14ac:dyDescent="0.25">
      <c r="V245" s="87">
        <v>474</v>
      </c>
      <c r="W245" s="88">
        <f>VLOOKUP(V245,'BD1'!$A$2:$AF$1139,31,0)</f>
        <v>8</v>
      </c>
      <c r="X245" s="88">
        <f>VLOOKUP(V245,'BD2'!$A$2:$AF$1139,31,0)</f>
        <v>7</v>
      </c>
      <c r="Y245" s="89" t="str">
        <f t="shared" si="38"/>
        <v>Pérdida</v>
      </c>
    </row>
    <row r="246" spans="22:25" x14ac:dyDescent="0.25">
      <c r="V246" s="90">
        <v>529</v>
      </c>
      <c r="W246" s="91">
        <f>VLOOKUP(V246,'BD1'!$A$2:$AF$1139,31,0)</f>
        <v>0</v>
      </c>
      <c r="X246" s="91">
        <f>VLOOKUP(V246,'BD2'!$A$2:$AF$1139,31,0)</f>
        <v>7</v>
      </c>
      <c r="Y246" s="92" t="str">
        <f t="shared" si="38"/>
        <v>Mejoría</v>
      </c>
    </row>
    <row r="247" spans="22:25" x14ac:dyDescent="0.25">
      <c r="V247" s="87">
        <v>556</v>
      </c>
      <c r="W247" s="88">
        <f>VLOOKUP(V247,'BD1'!$A$2:$AF$1139,31,0)</f>
        <v>7</v>
      </c>
      <c r="X247" s="88">
        <f>VLOOKUP(V247,'BD2'!$A$2:$AF$1139,31,0)</f>
        <v>7</v>
      </c>
      <c r="Y247" s="89" t="str">
        <f t="shared" si="38"/>
        <v>Se mantiene</v>
      </c>
    </row>
    <row r="248" spans="22:25" x14ac:dyDescent="0.25">
      <c r="V248" s="90">
        <v>585</v>
      </c>
      <c r="W248" s="91">
        <f>VLOOKUP(V248,'BD1'!$A$2:$AF$1139,31,0)</f>
        <v>7</v>
      </c>
      <c r="X248" s="91">
        <f>VLOOKUP(V248,'BD2'!$A$2:$AF$1139,31,0)</f>
        <v>7</v>
      </c>
      <c r="Y248" s="92" t="str">
        <f t="shared" si="38"/>
        <v>Se mantiene</v>
      </c>
    </row>
    <row r="249" spans="22:25" x14ac:dyDescent="0.25">
      <c r="V249" s="87">
        <v>600</v>
      </c>
      <c r="W249" s="88">
        <f>VLOOKUP(V249,'BD1'!$A$2:$AF$1139,31,0)</f>
        <v>8</v>
      </c>
      <c r="X249" s="88">
        <f>VLOOKUP(V249,'BD2'!$A$2:$AF$1139,31,0)</f>
        <v>7</v>
      </c>
      <c r="Y249" s="89" t="str">
        <f t="shared" si="38"/>
        <v>Pérdida</v>
      </c>
    </row>
    <row r="250" spans="22:25" x14ac:dyDescent="0.25">
      <c r="V250" s="90">
        <v>608</v>
      </c>
      <c r="W250" s="91">
        <f>VLOOKUP(V250,'BD1'!$A$2:$AF$1139,31,0)</f>
        <v>8</v>
      </c>
      <c r="X250" s="91">
        <f>VLOOKUP(V250,'BD2'!$A$2:$AF$1139,31,0)</f>
        <v>7</v>
      </c>
      <c r="Y250" s="92" t="str">
        <f t="shared" si="38"/>
        <v>Pérdida</v>
      </c>
    </row>
    <row r="251" spans="22:25" x14ac:dyDescent="0.25">
      <c r="V251" s="87">
        <v>646</v>
      </c>
      <c r="W251" s="88">
        <f>VLOOKUP(V251,'BD1'!$A$2:$AF$1139,31,0)</f>
        <v>8</v>
      </c>
      <c r="X251" s="88">
        <f>VLOOKUP(V251,'BD2'!$A$2:$AF$1139,31,0)</f>
        <v>7</v>
      </c>
      <c r="Y251" s="89" t="str">
        <f t="shared" si="38"/>
        <v>Pérdida</v>
      </c>
    </row>
    <row r="252" spans="22:25" x14ac:dyDescent="0.25">
      <c r="V252" s="90">
        <v>647</v>
      </c>
      <c r="W252" s="91">
        <f>VLOOKUP(V252,'BD1'!$A$2:$AF$1139,31,0)</f>
        <v>8</v>
      </c>
      <c r="X252" s="91">
        <f>VLOOKUP(V252,'BD2'!$A$2:$AF$1139,31,0)</f>
        <v>7</v>
      </c>
      <c r="Y252" s="92" t="str">
        <f t="shared" si="38"/>
        <v>Pérdida</v>
      </c>
    </row>
    <row r="253" spans="22:25" x14ac:dyDescent="0.25">
      <c r="V253" s="87">
        <v>649</v>
      </c>
      <c r="W253" s="88">
        <f>VLOOKUP(V253,'BD1'!$A$2:$AF$1139,31,0)</f>
        <v>5</v>
      </c>
      <c r="X253" s="88">
        <f>VLOOKUP(V253,'BD2'!$A$2:$AF$1139,31,0)</f>
        <v>7</v>
      </c>
      <c r="Y253" s="89" t="str">
        <f t="shared" si="38"/>
        <v>Mejoría</v>
      </c>
    </row>
    <row r="254" spans="22:25" x14ac:dyDescent="0.25">
      <c r="V254" s="90">
        <v>686</v>
      </c>
      <c r="W254" s="91">
        <f>VLOOKUP(V254,'BD1'!$A$2:$AF$1139,31,0)</f>
        <v>8</v>
      </c>
      <c r="X254" s="91">
        <f>VLOOKUP(V254,'BD2'!$A$2:$AF$1139,31,0)</f>
        <v>7</v>
      </c>
      <c r="Y254" s="92" t="str">
        <f t="shared" si="38"/>
        <v>Pérdida</v>
      </c>
    </row>
    <row r="255" spans="22:25" x14ac:dyDescent="0.25">
      <c r="V255" s="87">
        <v>718</v>
      </c>
      <c r="W255" s="88">
        <f>VLOOKUP(V255,'BD1'!$A$2:$AF$1139,31,0)</f>
        <v>8</v>
      </c>
      <c r="X255" s="88">
        <f>VLOOKUP(V255,'BD2'!$A$2:$AF$1139,31,0)</f>
        <v>7</v>
      </c>
      <c r="Y255" s="89" t="str">
        <f t="shared" si="38"/>
        <v>Pérdida</v>
      </c>
    </row>
    <row r="256" spans="22:25" x14ac:dyDescent="0.25">
      <c r="V256" s="90">
        <v>731</v>
      </c>
      <c r="W256" s="91">
        <f>VLOOKUP(V256,'BD1'!$A$2:$AF$1139,31,0)</f>
        <v>8</v>
      </c>
      <c r="X256" s="91">
        <f>VLOOKUP(V256,'BD2'!$A$2:$AF$1139,31,0)</f>
        <v>7</v>
      </c>
      <c r="Y256" s="92" t="str">
        <f t="shared" si="38"/>
        <v>Pérdida</v>
      </c>
    </row>
    <row r="257" spans="22:25" x14ac:dyDescent="0.25">
      <c r="V257" s="87">
        <v>748</v>
      </c>
      <c r="W257" s="88">
        <f>VLOOKUP(V257,'BD1'!$A$2:$AF$1139,31,0)</f>
        <v>8</v>
      </c>
      <c r="X257" s="88">
        <f>VLOOKUP(V257,'BD2'!$A$2:$AF$1139,31,0)</f>
        <v>7</v>
      </c>
      <c r="Y257" s="89" t="str">
        <f t="shared" si="38"/>
        <v>Pérdida</v>
      </c>
    </row>
    <row r="258" spans="22:25" x14ac:dyDescent="0.25">
      <c r="V258" s="90">
        <v>800</v>
      </c>
      <c r="W258" s="91">
        <f>VLOOKUP(V258,'BD1'!$A$2:$AF$1139,31,0)</f>
        <v>8</v>
      </c>
      <c r="X258" s="91">
        <f>VLOOKUP(V258,'BD2'!$A$2:$AF$1139,31,0)</f>
        <v>7</v>
      </c>
      <c r="Y258" s="92" t="str">
        <f t="shared" si="38"/>
        <v>Pérdida</v>
      </c>
    </row>
    <row r="259" spans="22:25" x14ac:dyDescent="0.25">
      <c r="V259" s="87">
        <v>803</v>
      </c>
      <c r="W259" s="88">
        <f>VLOOKUP(V259,'BD1'!$A$2:$AF$1139,31,0)</f>
        <v>8</v>
      </c>
      <c r="X259" s="88">
        <f>VLOOKUP(V259,'BD2'!$A$2:$AF$1139,31,0)</f>
        <v>7</v>
      </c>
      <c r="Y259" s="89" t="str">
        <f t="shared" si="38"/>
        <v>Pérdida</v>
      </c>
    </row>
    <row r="260" spans="22:25" x14ac:dyDescent="0.25">
      <c r="V260" s="90">
        <v>847</v>
      </c>
      <c r="W260" s="91">
        <f>VLOOKUP(V260,'BD1'!$A$2:$AF$1139,31,0)</f>
        <v>8</v>
      </c>
      <c r="X260" s="91">
        <f>VLOOKUP(V260,'BD2'!$A$2:$AF$1139,31,0)</f>
        <v>7</v>
      </c>
      <c r="Y260" s="92" t="str">
        <f t="shared" ref="Y260:Y323" si="39">IF(X260&gt;W260,"Mejoría",IF(X260&lt;W260,"Pérdida","Se mantiene"))</f>
        <v>Pérdida</v>
      </c>
    </row>
    <row r="261" spans="22:25" x14ac:dyDescent="0.25">
      <c r="V261" s="87">
        <v>871</v>
      </c>
      <c r="W261" s="88">
        <f>VLOOKUP(V261,'BD1'!$A$2:$AF$1139,31,0)</f>
        <v>8</v>
      </c>
      <c r="X261" s="88">
        <f>VLOOKUP(V261,'BD2'!$A$2:$AF$1139,31,0)</f>
        <v>7</v>
      </c>
      <c r="Y261" s="89" t="str">
        <f t="shared" si="39"/>
        <v>Pérdida</v>
      </c>
    </row>
    <row r="262" spans="22:25" x14ac:dyDescent="0.25">
      <c r="V262" s="90">
        <v>872</v>
      </c>
      <c r="W262" s="91">
        <f>VLOOKUP(V262,'BD1'!$A$2:$AF$1139,31,0)</f>
        <v>8</v>
      </c>
      <c r="X262" s="91">
        <f>VLOOKUP(V262,'BD2'!$A$2:$AF$1139,31,0)</f>
        <v>7</v>
      </c>
      <c r="Y262" s="92" t="str">
        <f t="shared" si="39"/>
        <v>Pérdida</v>
      </c>
    </row>
    <row r="263" spans="22:25" x14ac:dyDescent="0.25">
      <c r="V263" s="87">
        <v>884</v>
      </c>
      <c r="W263" s="88">
        <f>VLOOKUP(V263,'BD1'!$A$2:$AF$1139,31,0)</f>
        <v>8</v>
      </c>
      <c r="X263" s="88">
        <f>VLOOKUP(V263,'BD2'!$A$2:$AF$1139,31,0)</f>
        <v>7</v>
      </c>
      <c r="Y263" s="89" t="str">
        <f t="shared" si="39"/>
        <v>Pérdida</v>
      </c>
    </row>
    <row r="264" spans="22:25" x14ac:dyDescent="0.25">
      <c r="V264" s="90">
        <v>1087</v>
      </c>
      <c r="W264" s="91">
        <f>VLOOKUP(V264,'BD1'!$A$2:$AF$1139,31,0)</f>
        <v>7</v>
      </c>
      <c r="X264" s="91">
        <f>VLOOKUP(V264,'BD2'!$A$2:$AF$1139,31,0)</f>
        <v>7</v>
      </c>
      <c r="Y264" s="92" t="str">
        <f t="shared" si="39"/>
        <v>Se mantiene</v>
      </c>
    </row>
    <row r="265" spans="22:25" x14ac:dyDescent="0.25">
      <c r="V265" s="87" t="s">
        <v>2420</v>
      </c>
      <c r="W265" s="88">
        <f>VLOOKUP(V265,'BD1'!$A$2:$AF$1139,31,0)</f>
        <v>8</v>
      </c>
      <c r="X265" s="88">
        <f>VLOOKUP(V265,'BD2'!$A$2:$AF$1139,31,0)</f>
        <v>8</v>
      </c>
      <c r="Y265" s="89" t="str">
        <f t="shared" si="39"/>
        <v>Se mantiene</v>
      </c>
    </row>
    <row r="266" spans="22:25" x14ac:dyDescent="0.25">
      <c r="V266" s="90" t="s">
        <v>2421</v>
      </c>
      <c r="W266" s="91">
        <f>VLOOKUP(V266,'BD1'!$A$2:$AF$1139,31,0)</f>
        <v>8</v>
      </c>
      <c r="X266" s="91">
        <f>VLOOKUP(V266,'BD2'!$A$2:$AF$1139,31,0)</f>
        <v>7</v>
      </c>
      <c r="Y266" s="92" t="str">
        <f t="shared" si="39"/>
        <v>Pérdida</v>
      </c>
    </row>
    <row r="267" spans="22:25" x14ac:dyDescent="0.25">
      <c r="V267" s="87">
        <v>38</v>
      </c>
      <c r="W267" s="88">
        <f>VLOOKUP(V267,'BD1'!$A$2:$AF$1139,31,0)</f>
        <v>8</v>
      </c>
      <c r="X267" s="88">
        <f>VLOOKUP(V267,'BD2'!$A$2:$AF$1139,31,0)</f>
        <v>8</v>
      </c>
      <c r="Y267" s="89" t="str">
        <f t="shared" si="39"/>
        <v>Se mantiene</v>
      </c>
    </row>
    <row r="268" spans="22:25" x14ac:dyDescent="0.25">
      <c r="V268" s="90">
        <v>39</v>
      </c>
      <c r="W268" s="91">
        <f>VLOOKUP(V268,'BD1'!$A$2:$AF$1139,31,0)</f>
        <v>0</v>
      </c>
      <c r="X268" s="91">
        <f>VLOOKUP(V268,'BD2'!$A$2:$AF$1139,31,0)</f>
        <v>8</v>
      </c>
      <c r="Y268" s="92" t="str">
        <f t="shared" si="39"/>
        <v>Mejoría</v>
      </c>
    </row>
    <row r="269" spans="22:25" x14ac:dyDescent="0.25">
      <c r="V269" s="87">
        <v>40</v>
      </c>
      <c r="W269" s="88">
        <f>VLOOKUP(V269,'BD1'!$A$2:$AF$1139,31,0)</f>
        <v>8</v>
      </c>
      <c r="X269" s="88">
        <f>VLOOKUP(V269,'BD2'!$A$2:$AF$1139,31,0)</f>
        <v>8</v>
      </c>
      <c r="Y269" s="89" t="str">
        <f t="shared" si="39"/>
        <v>Se mantiene</v>
      </c>
    </row>
    <row r="270" spans="22:25" x14ac:dyDescent="0.25">
      <c r="V270" s="90">
        <v>41</v>
      </c>
      <c r="W270" s="91" t="e">
        <f>VLOOKUP(V270,'BD1'!$A$2:$AF$1139,31,0)</f>
        <v>#N/A</v>
      </c>
      <c r="X270" s="91" t="e">
        <f>VLOOKUP(V270,'BD2'!$A$2:$AF$1139,31,0)</f>
        <v>#N/A</v>
      </c>
      <c r="Y270" s="92" t="e">
        <f t="shared" si="39"/>
        <v>#N/A</v>
      </c>
    </row>
    <row r="271" spans="22:25" x14ac:dyDescent="0.25">
      <c r="V271" s="87">
        <v>42</v>
      </c>
      <c r="W271" s="88">
        <f>VLOOKUP(V271,'BD1'!$A$2:$AF$1139,31,0)</f>
        <v>8</v>
      </c>
      <c r="X271" s="88">
        <f>VLOOKUP(V271,'BD2'!$A$2:$AF$1139,31,0)</f>
        <v>8</v>
      </c>
      <c r="Y271" s="89" t="str">
        <f t="shared" si="39"/>
        <v>Se mantiene</v>
      </c>
    </row>
    <row r="272" spans="22:25" x14ac:dyDescent="0.25">
      <c r="V272" s="90" t="s">
        <v>2424</v>
      </c>
      <c r="W272" s="91">
        <f>VLOOKUP(V272,'BD1'!$A$2:$AF$1139,31,0)</f>
        <v>8</v>
      </c>
      <c r="X272" s="91">
        <f>VLOOKUP(V272,'BD2'!$A$2:$AF$1139,31,0)</f>
        <v>7</v>
      </c>
      <c r="Y272" s="92" t="str">
        <f t="shared" si="39"/>
        <v>Pérdida</v>
      </c>
    </row>
    <row r="273" spans="22:25" x14ac:dyDescent="0.25">
      <c r="V273" s="87" t="s">
        <v>2425</v>
      </c>
      <c r="W273" s="88">
        <f>VLOOKUP(V273,'BD1'!$A$2:$AF$1139,31,0)</f>
        <v>8</v>
      </c>
      <c r="X273" s="88">
        <f>VLOOKUP(V273,'BD2'!$A$2:$AF$1139,31,0)</f>
        <v>7</v>
      </c>
      <c r="Y273" s="89" t="str">
        <f t="shared" si="39"/>
        <v>Pérdida</v>
      </c>
    </row>
    <row r="274" spans="22:25" x14ac:dyDescent="0.25">
      <c r="V274" s="90">
        <v>44</v>
      </c>
      <c r="W274" s="91">
        <f>VLOOKUP(V274,'BD1'!$A$2:$AF$1139,31,0)</f>
        <v>8</v>
      </c>
      <c r="X274" s="91">
        <f>VLOOKUP(V274,'BD2'!$A$2:$AF$1139,31,0)</f>
        <v>8</v>
      </c>
      <c r="Y274" s="92" t="str">
        <f t="shared" si="39"/>
        <v>Se mantiene</v>
      </c>
    </row>
    <row r="275" spans="22:25" x14ac:dyDescent="0.25">
      <c r="V275" s="87" t="s">
        <v>2422</v>
      </c>
      <c r="W275" s="88">
        <f>VLOOKUP(V275,'BD1'!$A$2:$AF$1139,31,0)</f>
        <v>8</v>
      </c>
      <c r="X275" s="88">
        <f>VLOOKUP(V275,'BD2'!$A$2:$AF$1139,31,0)</f>
        <v>8</v>
      </c>
      <c r="Y275" s="89" t="str">
        <f t="shared" si="39"/>
        <v>Se mantiene</v>
      </c>
    </row>
    <row r="276" spans="22:25" x14ac:dyDescent="0.25">
      <c r="V276" s="90" t="s">
        <v>2423</v>
      </c>
      <c r="W276" s="91">
        <f>VLOOKUP(V276,'BD1'!$A$2:$AF$1139,31,0)</f>
        <v>8</v>
      </c>
      <c r="X276" s="91">
        <f>VLOOKUP(V276,'BD2'!$A$2:$AF$1139,31,0)</f>
        <v>8</v>
      </c>
      <c r="Y276" s="92" t="str">
        <f t="shared" si="39"/>
        <v>Se mantiene</v>
      </c>
    </row>
    <row r="277" spans="22:25" x14ac:dyDescent="0.25">
      <c r="V277" s="87">
        <v>46</v>
      </c>
      <c r="W277" s="88">
        <f>VLOOKUP(V277,'BD1'!$A$2:$AF$1139,31,0)</f>
        <v>8</v>
      </c>
      <c r="X277" s="88">
        <f>VLOOKUP(V277,'BD2'!$A$2:$AF$1139,31,0)</f>
        <v>7</v>
      </c>
      <c r="Y277" s="89" t="str">
        <f t="shared" si="39"/>
        <v>Pérdida</v>
      </c>
    </row>
    <row r="278" spans="22:25" x14ac:dyDescent="0.25">
      <c r="V278" s="90">
        <v>47</v>
      </c>
      <c r="W278" s="91">
        <f>VLOOKUP(V278,'BD1'!$A$2:$AF$1139,31,0)</f>
        <v>8</v>
      </c>
      <c r="X278" s="91">
        <f>VLOOKUP(V278,'BD2'!$A$2:$AF$1139,31,0)</f>
        <v>8</v>
      </c>
      <c r="Y278" s="92" t="str">
        <f t="shared" si="39"/>
        <v>Se mantiene</v>
      </c>
    </row>
    <row r="279" spans="22:25" x14ac:dyDescent="0.25">
      <c r="V279" s="87">
        <v>81</v>
      </c>
      <c r="W279" s="88">
        <f>VLOOKUP(V279,'BD1'!$A$2:$AF$1139,31,0)</f>
        <v>8</v>
      </c>
      <c r="X279" s="88">
        <f>VLOOKUP(V279,'BD2'!$A$2:$AF$1139,31,0)</f>
        <v>8</v>
      </c>
      <c r="Y279" s="89" t="str">
        <f t="shared" si="39"/>
        <v>Se mantiene</v>
      </c>
    </row>
    <row r="280" spans="22:25" x14ac:dyDescent="0.25">
      <c r="V280" s="90">
        <v>394</v>
      </c>
      <c r="W280" s="91">
        <f>VLOOKUP(V280,'BD1'!$A$2:$AF$1139,31,0)</f>
        <v>7</v>
      </c>
      <c r="X280" s="91">
        <f>VLOOKUP(V280,'BD2'!$A$2:$AF$1139,31,0)</f>
        <v>5</v>
      </c>
      <c r="Y280" s="92" t="str">
        <f t="shared" si="39"/>
        <v>Pérdida</v>
      </c>
    </row>
    <row r="281" spans="22:25" x14ac:dyDescent="0.25">
      <c r="V281" s="87">
        <v>505</v>
      </c>
      <c r="W281" s="88">
        <f>VLOOKUP(V281,'BD1'!$A$2:$AF$1139,31,0)</f>
        <v>0</v>
      </c>
      <c r="X281" s="88">
        <f>VLOOKUP(V281,'BD2'!$A$2:$AF$1139,31,0)</f>
        <v>0</v>
      </c>
      <c r="Y281" s="89" t="str">
        <f t="shared" si="39"/>
        <v>Se mantiene</v>
      </c>
    </row>
    <row r="282" spans="22:25" x14ac:dyDescent="0.25">
      <c r="V282" s="90">
        <v>738</v>
      </c>
      <c r="W282" s="91">
        <f>VLOOKUP(V282,'BD1'!$A$2:$AF$1139,31,0)</f>
        <v>7</v>
      </c>
      <c r="X282" s="91">
        <f>VLOOKUP(V282,'BD2'!$A$2:$AF$1139,31,0)</f>
        <v>8</v>
      </c>
      <c r="Y282" s="92" t="str">
        <f t="shared" si="39"/>
        <v>Mejoría</v>
      </c>
    </row>
    <row r="283" spans="22:25" x14ac:dyDescent="0.25">
      <c r="V283" s="87">
        <v>795</v>
      </c>
      <c r="W283" s="88">
        <f>VLOOKUP(V283,'BD1'!$A$2:$AF$1139,31,0)</f>
        <v>7</v>
      </c>
      <c r="X283" s="88">
        <f>VLOOKUP(V283,'BD2'!$A$2:$AF$1139,31,0)</f>
        <v>1</v>
      </c>
      <c r="Y283" s="89" t="str">
        <f t="shared" si="39"/>
        <v>Pérdida</v>
      </c>
    </row>
    <row r="284" spans="22:25" x14ac:dyDescent="0.25">
      <c r="V284" s="90">
        <v>862</v>
      </c>
      <c r="W284" s="91">
        <f>VLOOKUP(V284,'BD1'!$A$2:$AF$1139,31,0)</f>
        <v>7</v>
      </c>
      <c r="X284" s="91">
        <f>VLOOKUP(V284,'BD2'!$A$2:$AF$1139,31,0)</f>
        <v>8</v>
      </c>
      <c r="Y284" s="92" t="str">
        <f t="shared" si="39"/>
        <v>Mejoría</v>
      </c>
    </row>
    <row r="285" spans="22:25" x14ac:dyDescent="0.25">
      <c r="V285" s="87">
        <v>876</v>
      </c>
      <c r="W285" s="88">
        <f>VLOOKUP(V285,'BD1'!$A$2:$AF$1139,31,0)</f>
        <v>8</v>
      </c>
      <c r="X285" s="88">
        <f>VLOOKUP(V285,'BD2'!$A$2:$AF$1139,31,0)</f>
        <v>8</v>
      </c>
      <c r="Y285" s="89" t="str">
        <f t="shared" si="39"/>
        <v>Se mantiene</v>
      </c>
    </row>
    <row r="286" spans="22:25" x14ac:dyDescent="0.25">
      <c r="V286" s="90">
        <v>885</v>
      </c>
      <c r="W286" s="91">
        <f>VLOOKUP(V286,'BD1'!$A$2:$AF$1139,31,0)</f>
        <v>0</v>
      </c>
      <c r="X286" s="91">
        <f>VLOOKUP(V286,'BD2'!$A$2:$AF$1139,31,0)</f>
        <v>0</v>
      </c>
      <c r="Y286" s="92" t="str">
        <f t="shared" si="39"/>
        <v>Se mantiene</v>
      </c>
    </row>
    <row r="287" spans="22:25" x14ac:dyDescent="0.25">
      <c r="V287" s="87">
        <v>889</v>
      </c>
      <c r="W287" s="88">
        <f>VLOOKUP(V287,'BD1'!$A$2:$AF$1139,31,0)</f>
        <v>8</v>
      </c>
      <c r="X287" s="88">
        <f>VLOOKUP(V287,'BD2'!$A$2:$AF$1139,31,0)</f>
        <v>8</v>
      </c>
      <c r="Y287" s="89" t="str">
        <f t="shared" si="39"/>
        <v>Se mantiene</v>
      </c>
    </row>
    <row r="288" spans="22:25" x14ac:dyDescent="0.25">
      <c r="V288" s="90">
        <v>1089</v>
      </c>
      <c r="W288" s="91">
        <f>VLOOKUP(V288,'BD1'!$A$2:$AF$1139,31,0)</f>
        <v>8</v>
      </c>
      <c r="X288" s="91">
        <f>VLOOKUP(V288,'BD2'!$A$2:$AF$1139,31,0)</f>
        <v>7</v>
      </c>
      <c r="Y288" s="92" t="str">
        <f t="shared" si="39"/>
        <v>Pérdida</v>
      </c>
    </row>
    <row r="289" spans="22:25" x14ac:dyDescent="0.25">
      <c r="V289" s="87">
        <v>1100</v>
      </c>
      <c r="W289" s="88">
        <f>VLOOKUP(V289,'BD1'!$A$2:$AF$1139,31,0)</f>
        <v>8</v>
      </c>
      <c r="X289" s="88">
        <f>VLOOKUP(V289,'BD2'!$A$2:$AF$1139,31,0)</f>
        <v>8</v>
      </c>
      <c r="Y289" s="89" t="str">
        <f t="shared" si="39"/>
        <v>Se mantiene</v>
      </c>
    </row>
    <row r="290" spans="22:25" x14ac:dyDescent="0.25">
      <c r="V290" s="90">
        <v>54</v>
      </c>
      <c r="W290" s="91">
        <f>VLOOKUP(V290,'BD1'!$A$2:$AF$1139,31,0)</f>
        <v>8</v>
      </c>
      <c r="X290" s="91">
        <f>VLOOKUP(V290,'BD2'!$A$2:$AF$1139,31,0)</f>
        <v>7</v>
      </c>
      <c r="Y290" s="92" t="str">
        <f t="shared" si="39"/>
        <v>Pérdida</v>
      </c>
    </row>
    <row r="291" spans="22:25" x14ac:dyDescent="0.25">
      <c r="V291" s="87">
        <v>55</v>
      </c>
      <c r="W291" s="88">
        <f>VLOOKUP(V291,'BD1'!$A$2:$AF$1139,31,0)</f>
        <v>7</v>
      </c>
      <c r="X291" s="88">
        <f>VLOOKUP(V291,'BD2'!$A$2:$AF$1139,31,0)</f>
        <v>7</v>
      </c>
      <c r="Y291" s="89" t="str">
        <f t="shared" si="39"/>
        <v>Se mantiene</v>
      </c>
    </row>
    <row r="292" spans="22:25" x14ac:dyDescent="0.25">
      <c r="V292" s="90">
        <v>56</v>
      </c>
      <c r="W292" s="91">
        <f>VLOOKUP(V292,'BD1'!$A$2:$AF$1139,31,0)</f>
        <v>8</v>
      </c>
      <c r="X292" s="91">
        <f>VLOOKUP(V292,'BD2'!$A$2:$AF$1139,31,0)</f>
        <v>7</v>
      </c>
      <c r="Y292" s="92" t="str">
        <f t="shared" si="39"/>
        <v>Pérdida</v>
      </c>
    </row>
    <row r="293" spans="22:25" x14ac:dyDescent="0.25">
      <c r="V293" s="87">
        <v>57</v>
      </c>
      <c r="W293" s="88">
        <f>VLOOKUP(V293,'BD1'!$A$2:$AF$1139,31,0)</f>
        <v>8</v>
      </c>
      <c r="X293" s="88">
        <f>VLOOKUP(V293,'BD2'!$A$2:$AF$1139,31,0)</f>
        <v>7</v>
      </c>
      <c r="Y293" s="89" t="str">
        <f t="shared" si="39"/>
        <v>Pérdida</v>
      </c>
    </row>
    <row r="294" spans="22:25" x14ac:dyDescent="0.25">
      <c r="V294" s="90">
        <v>58</v>
      </c>
      <c r="W294" s="91">
        <f>VLOOKUP(V294,'BD1'!$A$2:$AF$1139,31,0)</f>
        <v>6</v>
      </c>
      <c r="X294" s="91">
        <f>VLOOKUP(V294,'BD2'!$A$2:$AF$1139,31,0)</f>
        <v>7</v>
      </c>
      <c r="Y294" s="92" t="str">
        <f t="shared" si="39"/>
        <v>Mejoría</v>
      </c>
    </row>
    <row r="295" spans="22:25" x14ac:dyDescent="0.25">
      <c r="V295" s="87">
        <v>59</v>
      </c>
      <c r="W295" s="88">
        <f>VLOOKUP(V295,'BD1'!$A$2:$AF$1139,31,0)</f>
        <v>8</v>
      </c>
      <c r="X295" s="88">
        <f>VLOOKUP(V295,'BD2'!$A$2:$AF$1139,31,0)</f>
        <v>7</v>
      </c>
      <c r="Y295" s="89" t="str">
        <f t="shared" si="39"/>
        <v>Pérdida</v>
      </c>
    </row>
    <row r="296" spans="22:25" x14ac:dyDescent="0.25">
      <c r="V296" s="90">
        <v>60</v>
      </c>
      <c r="W296" s="91">
        <f>VLOOKUP(V296,'BD1'!$A$2:$AF$1139,31,0)</f>
        <v>8</v>
      </c>
      <c r="X296" s="91">
        <f>VLOOKUP(V296,'BD2'!$A$2:$AF$1139,31,0)</f>
        <v>7</v>
      </c>
      <c r="Y296" s="92" t="str">
        <f t="shared" si="39"/>
        <v>Pérdida</v>
      </c>
    </row>
    <row r="297" spans="22:25" x14ac:dyDescent="0.25">
      <c r="V297" s="87">
        <v>61</v>
      </c>
      <c r="W297" s="88">
        <f>VLOOKUP(V297,'BD1'!$A$2:$AF$1139,31,0)</f>
        <v>8</v>
      </c>
      <c r="X297" s="88">
        <f>VLOOKUP(V297,'BD2'!$A$2:$AF$1139,31,0)</f>
        <v>7</v>
      </c>
      <c r="Y297" s="89" t="str">
        <f t="shared" si="39"/>
        <v>Pérdida</v>
      </c>
    </row>
    <row r="298" spans="22:25" x14ac:dyDescent="0.25">
      <c r="V298" s="90">
        <v>62</v>
      </c>
      <c r="W298" s="91">
        <f>VLOOKUP(V298,'BD1'!$A$2:$AF$1139,31,0)</f>
        <v>7</v>
      </c>
      <c r="X298" s="91">
        <f>VLOOKUP(V298,'BD2'!$A$2:$AF$1139,31,0)</f>
        <v>7</v>
      </c>
      <c r="Y298" s="92" t="str">
        <f t="shared" si="39"/>
        <v>Se mantiene</v>
      </c>
    </row>
    <row r="299" spans="22:25" x14ac:dyDescent="0.25">
      <c r="V299" s="87" t="s">
        <v>2430</v>
      </c>
      <c r="W299" s="88">
        <f>VLOOKUP(V299,'BD1'!$A$2:$AF$1139,31,0)</f>
        <v>8</v>
      </c>
      <c r="X299" s="88">
        <f>VLOOKUP(V299,'BD2'!$A$2:$AF$1139,31,0)</f>
        <v>7</v>
      </c>
      <c r="Y299" s="89" t="str">
        <f t="shared" si="39"/>
        <v>Pérdida</v>
      </c>
    </row>
    <row r="300" spans="22:25" x14ac:dyDescent="0.25">
      <c r="V300" s="90" t="s">
        <v>2431</v>
      </c>
      <c r="W300" s="91">
        <f>VLOOKUP(V300,'BD1'!$A$2:$AF$1139,31,0)</f>
        <v>8</v>
      </c>
      <c r="X300" s="91">
        <f>VLOOKUP(V300,'BD2'!$A$2:$AF$1139,31,0)</f>
        <v>7</v>
      </c>
      <c r="Y300" s="92" t="str">
        <f t="shared" si="39"/>
        <v>Pérdida</v>
      </c>
    </row>
    <row r="301" spans="22:25" x14ac:dyDescent="0.25">
      <c r="V301" s="87">
        <v>64</v>
      </c>
      <c r="W301" s="88">
        <f>VLOOKUP(V301,'BD1'!$A$2:$AF$1139,31,0)</f>
        <v>8</v>
      </c>
      <c r="X301" s="88">
        <f>VLOOKUP(V301,'BD2'!$A$2:$AF$1139,31,0)</f>
        <v>7</v>
      </c>
      <c r="Y301" s="89" t="str">
        <f t="shared" si="39"/>
        <v>Pérdida</v>
      </c>
    </row>
    <row r="302" spans="22:25" x14ac:dyDescent="0.25">
      <c r="V302" s="90" t="s">
        <v>2416</v>
      </c>
      <c r="W302" s="91">
        <f>VLOOKUP(V302,'BD1'!$A$2:$AF$1139,31,0)</f>
        <v>8</v>
      </c>
      <c r="X302" s="91">
        <f>VLOOKUP(V302,'BD2'!$A$2:$AF$1139,31,0)</f>
        <v>8</v>
      </c>
      <c r="Y302" s="92" t="str">
        <f t="shared" si="39"/>
        <v>Se mantiene</v>
      </c>
    </row>
    <row r="303" spans="22:25" x14ac:dyDescent="0.25">
      <c r="V303" s="87" t="s">
        <v>2417</v>
      </c>
      <c r="W303" s="88">
        <f>VLOOKUP(V303,'BD1'!$A$2:$AF$1139,31,0)</f>
        <v>8</v>
      </c>
      <c r="X303" s="88">
        <f>VLOOKUP(V303,'BD2'!$A$2:$AF$1139,31,0)</f>
        <v>3</v>
      </c>
      <c r="Y303" s="89" t="str">
        <f t="shared" si="39"/>
        <v>Pérdida</v>
      </c>
    </row>
    <row r="304" spans="22:25" x14ac:dyDescent="0.25">
      <c r="V304" s="90">
        <v>66</v>
      </c>
      <c r="W304" s="91">
        <f>VLOOKUP(V304,'BD1'!$A$2:$AF$1139,31,0)</f>
        <v>8</v>
      </c>
      <c r="X304" s="91">
        <f>VLOOKUP(V304,'BD2'!$A$2:$AF$1139,31,0)</f>
        <v>7</v>
      </c>
      <c r="Y304" s="92" t="str">
        <f t="shared" si="39"/>
        <v>Pérdida</v>
      </c>
    </row>
    <row r="305" spans="22:25" x14ac:dyDescent="0.25">
      <c r="V305" s="87">
        <v>67</v>
      </c>
      <c r="W305" s="88">
        <f>VLOOKUP(V305,'BD1'!$A$2:$AF$1139,31,0)</f>
        <v>8</v>
      </c>
      <c r="X305" s="88">
        <f>VLOOKUP(V305,'BD2'!$A$2:$AF$1139,31,0)</f>
        <v>7</v>
      </c>
      <c r="Y305" s="89" t="str">
        <f t="shared" si="39"/>
        <v>Pérdida</v>
      </c>
    </row>
    <row r="306" spans="22:25" x14ac:dyDescent="0.25">
      <c r="V306" s="90" t="s">
        <v>2428</v>
      </c>
      <c r="W306" s="91">
        <f>VLOOKUP(V306,'BD1'!$A$2:$AF$1139,31,0)</f>
        <v>8</v>
      </c>
      <c r="X306" s="91">
        <f>VLOOKUP(V306,'BD2'!$A$2:$AF$1139,31,0)</f>
        <v>7</v>
      </c>
      <c r="Y306" s="92" t="str">
        <f t="shared" si="39"/>
        <v>Pérdida</v>
      </c>
    </row>
    <row r="307" spans="22:25" x14ac:dyDescent="0.25">
      <c r="V307" s="87" t="s">
        <v>2429</v>
      </c>
      <c r="W307" s="88">
        <f>VLOOKUP(V307,'BD1'!$A$2:$AF$1139,31,0)</f>
        <v>8</v>
      </c>
      <c r="X307" s="88">
        <f>VLOOKUP(V307,'BD2'!$A$2:$AF$1139,31,0)</f>
        <v>7</v>
      </c>
      <c r="Y307" s="89" t="str">
        <f t="shared" si="39"/>
        <v>Pérdida</v>
      </c>
    </row>
    <row r="308" spans="22:25" x14ac:dyDescent="0.25">
      <c r="V308" s="90">
        <v>69</v>
      </c>
      <c r="W308" s="91">
        <f>VLOOKUP(V308,'BD1'!$A$2:$AF$1139,31,0)</f>
        <v>8</v>
      </c>
      <c r="X308" s="91">
        <f>VLOOKUP(V308,'BD2'!$A$2:$AF$1139,31,0)</f>
        <v>7</v>
      </c>
      <c r="Y308" s="92" t="str">
        <f t="shared" si="39"/>
        <v>Pérdida</v>
      </c>
    </row>
    <row r="309" spans="22:25" x14ac:dyDescent="0.25">
      <c r="V309" s="87" t="s">
        <v>2434</v>
      </c>
      <c r="W309" s="88">
        <f>VLOOKUP(V309,'BD1'!$A$2:$AF$1139,31,0)</f>
        <v>8</v>
      </c>
      <c r="X309" s="88">
        <f>VLOOKUP(V309,'BD2'!$A$2:$AF$1139,31,0)</f>
        <v>7</v>
      </c>
      <c r="Y309" s="89" t="str">
        <f t="shared" si="39"/>
        <v>Pérdida</v>
      </c>
    </row>
    <row r="310" spans="22:25" x14ac:dyDescent="0.25">
      <c r="V310" s="90" t="s">
        <v>2435</v>
      </c>
      <c r="W310" s="91">
        <f>VLOOKUP(V310,'BD1'!$A$2:$AF$1139,31,0)</f>
        <v>8</v>
      </c>
      <c r="X310" s="91">
        <f>VLOOKUP(V310,'BD2'!$A$2:$AF$1139,31,0)</f>
        <v>7</v>
      </c>
      <c r="Y310" s="92" t="str">
        <f t="shared" si="39"/>
        <v>Pérdida</v>
      </c>
    </row>
    <row r="311" spans="22:25" x14ac:dyDescent="0.25">
      <c r="V311" s="87" t="s">
        <v>2414</v>
      </c>
      <c r="W311" s="88">
        <f>VLOOKUP(V311,'BD1'!$A$2:$AF$1139,31,0)</f>
        <v>8</v>
      </c>
      <c r="X311" s="88">
        <f>VLOOKUP(V311,'BD2'!$A$2:$AF$1139,31,0)</f>
        <v>8</v>
      </c>
      <c r="Y311" s="89" t="str">
        <f t="shared" si="39"/>
        <v>Se mantiene</v>
      </c>
    </row>
    <row r="312" spans="22:25" x14ac:dyDescent="0.25">
      <c r="V312" s="90" t="s">
        <v>2415</v>
      </c>
      <c r="W312" s="91">
        <f>VLOOKUP(V312,'BD1'!$A$2:$AF$1139,31,0)</f>
        <v>8</v>
      </c>
      <c r="X312" s="91">
        <f>VLOOKUP(V312,'BD2'!$A$2:$AF$1139,31,0)</f>
        <v>8</v>
      </c>
      <c r="Y312" s="92" t="str">
        <f t="shared" si="39"/>
        <v>Se mantiene</v>
      </c>
    </row>
    <row r="313" spans="22:25" x14ac:dyDescent="0.25">
      <c r="V313" s="87">
        <v>72</v>
      </c>
      <c r="W313" s="88">
        <f>VLOOKUP(V313,'BD1'!$A$2:$AF$1139,31,0)</f>
        <v>8</v>
      </c>
      <c r="X313" s="88">
        <f>VLOOKUP(V313,'BD2'!$A$2:$AF$1139,31,0)</f>
        <v>8</v>
      </c>
      <c r="Y313" s="89" t="str">
        <f t="shared" si="39"/>
        <v>Se mantiene</v>
      </c>
    </row>
    <row r="314" spans="22:25" x14ac:dyDescent="0.25">
      <c r="V314" s="90">
        <v>73</v>
      </c>
      <c r="W314" s="91">
        <f>VLOOKUP(V314,'BD1'!$A$2:$AF$1139,31,0)</f>
        <v>8</v>
      </c>
      <c r="X314" s="91">
        <f>VLOOKUP(V314,'BD2'!$A$2:$AF$1139,31,0)</f>
        <v>7</v>
      </c>
      <c r="Y314" s="92" t="str">
        <f t="shared" si="39"/>
        <v>Pérdida</v>
      </c>
    </row>
    <row r="315" spans="22:25" x14ac:dyDescent="0.25">
      <c r="V315" s="87">
        <v>74</v>
      </c>
      <c r="W315" s="88">
        <f>VLOOKUP(V315,'BD1'!$A$2:$AF$1139,31,0)</f>
        <v>8</v>
      </c>
      <c r="X315" s="88">
        <f>VLOOKUP(V315,'BD2'!$A$2:$AF$1139,31,0)</f>
        <v>7</v>
      </c>
      <c r="Y315" s="89" t="str">
        <f t="shared" si="39"/>
        <v>Pérdida</v>
      </c>
    </row>
    <row r="316" spans="22:25" x14ac:dyDescent="0.25">
      <c r="V316" s="90">
        <v>130</v>
      </c>
      <c r="W316" s="91">
        <f>VLOOKUP(V316,'BD1'!$A$2:$AF$1139,31,0)</f>
        <v>0</v>
      </c>
      <c r="X316" s="91">
        <f>VLOOKUP(V316,'BD2'!$A$2:$AF$1139,31,0)</f>
        <v>8</v>
      </c>
      <c r="Y316" s="92" t="str">
        <f t="shared" si="39"/>
        <v>Mejoría</v>
      </c>
    </row>
    <row r="317" spans="22:25" x14ac:dyDescent="0.25">
      <c r="V317" s="87">
        <v>143</v>
      </c>
      <c r="W317" s="88">
        <f>VLOOKUP(V317,'BD1'!$A$2:$AF$1139,31,0)</f>
        <v>8</v>
      </c>
      <c r="X317" s="88">
        <f>VLOOKUP(V317,'BD2'!$A$2:$AF$1139,31,0)</f>
        <v>7</v>
      </c>
      <c r="Y317" s="89" t="str">
        <f t="shared" si="39"/>
        <v>Pérdida</v>
      </c>
    </row>
    <row r="318" spans="22:25" x14ac:dyDescent="0.25">
      <c r="V318" s="90">
        <v>189</v>
      </c>
      <c r="W318" s="91">
        <f>VLOOKUP(V318,'BD1'!$A$2:$AF$1139,31,0)</f>
        <v>8</v>
      </c>
      <c r="X318" s="91">
        <f>VLOOKUP(V318,'BD2'!$A$2:$AF$1139,31,0)</f>
        <v>7</v>
      </c>
      <c r="Y318" s="92" t="str">
        <f t="shared" si="39"/>
        <v>Pérdida</v>
      </c>
    </row>
    <row r="319" spans="22:25" x14ac:dyDescent="0.25">
      <c r="V319" s="87">
        <v>253</v>
      </c>
      <c r="W319" s="88">
        <f>VLOOKUP(V319,'BD1'!$A$2:$AF$1139,31,0)</f>
        <v>8</v>
      </c>
      <c r="X319" s="88">
        <f>VLOOKUP(V319,'BD2'!$A$2:$AF$1139,31,0)</f>
        <v>7</v>
      </c>
      <c r="Y319" s="89" t="str">
        <f t="shared" si="39"/>
        <v>Pérdida</v>
      </c>
    </row>
    <row r="320" spans="22:25" x14ac:dyDescent="0.25">
      <c r="V320" s="90">
        <v>260</v>
      </c>
      <c r="W320" s="91">
        <f>VLOOKUP(V320,'BD1'!$A$2:$AF$1139,31,0)</f>
        <v>8</v>
      </c>
      <c r="X320" s="91">
        <f>VLOOKUP(V320,'BD2'!$A$2:$AF$1139,31,0)</f>
        <v>7</v>
      </c>
      <c r="Y320" s="92" t="str">
        <f t="shared" si="39"/>
        <v>Pérdida</v>
      </c>
    </row>
    <row r="321" spans="22:25" x14ac:dyDescent="0.25">
      <c r="V321" s="87">
        <v>291</v>
      </c>
      <c r="W321" s="88">
        <f>VLOOKUP(V321,'BD1'!$A$2:$AF$1139,31,0)</f>
        <v>6</v>
      </c>
      <c r="X321" s="88">
        <f>VLOOKUP(V321,'BD2'!$A$2:$AF$1139,31,0)</f>
        <v>7</v>
      </c>
      <c r="Y321" s="89" t="str">
        <f t="shared" si="39"/>
        <v>Mejoría</v>
      </c>
    </row>
    <row r="322" spans="22:25" x14ac:dyDescent="0.25">
      <c r="V322" s="90">
        <v>426</v>
      </c>
      <c r="W322" s="91">
        <f>VLOOKUP(V322,'BD1'!$A$2:$AF$1139,31,0)</f>
        <v>8</v>
      </c>
      <c r="X322" s="91">
        <f>VLOOKUP(V322,'BD2'!$A$2:$AF$1139,31,0)</f>
        <v>7</v>
      </c>
      <c r="Y322" s="92" t="str">
        <f t="shared" si="39"/>
        <v>Pérdida</v>
      </c>
    </row>
    <row r="323" spans="22:25" x14ac:dyDescent="0.25">
      <c r="V323" s="87">
        <v>427</v>
      </c>
      <c r="W323" s="88">
        <f>VLOOKUP(V323,'BD1'!$A$2:$AF$1139,31,0)</f>
        <v>7</v>
      </c>
      <c r="X323" s="88">
        <f>VLOOKUP(V323,'BD2'!$A$2:$AF$1139,31,0)</f>
        <v>7</v>
      </c>
      <c r="Y323" s="89" t="str">
        <f t="shared" si="39"/>
        <v>Se mantiene</v>
      </c>
    </row>
    <row r="324" spans="22:25" x14ac:dyDescent="0.25">
      <c r="V324" s="90">
        <v>455</v>
      </c>
      <c r="W324" s="91">
        <f>VLOOKUP(V324,'BD1'!$A$2:$AF$1139,31,0)</f>
        <v>8</v>
      </c>
      <c r="X324" s="91">
        <f>VLOOKUP(V324,'BD2'!$A$2:$AF$1139,31,0)</f>
        <v>7</v>
      </c>
      <c r="Y324" s="92" t="str">
        <f t="shared" ref="Y324:Y387" si="40">IF(X324&gt;W324,"Mejoría",IF(X324&lt;W324,"Pérdida","Se mantiene"))</f>
        <v>Pérdida</v>
      </c>
    </row>
    <row r="325" spans="22:25" x14ac:dyDescent="0.25">
      <c r="V325" s="87">
        <v>467</v>
      </c>
      <c r="W325" s="88">
        <f>VLOOKUP(V325,'BD1'!$A$2:$AF$1139,31,0)</f>
        <v>7</v>
      </c>
      <c r="X325" s="88">
        <f>VLOOKUP(V325,'BD2'!$A$2:$AF$1139,31,0)</f>
        <v>7</v>
      </c>
      <c r="Y325" s="89" t="str">
        <f t="shared" si="40"/>
        <v>Se mantiene</v>
      </c>
    </row>
    <row r="326" spans="22:25" x14ac:dyDescent="0.25">
      <c r="V326" s="90">
        <v>471</v>
      </c>
      <c r="W326" s="91">
        <f>VLOOKUP(V326,'BD1'!$A$2:$AF$1139,31,0)</f>
        <v>7</v>
      </c>
      <c r="X326" s="91">
        <f>VLOOKUP(V326,'BD2'!$A$2:$AF$1139,31,0)</f>
        <v>8</v>
      </c>
      <c r="Y326" s="92" t="str">
        <f t="shared" si="40"/>
        <v>Mejoría</v>
      </c>
    </row>
    <row r="327" spans="22:25" x14ac:dyDescent="0.25">
      <c r="V327" s="87">
        <v>520</v>
      </c>
      <c r="W327" s="88">
        <f>VLOOKUP(V327,'BD1'!$A$2:$AF$1139,31,0)</f>
        <v>8</v>
      </c>
      <c r="X327" s="88">
        <f>VLOOKUP(V327,'BD2'!$A$2:$AF$1139,31,0)</f>
        <v>8</v>
      </c>
      <c r="Y327" s="89" t="str">
        <f t="shared" si="40"/>
        <v>Se mantiene</v>
      </c>
    </row>
    <row r="328" spans="22:25" x14ac:dyDescent="0.25">
      <c r="V328" s="90">
        <v>590</v>
      </c>
      <c r="W328" s="91">
        <f>VLOOKUP(V328,'BD1'!$A$2:$AF$1139,31,0)</f>
        <v>8</v>
      </c>
      <c r="X328" s="91">
        <f>VLOOKUP(V328,'BD2'!$A$2:$AF$1139,31,0)</f>
        <v>8</v>
      </c>
      <c r="Y328" s="92" t="str">
        <f t="shared" si="40"/>
        <v>Se mantiene</v>
      </c>
    </row>
    <row r="329" spans="22:25" x14ac:dyDescent="0.25">
      <c r="V329" s="87">
        <v>775</v>
      </c>
      <c r="W329" s="88">
        <f>VLOOKUP(V329,'BD1'!$A$2:$AF$1139,31,0)</f>
        <v>8</v>
      </c>
      <c r="X329" s="88">
        <f>VLOOKUP(V329,'BD2'!$A$2:$AF$1139,31,0)</f>
        <v>8</v>
      </c>
      <c r="Y329" s="89" t="str">
        <f t="shared" si="40"/>
        <v>Se mantiene</v>
      </c>
    </row>
    <row r="330" spans="22:25" x14ac:dyDescent="0.25">
      <c r="V330" s="90" t="s">
        <v>2432</v>
      </c>
      <c r="W330" s="91">
        <f>VLOOKUP(V330,'BD1'!$A$2:$AF$1139,31,0)</f>
        <v>8</v>
      </c>
      <c r="X330" s="91">
        <f>VLOOKUP(V330,'BD2'!$A$2:$AF$1139,31,0)</f>
        <v>7</v>
      </c>
      <c r="Y330" s="92" t="str">
        <f t="shared" si="40"/>
        <v>Pérdida</v>
      </c>
    </row>
    <row r="331" spans="22:25" x14ac:dyDescent="0.25">
      <c r="V331" s="87" t="s">
        <v>2433</v>
      </c>
      <c r="W331" s="88">
        <f>VLOOKUP(V331,'BD1'!$A$2:$AF$1139,31,0)</f>
        <v>7</v>
      </c>
      <c r="X331" s="88">
        <f>VLOOKUP(V331,'BD2'!$A$2:$AF$1139,31,0)</f>
        <v>7</v>
      </c>
      <c r="Y331" s="89" t="str">
        <f t="shared" si="40"/>
        <v>Se mantiene</v>
      </c>
    </row>
    <row r="332" spans="22:25" x14ac:dyDescent="0.25">
      <c r="V332" s="90">
        <v>835</v>
      </c>
      <c r="W332" s="91">
        <f>VLOOKUP(V332,'BD1'!$A$2:$AF$1139,31,0)</f>
        <v>8</v>
      </c>
      <c r="X332" s="91">
        <f>VLOOKUP(V332,'BD2'!$A$2:$AF$1139,31,0)</f>
        <v>7</v>
      </c>
      <c r="Y332" s="92" t="str">
        <f t="shared" si="40"/>
        <v>Pérdida</v>
      </c>
    </row>
    <row r="333" spans="22:25" x14ac:dyDescent="0.25">
      <c r="V333" s="87">
        <v>854</v>
      </c>
      <c r="W333" s="88">
        <f>VLOOKUP(V333,'BD1'!$A$2:$AF$1139,31,0)</f>
        <v>7</v>
      </c>
      <c r="X333" s="88">
        <f>VLOOKUP(V333,'BD2'!$A$2:$AF$1139,31,0)</f>
        <v>8</v>
      </c>
      <c r="Y333" s="89" t="str">
        <f t="shared" si="40"/>
        <v>Mejoría</v>
      </c>
    </row>
    <row r="334" spans="22:25" x14ac:dyDescent="0.25">
      <c r="V334" s="90">
        <v>866</v>
      </c>
      <c r="W334" s="91">
        <f>VLOOKUP(V334,'BD1'!$A$2:$AF$1139,31,0)</f>
        <v>8</v>
      </c>
      <c r="X334" s="91">
        <f>VLOOKUP(V334,'BD2'!$A$2:$AF$1139,31,0)</f>
        <v>7</v>
      </c>
      <c r="Y334" s="92" t="str">
        <f t="shared" si="40"/>
        <v>Pérdida</v>
      </c>
    </row>
    <row r="335" spans="22:25" x14ac:dyDescent="0.25">
      <c r="V335" s="87">
        <v>886</v>
      </c>
      <c r="W335" s="88">
        <f>VLOOKUP(V335,'BD1'!$A$2:$AF$1139,31,0)</f>
        <v>8</v>
      </c>
      <c r="X335" s="88">
        <f>VLOOKUP(V335,'BD2'!$A$2:$AF$1139,31,0)</f>
        <v>7</v>
      </c>
      <c r="Y335" s="89" t="str">
        <f t="shared" si="40"/>
        <v>Pérdida</v>
      </c>
    </row>
    <row r="336" spans="22:25" x14ac:dyDescent="0.25">
      <c r="V336" s="90">
        <v>904</v>
      </c>
      <c r="W336" s="91">
        <f>VLOOKUP(V336,'BD1'!$A$2:$AF$1139,31,0)</f>
        <v>8</v>
      </c>
      <c r="X336" s="91">
        <f>VLOOKUP(V336,'BD2'!$A$2:$AF$1139,31,0)</f>
        <v>7</v>
      </c>
      <c r="Y336" s="92" t="str">
        <f t="shared" si="40"/>
        <v>Pérdida</v>
      </c>
    </row>
    <row r="337" spans="22:25" x14ac:dyDescent="0.25">
      <c r="V337" s="87">
        <v>905</v>
      </c>
      <c r="W337" s="88">
        <f>VLOOKUP(V337,'BD1'!$A$2:$AF$1139,31,0)</f>
        <v>8</v>
      </c>
      <c r="X337" s="88">
        <f>VLOOKUP(V337,'BD2'!$A$2:$AF$1139,31,0)</f>
        <v>7</v>
      </c>
      <c r="Y337" s="89" t="str">
        <f t="shared" si="40"/>
        <v>Pérdida</v>
      </c>
    </row>
    <row r="338" spans="22:25" x14ac:dyDescent="0.25">
      <c r="V338" s="90">
        <v>1000</v>
      </c>
      <c r="W338" s="91">
        <f>VLOOKUP(V338,'BD1'!$A$2:$AF$1139,31,0)</f>
        <v>4</v>
      </c>
      <c r="X338" s="91">
        <f>VLOOKUP(V338,'BD2'!$A$2:$AF$1139,31,0)</f>
        <v>7</v>
      </c>
      <c r="Y338" s="92" t="str">
        <f t="shared" si="40"/>
        <v>Mejoría</v>
      </c>
    </row>
    <row r="339" spans="22:25" x14ac:dyDescent="0.25">
      <c r="V339" s="87">
        <v>1009</v>
      </c>
      <c r="W339" s="88">
        <f>VLOOKUP(V339,'BD1'!$A$2:$AF$1139,31,0)</f>
        <v>8</v>
      </c>
      <c r="X339" s="88">
        <f>VLOOKUP(V339,'BD2'!$A$2:$AF$1139,31,0)</f>
        <v>8</v>
      </c>
      <c r="Y339" s="89" t="str">
        <f t="shared" si="40"/>
        <v>Se mantiene</v>
      </c>
    </row>
    <row r="340" spans="22:25" x14ac:dyDescent="0.25">
      <c r="V340" s="90">
        <v>1050</v>
      </c>
      <c r="W340" s="91">
        <f>VLOOKUP(V340,'BD1'!$A$2:$AF$1139,31,0)</f>
        <v>7</v>
      </c>
      <c r="X340" s="91">
        <f>VLOOKUP(V340,'BD2'!$A$2:$AF$1139,31,0)</f>
        <v>7</v>
      </c>
      <c r="Y340" s="92" t="str">
        <f t="shared" si="40"/>
        <v>Se mantiene</v>
      </c>
    </row>
    <row r="341" spans="22:25" x14ac:dyDescent="0.25">
      <c r="V341" s="87">
        <v>1052</v>
      </c>
      <c r="W341" s="88">
        <f>VLOOKUP(V341,'BD1'!$A$2:$AF$1139,31,0)</f>
        <v>8</v>
      </c>
      <c r="X341" s="88">
        <f>VLOOKUP(V341,'BD2'!$A$2:$AF$1139,31,0)</f>
        <v>8</v>
      </c>
      <c r="Y341" s="89" t="str">
        <f t="shared" si="40"/>
        <v>Se mantiene</v>
      </c>
    </row>
    <row r="342" spans="22:25" x14ac:dyDescent="0.25">
      <c r="V342" s="90">
        <v>1053</v>
      </c>
      <c r="W342" s="91">
        <f>VLOOKUP(V342,'BD1'!$A$2:$AF$1139,31,0)</f>
        <v>8</v>
      </c>
      <c r="X342" s="91">
        <f>VLOOKUP(V342,'BD2'!$A$2:$AF$1139,31,0)</f>
        <v>8</v>
      </c>
      <c r="Y342" s="92" t="str">
        <f t="shared" si="40"/>
        <v>Se mantiene</v>
      </c>
    </row>
    <row r="343" spans="22:25" x14ac:dyDescent="0.25">
      <c r="V343" s="87">
        <v>1096</v>
      </c>
      <c r="W343" s="88">
        <f>VLOOKUP(V343,'BD1'!$A$2:$AF$1139,31,0)</f>
        <v>8</v>
      </c>
      <c r="X343" s="88">
        <f>VLOOKUP(V343,'BD2'!$A$2:$AF$1139,31,0)</f>
        <v>7</v>
      </c>
      <c r="Y343" s="89" t="str">
        <f t="shared" si="40"/>
        <v>Pérdida</v>
      </c>
    </row>
    <row r="344" spans="22:25" x14ac:dyDescent="0.25">
      <c r="V344" s="90">
        <v>19</v>
      </c>
      <c r="W344" s="91">
        <f>VLOOKUP(V344,'BD1'!$A$2:$AF$1139,31,0)</f>
        <v>7</v>
      </c>
      <c r="X344" s="91">
        <f>VLOOKUP(V344,'BD2'!$A$2:$AF$1139,31,0)</f>
        <v>8</v>
      </c>
      <c r="Y344" s="92" t="str">
        <f t="shared" si="40"/>
        <v>Mejoría</v>
      </c>
    </row>
    <row r="345" spans="22:25" x14ac:dyDescent="0.25">
      <c r="V345" s="87">
        <v>21</v>
      </c>
      <c r="W345" s="88">
        <f>VLOOKUP(V345,'BD1'!$A$2:$AF$1139,31,0)</f>
        <v>8</v>
      </c>
      <c r="X345" s="88">
        <f>VLOOKUP(V345,'BD2'!$A$2:$AF$1139,31,0)</f>
        <v>8</v>
      </c>
      <c r="Y345" s="89" t="str">
        <f t="shared" si="40"/>
        <v>Se mantiene</v>
      </c>
    </row>
    <row r="346" spans="22:25" x14ac:dyDescent="0.25">
      <c r="V346" s="90">
        <v>22</v>
      </c>
      <c r="W346" s="91">
        <f>VLOOKUP(V346,'BD1'!$A$2:$AF$1139,31,0)</f>
        <v>8</v>
      </c>
      <c r="X346" s="91">
        <f>VLOOKUP(V346,'BD2'!$A$2:$AF$1139,31,0)</f>
        <v>7</v>
      </c>
      <c r="Y346" s="92" t="str">
        <f t="shared" si="40"/>
        <v>Pérdida</v>
      </c>
    </row>
    <row r="347" spans="22:25" x14ac:dyDescent="0.25">
      <c r="V347" s="87">
        <v>24</v>
      </c>
      <c r="W347" s="88">
        <f>VLOOKUP(V347,'BD1'!$A$2:$AF$1139,31,0)</f>
        <v>8</v>
      </c>
      <c r="X347" s="88">
        <f>VLOOKUP(V347,'BD2'!$A$2:$AF$1139,31,0)</f>
        <v>4</v>
      </c>
      <c r="Y347" s="89" t="str">
        <f t="shared" si="40"/>
        <v>Pérdida</v>
      </c>
    </row>
    <row r="348" spans="22:25" x14ac:dyDescent="0.25">
      <c r="V348" s="90">
        <v>26</v>
      </c>
      <c r="W348" s="91">
        <f>VLOOKUP(V348,'BD1'!$A$2:$AF$1139,31,0)</f>
        <v>8</v>
      </c>
      <c r="X348" s="91">
        <f>VLOOKUP(V348,'BD2'!$A$2:$AF$1139,31,0)</f>
        <v>8</v>
      </c>
      <c r="Y348" s="92" t="str">
        <f t="shared" si="40"/>
        <v>Se mantiene</v>
      </c>
    </row>
    <row r="349" spans="22:25" x14ac:dyDescent="0.25">
      <c r="V349" s="87">
        <v>132</v>
      </c>
      <c r="W349" s="88">
        <f>VLOOKUP(V349,'BD1'!$A$2:$AF$1139,31,0)</f>
        <v>7</v>
      </c>
      <c r="X349" s="88">
        <f>VLOOKUP(V349,'BD2'!$A$2:$AF$1139,31,0)</f>
        <v>6</v>
      </c>
      <c r="Y349" s="89" t="str">
        <f t="shared" si="40"/>
        <v>Pérdida</v>
      </c>
    </row>
    <row r="350" spans="22:25" x14ac:dyDescent="0.25">
      <c r="V350" s="90">
        <v>169</v>
      </c>
      <c r="W350" s="91">
        <f>VLOOKUP(V350,'BD1'!$A$2:$AF$1139,31,0)</f>
        <v>0</v>
      </c>
      <c r="X350" s="91">
        <f>VLOOKUP(V350,'BD2'!$A$2:$AF$1139,31,0)</f>
        <v>0</v>
      </c>
      <c r="Y350" s="92" t="str">
        <f t="shared" si="40"/>
        <v>Se mantiene</v>
      </c>
    </row>
    <row r="351" spans="22:25" x14ac:dyDescent="0.25">
      <c r="V351" s="87">
        <v>173</v>
      </c>
      <c r="W351" s="88">
        <f>VLOOKUP(V351,'BD1'!$A$2:$AF$1139,31,0)</f>
        <v>8</v>
      </c>
      <c r="X351" s="88">
        <f>VLOOKUP(V351,'BD2'!$A$2:$AF$1139,31,0)</f>
        <v>8</v>
      </c>
      <c r="Y351" s="89" t="str">
        <f t="shared" si="40"/>
        <v>Se mantiene</v>
      </c>
    </row>
    <row r="352" spans="22:25" x14ac:dyDescent="0.25">
      <c r="V352" s="90">
        <v>236</v>
      </c>
      <c r="W352" s="91">
        <f>VLOOKUP(V352,'BD1'!$A$2:$AF$1139,31,0)</f>
        <v>8</v>
      </c>
      <c r="X352" s="91">
        <f>VLOOKUP(V352,'BD2'!$A$2:$AF$1139,31,0)</f>
        <v>8</v>
      </c>
      <c r="Y352" s="92" t="str">
        <f t="shared" si="40"/>
        <v>Se mantiene</v>
      </c>
    </row>
    <row r="353" spans="22:25" x14ac:dyDescent="0.25">
      <c r="V353" s="87">
        <v>328</v>
      </c>
      <c r="W353" s="88">
        <f>VLOOKUP(V353,'BD1'!$A$2:$AF$1139,31,0)</f>
        <v>8</v>
      </c>
      <c r="X353" s="88">
        <f>VLOOKUP(V353,'BD2'!$A$2:$AF$1139,31,0)</f>
        <v>8</v>
      </c>
      <c r="Y353" s="89" t="str">
        <f t="shared" si="40"/>
        <v>Se mantiene</v>
      </c>
    </row>
    <row r="354" spans="22:25" x14ac:dyDescent="0.25">
      <c r="V354" s="90">
        <v>421</v>
      </c>
      <c r="W354" s="91">
        <f>VLOOKUP(V354,'BD1'!$A$2:$AF$1139,31,0)</f>
        <v>8</v>
      </c>
      <c r="X354" s="91">
        <f>VLOOKUP(V354,'BD2'!$A$2:$AF$1139,31,0)</f>
        <v>8</v>
      </c>
      <c r="Y354" s="92" t="str">
        <f t="shared" si="40"/>
        <v>Se mantiene</v>
      </c>
    </row>
    <row r="355" spans="22:25" x14ac:dyDescent="0.25">
      <c r="V355" s="87">
        <v>459</v>
      </c>
      <c r="W355" s="88">
        <f>VLOOKUP(V355,'BD1'!$A$2:$AF$1139,31,0)</f>
        <v>7</v>
      </c>
      <c r="X355" s="88">
        <f>VLOOKUP(V355,'BD2'!$A$2:$AF$1139,31,0)</f>
        <v>0</v>
      </c>
      <c r="Y355" s="89" t="str">
        <f t="shared" si="40"/>
        <v>Pérdida</v>
      </c>
    </row>
    <row r="356" spans="22:25" x14ac:dyDescent="0.25">
      <c r="V356" s="90">
        <v>473</v>
      </c>
      <c r="W356" s="91">
        <f>VLOOKUP(V356,'BD1'!$A$2:$AF$1139,31,0)</f>
        <v>8</v>
      </c>
      <c r="X356" s="91">
        <f>VLOOKUP(V356,'BD2'!$A$2:$AF$1139,31,0)</f>
        <v>8</v>
      </c>
      <c r="Y356" s="92" t="str">
        <f t="shared" si="40"/>
        <v>Se mantiene</v>
      </c>
    </row>
    <row r="357" spans="22:25" x14ac:dyDescent="0.25">
      <c r="V357" s="87">
        <v>530</v>
      </c>
      <c r="W357" s="88">
        <f>VLOOKUP(V357,'BD1'!$A$2:$AF$1139,31,0)</f>
        <v>0</v>
      </c>
      <c r="X357" s="88">
        <f>VLOOKUP(V357,'BD2'!$A$2:$AF$1139,31,0)</f>
        <v>0</v>
      </c>
      <c r="Y357" s="89" t="str">
        <f t="shared" si="40"/>
        <v>Se mantiene</v>
      </c>
    </row>
    <row r="358" spans="22:25" x14ac:dyDescent="0.25">
      <c r="V358" s="90">
        <v>574</v>
      </c>
      <c r="W358" s="91">
        <f>VLOOKUP(V358,'BD1'!$A$2:$AF$1139,31,0)</f>
        <v>6</v>
      </c>
      <c r="X358" s="91">
        <f>VLOOKUP(V358,'BD2'!$A$2:$AF$1139,31,0)</f>
        <v>8</v>
      </c>
      <c r="Y358" s="92" t="str">
        <f t="shared" si="40"/>
        <v>Mejoría</v>
      </c>
    </row>
    <row r="359" spans="22:25" x14ac:dyDescent="0.25">
      <c r="V359" s="87">
        <v>645</v>
      </c>
      <c r="W359" s="88">
        <f>VLOOKUP(V359,'BD1'!$A$2:$AF$1139,31,0)</f>
        <v>0</v>
      </c>
      <c r="X359" s="88">
        <f>VLOOKUP(V359,'BD2'!$A$2:$AF$1139,31,0)</f>
        <v>2</v>
      </c>
      <c r="Y359" s="89" t="str">
        <f t="shared" si="40"/>
        <v>Mejoría</v>
      </c>
    </row>
    <row r="360" spans="22:25" x14ac:dyDescent="0.25">
      <c r="V360" s="90">
        <v>733</v>
      </c>
      <c r="W360" s="91">
        <f>VLOOKUP(V360,'BD1'!$A$2:$AF$1139,31,0)</f>
        <v>8</v>
      </c>
      <c r="X360" s="91">
        <f>VLOOKUP(V360,'BD2'!$A$2:$AF$1139,31,0)</f>
        <v>8</v>
      </c>
      <c r="Y360" s="92" t="str">
        <f t="shared" si="40"/>
        <v>Se mantiene</v>
      </c>
    </row>
    <row r="361" spans="22:25" x14ac:dyDescent="0.25">
      <c r="V361" s="87">
        <v>917</v>
      </c>
      <c r="W361" s="88">
        <f>VLOOKUP(V361,'BD1'!$A$2:$AF$1139,31,0)</f>
        <v>6</v>
      </c>
      <c r="X361" s="88">
        <f>VLOOKUP(V361,'BD2'!$A$2:$AF$1139,31,0)</f>
        <v>7</v>
      </c>
      <c r="Y361" s="89" t="str">
        <f t="shared" si="40"/>
        <v>Mejoría</v>
      </c>
    </row>
    <row r="362" spans="22:25" x14ac:dyDescent="0.25">
      <c r="V362" s="90">
        <v>1007</v>
      </c>
      <c r="W362" s="91">
        <f>VLOOKUP(V362,'BD1'!$A$2:$AF$1139,31,0)</f>
        <v>8</v>
      </c>
      <c r="X362" s="91">
        <f>VLOOKUP(V362,'BD2'!$A$2:$AF$1139,31,0)</f>
        <v>1</v>
      </c>
      <c r="Y362" s="92" t="str">
        <f t="shared" si="40"/>
        <v>Pérdida</v>
      </c>
    </row>
    <row r="363" spans="22:25" x14ac:dyDescent="0.25">
      <c r="V363" s="87">
        <v>1020</v>
      </c>
      <c r="W363" s="88">
        <f>VLOOKUP(V363,'BD1'!$A$2:$AF$1139,31,0)</f>
        <v>8</v>
      </c>
      <c r="X363" s="88">
        <f>VLOOKUP(V363,'BD2'!$A$2:$AF$1139,31,0)</f>
        <v>8</v>
      </c>
      <c r="Y363" s="89" t="str">
        <f t="shared" si="40"/>
        <v>Se mantiene</v>
      </c>
    </row>
    <row r="364" spans="22:25" x14ac:dyDescent="0.25">
      <c r="V364" s="90">
        <v>48</v>
      </c>
      <c r="W364" s="91">
        <f>VLOOKUP(V364,'BD1'!$A$2:$AF$1139,31,0)</f>
        <v>8</v>
      </c>
      <c r="X364" s="91">
        <f>VLOOKUP(V364,'BD2'!$A$2:$AF$1139,31,0)</f>
        <v>8</v>
      </c>
      <c r="Y364" s="92" t="str">
        <f t="shared" si="40"/>
        <v>Se mantiene</v>
      </c>
    </row>
    <row r="365" spans="22:25" x14ac:dyDescent="0.25">
      <c r="V365" s="87">
        <v>49</v>
      </c>
      <c r="W365" s="88">
        <f>VLOOKUP(V365,'BD1'!$A$2:$AF$1139,31,0)</f>
        <v>8</v>
      </c>
      <c r="X365" s="88">
        <f>VLOOKUP(V365,'BD2'!$A$2:$AF$1139,31,0)</f>
        <v>8</v>
      </c>
      <c r="Y365" s="89" t="str">
        <f t="shared" si="40"/>
        <v>Se mantiene</v>
      </c>
    </row>
    <row r="366" spans="22:25" x14ac:dyDescent="0.25">
      <c r="V366" s="90">
        <v>50</v>
      </c>
      <c r="W366" s="91">
        <f>VLOOKUP(V366,'BD1'!$A$2:$AF$1139,31,0)</f>
        <v>8</v>
      </c>
      <c r="X366" s="91">
        <f>VLOOKUP(V366,'BD2'!$A$2:$AF$1139,31,0)</f>
        <v>8</v>
      </c>
      <c r="Y366" s="92" t="str">
        <f t="shared" si="40"/>
        <v>Se mantiene</v>
      </c>
    </row>
    <row r="367" spans="22:25" x14ac:dyDescent="0.25">
      <c r="V367" s="87">
        <v>51</v>
      </c>
      <c r="W367" s="88">
        <f>VLOOKUP(V367,'BD1'!$A$2:$AF$1139,31,0)</f>
        <v>8</v>
      </c>
      <c r="X367" s="88">
        <f>VLOOKUP(V367,'BD2'!$A$2:$AF$1139,31,0)</f>
        <v>6</v>
      </c>
      <c r="Y367" s="89" t="str">
        <f t="shared" si="40"/>
        <v>Pérdida</v>
      </c>
    </row>
    <row r="368" spans="22:25" x14ac:dyDescent="0.25">
      <c r="V368" s="90">
        <v>52</v>
      </c>
      <c r="W368" s="91">
        <f>VLOOKUP(V368,'BD1'!$A$2:$AF$1139,31,0)</f>
        <v>8</v>
      </c>
      <c r="X368" s="91">
        <f>VLOOKUP(V368,'BD2'!$A$2:$AF$1139,31,0)</f>
        <v>7</v>
      </c>
      <c r="Y368" s="92" t="str">
        <f t="shared" si="40"/>
        <v>Pérdida</v>
      </c>
    </row>
    <row r="369" spans="22:25" x14ac:dyDescent="0.25">
      <c r="V369" s="87" t="s">
        <v>3058</v>
      </c>
      <c r="W369" s="88">
        <f>VLOOKUP(V369,'BD1'!$A$2:$AF$1139,31,0)</f>
        <v>8</v>
      </c>
      <c r="X369" s="88">
        <f>VLOOKUP(V369,'BD2'!$A$2:$AF$1139,31,0)</f>
        <v>8</v>
      </c>
      <c r="Y369" s="89" t="str">
        <f t="shared" si="40"/>
        <v>Se mantiene</v>
      </c>
    </row>
    <row r="370" spans="22:25" x14ac:dyDescent="0.25">
      <c r="V370" s="90" t="s">
        <v>3059</v>
      </c>
      <c r="W370" s="91">
        <f>VLOOKUP(V370,'BD1'!$A$2:$AF$1139,31,0)</f>
        <v>1</v>
      </c>
      <c r="X370" s="91">
        <f>VLOOKUP(V370,'BD2'!$A$2:$AF$1139,31,0)</f>
        <v>8</v>
      </c>
      <c r="Y370" s="92" t="str">
        <f t="shared" si="40"/>
        <v>Mejoría</v>
      </c>
    </row>
    <row r="371" spans="22:25" x14ac:dyDescent="0.25">
      <c r="V371" s="87" t="s">
        <v>3060</v>
      </c>
      <c r="W371" s="88">
        <f>VLOOKUP(V371,'BD1'!$A$2:$AF$1139,31,0)</f>
        <v>8</v>
      </c>
      <c r="X371" s="88">
        <f>VLOOKUP(V371,'BD2'!$A$2:$AF$1139,31,0)</f>
        <v>8</v>
      </c>
      <c r="Y371" s="89" t="str">
        <f t="shared" si="40"/>
        <v>Se mantiene</v>
      </c>
    </row>
    <row r="372" spans="22:25" x14ac:dyDescent="0.25">
      <c r="V372" s="90">
        <v>84</v>
      </c>
      <c r="W372" s="91">
        <f>VLOOKUP(V372,'BD1'!$A$2:$AF$1139,31,0)</f>
        <v>7</v>
      </c>
      <c r="X372" s="91">
        <f>VLOOKUP(V372,'BD2'!$A$2:$AF$1139,31,0)</f>
        <v>8</v>
      </c>
      <c r="Y372" s="92" t="str">
        <f t="shared" si="40"/>
        <v>Mejoría</v>
      </c>
    </row>
    <row r="373" spans="22:25" x14ac:dyDescent="0.25">
      <c r="V373" s="87">
        <v>91</v>
      </c>
      <c r="W373" s="88">
        <f>VLOOKUP(V373,'BD1'!$A$2:$AF$1139,31,0)</f>
        <v>8</v>
      </c>
      <c r="X373" s="88">
        <f>VLOOKUP(V373,'BD2'!$A$2:$AF$1139,31,0)</f>
        <v>8</v>
      </c>
      <c r="Y373" s="89" t="str">
        <f t="shared" si="40"/>
        <v>Se mantiene</v>
      </c>
    </row>
    <row r="374" spans="22:25" x14ac:dyDescent="0.25">
      <c r="V374" s="90">
        <v>246</v>
      </c>
      <c r="W374" s="91">
        <f>VLOOKUP(V374,'BD1'!$A$2:$AF$1139,31,0)</f>
        <v>3</v>
      </c>
      <c r="X374" s="91">
        <f>VLOOKUP(V374,'BD2'!$A$2:$AF$1139,31,0)</f>
        <v>7</v>
      </c>
      <c r="Y374" s="92" t="str">
        <f t="shared" si="40"/>
        <v>Mejoría</v>
      </c>
    </row>
    <row r="375" spans="22:25" x14ac:dyDescent="0.25">
      <c r="V375" s="87">
        <v>511</v>
      </c>
      <c r="W375" s="88">
        <f>VLOOKUP(V375,'BD1'!$A$2:$AF$1139,31,0)</f>
        <v>8</v>
      </c>
      <c r="X375" s="88">
        <f>VLOOKUP(V375,'BD2'!$A$2:$AF$1139,31,0)</f>
        <v>7</v>
      </c>
      <c r="Y375" s="89" t="str">
        <f t="shared" si="40"/>
        <v>Pérdida</v>
      </c>
    </row>
    <row r="376" spans="22:25" x14ac:dyDescent="0.25">
      <c r="V376" s="90">
        <v>521</v>
      </c>
      <c r="W376" s="91">
        <f>VLOOKUP(V376,'BD1'!$A$2:$AF$1139,31,0)</f>
        <v>8</v>
      </c>
      <c r="X376" s="91">
        <f>VLOOKUP(V376,'BD2'!$A$2:$AF$1139,31,0)</f>
        <v>8</v>
      </c>
      <c r="Y376" s="92" t="str">
        <f t="shared" si="40"/>
        <v>Se mantiene</v>
      </c>
    </row>
    <row r="377" spans="22:25" x14ac:dyDescent="0.25">
      <c r="V377" s="87">
        <v>526</v>
      </c>
      <c r="W377" s="88">
        <f>VLOOKUP(V377,'BD1'!$A$2:$AF$1139,31,0)</f>
        <v>1</v>
      </c>
      <c r="X377" s="88">
        <f>VLOOKUP(V377,'BD2'!$A$2:$AF$1139,31,0)</f>
        <v>3</v>
      </c>
      <c r="Y377" s="89" t="str">
        <f t="shared" si="40"/>
        <v>Mejoría</v>
      </c>
    </row>
    <row r="378" spans="22:25" x14ac:dyDescent="0.25">
      <c r="V378" s="90">
        <v>567</v>
      </c>
      <c r="W378" s="91">
        <f>VLOOKUP(V378,'BD1'!$A$2:$AF$1139,31,0)</f>
        <v>0</v>
      </c>
      <c r="X378" s="91">
        <f>VLOOKUP(V378,'BD2'!$A$2:$AF$1139,31,0)</f>
        <v>0</v>
      </c>
      <c r="Y378" s="92" t="str">
        <f t="shared" si="40"/>
        <v>Se mantiene</v>
      </c>
    </row>
    <row r="379" spans="22:25" x14ac:dyDescent="0.25">
      <c r="V379" s="87">
        <v>588</v>
      </c>
      <c r="W379" s="88">
        <f>VLOOKUP(V379,'BD1'!$A$2:$AF$1139,31,0)</f>
        <v>8</v>
      </c>
      <c r="X379" s="88">
        <f>VLOOKUP(V379,'BD2'!$A$2:$AF$1139,31,0)</f>
        <v>0</v>
      </c>
      <c r="Y379" s="89" t="str">
        <f t="shared" si="40"/>
        <v>Pérdida</v>
      </c>
    </row>
    <row r="380" spans="22:25" x14ac:dyDescent="0.25">
      <c r="V380" s="90">
        <v>616</v>
      </c>
      <c r="W380" s="91">
        <f>VLOOKUP(V380,'BD1'!$A$2:$AF$1139,31,0)</f>
        <v>6</v>
      </c>
      <c r="X380" s="91">
        <f>VLOOKUP(V380,'BD2'!$A$2:$AF$1139,31,0)</f>
        <v>2</v>
      </c>
      <c r="Y380" s="92" t="str">
        <f t="shared" si="40"/>
        <v>Pérdida</v>
      </c>
    </row>
    <row r="381" spans="22:25" x14ac:dyDescent="0.25">
      <c r="V381" s="87">
        <v>667</v>
      </c>
      <c r="W381" s="88">
        <f>VLOOKUP(V381,'BD1'!$A$2:$AF$1139,31,0)</f>
        <v>8</v>
      </c>
      <c r="X381" s="88">
        <f>VLOOKUP(V381,'BD2'!$A$2:$AF$1139,31,0)</f>
        <v>4</v>
      </c>
      <c r="Y381" s="89" t="str">
        <f t="shared" si="40"/>
        <v>Pérdida</v>
      </c>
    </row>
    <row r="382" spans="22:25" x14ac:dyDescent="0.25">
      <c r="V382" s="90">
        <v>751</v>
      </c>
      <c r="W382" s="91">
        <f>VLOOKUP(V382,'BD1'!$A$2:$AF$1139,31,0)</f>
        <v>3</v>
      </c>
      <c r="X382" s="91">
        <f>VLOOKUP(V382,'BD2'!$A$2:$AF$1139,31,0)</f>
        <v>3</v>
      </c>
      <c r="Y382" s="92" t="str">
        <f t="shared" si="40"/>
        <v>Se mantiene</v>
      </c>
    </row>
    <row r="383" spans="22:25" x14ac:dyDescent="0.25">
      <c r="V383" s="87">
        <v>769</v>
      </c>
      <c r="W383" s="88">
        <f>VLOOKUP(V383,'BD1'!$A$2:$AF$1139,31,0)</f>
        <v>8</v>
      </c>
      <c r="X383" s="88">
        <f>VLOOKUP(V383,'BD2'!$A$2:$AF$1139,31,0)</f>
        <v>0</v>
      </c>
      <c r="Y383" s="89" t="str">
        <f t="shared" si="40"/>
        <v>Pérdida</v>
      </c>
    </row>
    <row r="384" spans="22:25" x14ac:dyDescent="0.25">
      <c r="V384" s="90">
        <v>825</v>
      </c>
      <c r="W384" s="91">
        <f>VLOOKUP(V384,'BD1'!$A$2:$AF$1139,31,0)</f>
        <v>0</v>
      </c>
      <c r="X384" s="91">
        <f>VLOOKUP(V384,'BD2'!$A$2:$AF$1139,31,0)</f>
        <v>0</v>
      </c>
      <c r="Y384" s="92" t="str">
        <f t="shared" si="40"/>
        <v>Se mantiene</v>
      </c>
    </row>
    <row r="385" spans="22:25" x14ac:dyDescent="0.25">
      <c r="V385" s="87" t="s">
        <v>3028</v>
      </c>
      <c r="W385" s="88">
        <f>VLOOKUP(V385,'BD1'!$A$2:$AF$1139,31,0)</f>
        <v>8</v>
      </c>
      <c r="X385" s="88">
        <f>VLOOKUP(V385,'BD2'!$A$2:$AF$1139,31,0)</f>
        <v>8</v>
      </c>
      <c r="Y385" s="89" t="str">
        <f t="shared" si="40"/>
        <v>Se mantiene</v>
      </c>
    </row>
    <row r="386" spans="22:25" x14ac:dyDescent="0.25">
      <c r="V386" s="90" t="s">
        <v>3029</v>
      </c>
      <c r="W386" s="91">
        <f>VLOOKUP(V386,'BD1'!$A$2:$AF$1139,31,0)</f>
        <v>8</v>
      </c>
      <c r="X386" s="91">
        <f>VLOOKUP(V386,'BD2'!$A$2:$AF$1139,31,0)</f>
        <v>1</v>
      </c>
      <c r="Y386" s="92" t="str">
        <f t="shared" si="40"/>
        <v>Pérdida</v>
      </c>
    </row>
    <row r="387" spans="22:25" x14ac:dyDescent="0.25">
      <c r="V387" s="87">
        <v>834</v>
      </c>
      <c r="W387" s="88">
        <f>VLOOKUP(V387,'BD1'!$A$2:$AF$1139,31,0)</f>
        <v>5</v>
      </c>
      <c r="X387" s="88">
        <f>VLOOKUP(V387,'BD2'!$A$2:$AF$1139,31,0)</f>
        <v>1</v>
      </c>
      <c r="Y387" s="89" t="str">
        <f t="shared" si="40"/>
        <v>Pérdida</v>
      </c>
    </row>
    <row r="388" spans="22:25" x14ac:dyDescent="0.25">
      <c r="V388" s="90">
        <v>839</v>
      </c>
      <c r="W388" s="91">
        <f>VLOOKUP(V388,'BD1'!$A$2:$AF$1139,31,0)</f>
        <v>0</v>
      </c>
      <c r="X388" s="91">
        <f>VLOOKUP(V388,'BD2'!$A$2:$AF$1139,31,0)</f>
        <v>8</v>
      </c>
      <c r="Y388" s="92" t="str">
        <f t="shared" ref="Y388:Y418" si="41">IF(X388&gt;W388,"Mejoría",IF(X388&lt;W388,"Pérdida","Se mantiene"))</f>
        <v>Mejoría</v>
      </c>
    </row>
    <row r="389" spans="22:25" x14ac:dyDescent="0.25">
      <c r="V389" s="87">
        <v>860</v>
      </c>
      <c r="W389" s="88">
        <f>VLOOKUP(V389,'BD1'!$A$2:$AF$1139,31,0)</f>
        <v>8</v>
      </c>
      <c r="X389" s="88">
        <f>VLOOKUP(V389,'BD2'!$A$2:$AF$1139,31,0)</f>
        <v>7</v>
      </c>
      <c r="Y389" s="89" t="str">
        <f t="shared" si="41"/>
        <v>Pérdida</v>
      </c>
    </row>
    <row r="390" spans="22:25" x14ac:dyDescent="0.25">
      <c r="V390" s="90">
        <v>861</v>
      </c>
      <c r="W390" s="91">
        <f>VLOOKUP(V390,'BD1'!$A$2:$AF$1139,31,0)</f>
        <v>8</v>
      </c>
      <c r="X390" s="91">
        <f>VLOOKUP(V390,'BD2'!$A$2:$AF$1139,31,0)</f>
        <v>8</v>
      </c>
      <c r="Y390" s="92" t="str">
        <f t="shared" si="41"/>
        <v>Se mantiene</v>
      </c>
    </row>
    <row r="391" spans="22:25" x14ac:dyDescent="0.25">
      <c r="V391" s="87">
        <v>865</v>
      </c>
      <c r="W391" s="88">
        <f>VLOOKUP(V391,'BD1'!$A$2:$AF$1139,31,0)</f>
        <v>7</v>
      </c>
      <c r="X391" s="88">
        <f>VLOOKUP(V391,'BD2'!$A$2:$AF$1139,31,0)</f>
        <v>8</v>
      </c>
      <c r="Y391" s="89" t="str">
        <f t="shared" si="41"/>
        <v>Mejoría</v>
      </c>
    </row>
    <row r="392" spans="22:25" x14ac:dyDescent="0.25">
      <c r="V392" s="90">
        <v>878</v>
      </c>
      <c r="W392" s="91">
        <f>VLOOKUP(V392,'BD1'!$A$2:$AF$1139,31,0)</f>
        <v>8</v>
      </c>
      <c r="X392" s="91">
        <f>VLOOKUP(V392,'BD2'!$A$2:$AF$1139,31,0)</f>
        <v>8</v>
      </c>
      <c r="Y392" s="92" t="str">
        <f t="shared" si="41"/>
        <v>Se mantiene</v>
      </c>
    </row>
    <row r="393" spans="22:25" x14ac:dyDescent="0.25">
      <c r="V393" s="87">
        <v>896</v>
      </c>
      <c r="W393" s="88">
        <f>VLOOKUP(V393,'BD1'!$A$2:$AF$1139,31,0)</f>
        <v>8</v>
      </c>
      <c r="X393" s="88">
        <f>VLOOKUP(V393,'BD2'!$A$2:$AF$1139,31,0)</f>
        <v>8</v>
      </c>
      <c r="Y393" s="89" t="str">
        <f t="shared" si="41"/>
        <v>Se mantiene</v>
      </c>
    </row>
    <row r="394" spans="22:25" x14ac:dyDescent="0.25">
      <c r="V394" s="90">
        <v>901</v>
      </c>
      <c r="W394" s="91">
        <f>VLOOKUP(V394,'BD1'!$A$2:$AF$1139,31,0)</f>
        <v>8</v>
      </c>
      <c r="X394" s="91">
        <f>VLOOKUP(V394,'BD2'!$A$2:$AF$1139,31,0)</f>
        <v>0</v>
      </c>
      <c r="Y394" s="92" t="str">
        <f t="shared" si="41"/>
        <v>Pérdida</v>
      </c>
    </row>
    <row r="395" spans="22:25" x14ac:dyDescent="0.25">
      <c r="V395" s="87">
        <v>907</v>
      </c>
      <c r="W395" s="88">
        <f>VLOOKUP(V395,'BD1'!$A$2:$AF$1139,31,0)</f>
        <v>7</v>
      </c>
      <c r="X395" s="88">
        <f>VLOOKUP(V395,'BD2'!$A$2:$AF$1139,31,0)</f>
        <v>8</v>
      </c>
      <c r="Y395" s="89" t="str">
        <f t="shared" si="41"/>
        <v>Mejoría</v>
      </c>
    </row>
    <row r="396" spans="22:25" x14ac:dyDescent="0.25">
      <c r="V396" s="90">
        <v>913</v>
      </c>
      <c r="W396" s="91">
        <f>VLOOKUP(V396,'BD1'!$A$2:$AF$1139,31,0)</f>
        <v>8</v>
      </c>
      <c r="X396" s="91">
        <f>VLOOKUP(V396,'BD2'!$A$2:$AF$1139,31,0)</f>
        <v>8</v>
      </c>
      <c r="Y396" s="92" t="str">
        <f t="shared" si="41"/>
        <v>Se mantiene</v>
      </c>
    </row>
    <row r="397" spans="22:25" x14ac:dyDescent="0.25">
      <c r="V397" s="87">
        <v>922</v>
      </c>
      <c r="W397" s="88">
        <f>VLOOKUP(V397,'BD1'!$A$2:$AF$1139,31,0)</f>
        <v>0</v>
      </c>
      <c r="X397" s="88">
        <f>VLOOKUP(V397,'BD2'!$A$2:$AF$1139,31,0)</f>
        <v>0</v>
      </c>
      <c r="Y397" s="89" t="str">
        <f t="shared" si="41"/>
        <v>Se mantiene</v>
      </c>
    </row>
    <row r="398" spans="22:25" x14ac:dyDescent="0.25">
      <c r="V398" s="90">
        <v>923</v>
      </c>
      <c r="W398" s="91">
        <f>VLOOKUP(V398,'BD1'!$A$2:$AF$1139,31,0)</f>
        <v>8</v>
      </c>
      <c r="X398" s="91">
        <f>VLOOKUP(V398,'BD2'!$A$2:$AF$1139,31,0)</f>
        <v>8</v>
      </c>
      <c r="Y398" s="92" t="str">
        <f t="shared" si="41"/>
        <v>Se mantiene</v>
      </c>
    </row>
    <row r="399" spans="22:25" x14ac:dyDescent="0.25">
      <c r="V399" s="87">
        <v>924</v>
      </c>
      <c r="W399" s="88">
        <f>VLOOKUP(V399,'BD1'!$A$2:$AF$1139,31,0)</f>
        <v>8</v>
      </c>
      <c r="X399" s="88">
        <f>VLOOKUP(V399,'BD2'!$A$2:$AF$1139,31,0)</f>
        <v>8</v>
      </c>
      <c r="Y399" s="89" t="str">
        <f t="shared" si="41"/>
        <v>Se mantiene</v>
      </c>
    </row>
    <row r="400" spans="22:25" x14ac:dyDescent="0.25">
      <c r="V400" s="90">
        <v>925</v>
      </c>
      <c r="W400" s="91">
        <f>VLOOKUP(V400,'BD1'!$A$2:$AF$1139,31,0)</f>
        <v>0</v>
      </c>
      <c r="X400" s="91">
        <f>VLOOKUP(V400,'BD2'!$A$2:$AF$1139,31,0)</f>
        <v>0</v>
      </c>
      <c r="Y400" s="92" t="str">
        <f t="shared" si="41"/>
        <v>Se mantiene</v>
      </c>
    </row>
    <row r="401" spans="22:25" x14ac:dyDescent="0.25">
      <c r="V401" s="87">
        <v>926</v>
      </c>
      <c r="W401" s="88">
        <f>VLOOKUP(V401,'BD1'!$A$2:$AF$1139,31,0)</f>
        <v>8</v>
      </c>
      <c r="X401" s="88">
        <f>VLOOKUP(V401,'BD2'!$A$2:$AF$1139,31,0)</f>
        <v>8</v>
      </c>
      <c r="Y401" s="89" t="str">
        <f t="shared" si="41"/>
        <v>Se mantiene</v>
      </c>
    </row>
    <row r="402" spans="22:25" x14ac:dyDescent="0.25">
      <c r="V402" s="90">
        <v>956</v>
      </c>
      <c r="W402" s="91">
        <f>VLOOKUP(V402,'BD1'!$A$2:$AF$1139,31,0)</f>
        <v>8</v>
      </c>
      <c r="X402" s="91">
        <f>VLOOKUP(V402,'BD2'!$A$2:$AF$1139,31,0)</f>
        <v>7</v>
      </c>
      <c r="Y402" s="92" t="str">
        <f t="shared" si="41"/>
        <v>Pérdida</v>
      </c>
    </row>
    <row r="403" spans="22:25" x14ac:dyDescent="0.25">
      <c r="V403" s="87">
        <v>961</v>
      </c>
      <c r="W403" s="88">
        <f>VLOOKUP(V403,'BD1'!$A$2:$AF$1139,31,0)</f>
        <v>8</v>
      </c>
      <c r="X403" s="88">
        <f>VLOOKUP(V403,'BD2'!$A$2:$AF$1139,31,0)</f>
        <v>8</v>
      </c>
      <c r="Y403" s="89" t="str">
        <f t="shared" si="41"/>
        <v>Se mantiene</v>
      </c>
    </row>
    <row r="404" spans="22:25" x14ac:dyDescent="0.25">
      <c r="V404" s="90">
        <v>962</v>
      </c>
      <c r="W404" s="91">
        <f>VLOOKUP(V404,'BD1'!$A$2:$AF$1139,31,0)</f>
        <v>8</v>
      </c>
      <c r="X404" s="91">
        <f>VLOOKUP(V404,'BD2'!$A$2:$AF$1139,31,0)</f>
        <v>8</v>
      </c>
      <c r="Y404" s="92" t="str">
        <f t="shared" si="41"/>
        <v>Se mantiene</v>
      </c>
    </row>
    <row r="405" spans="22:25" x14ac:dyDescent="0.25">
      <c r="V405" s="87">
        <v>1015</v>
      </c>
      <c r="W405" s="88">
        <f>VLOOKUP(V405,'BD1'!$A$2:$AF$1139,31,0)</f>
        <v>8</v>
      </c>
      <c r="X405" s="88">
        <f>VLOOKUP(V405,'BD2'!$A$2:$AF$1139,31,0)</f>
        <v>8</v>
      </c>
      <c r="Y405" s="89" t="str">
        <f t="shared" si="41"/>
        <v>Se mantiene</v>
      </c>
    </row>
    <row r="406" spans="22:25" x14ac:dyDescent="0.25">
      <c r="V406" s="90">
        <v>1024</v>
      </c>
      <c r="W406" s="91">
        <f>VLOOKUP(V406,'BD1'!$A$2:$AF$1139,31,0)</f>
        <v>8</v>
      </c>
      <c r="X406" s="91">
        <f>VLOOKUP(V406,'BD2'!$A$2:$AF$1139,31,0)</f>
        <v>7</v>
      </c>
      <c r="Y406" s="92" t="str">
        <f t="shared" si="41"/>
        <v>Pérdida</v>
      </c>
    </row>
    <row r="407" spans="22:25" x14ac:dyDescent="0.25">
      <c r="V407" s="87">
        <v>1025</v>
      </c>
      <c r="W407" s="88">
        <f>VLOOKUP(V407,'BD1'!$A$2:$AF$1139,31,0)</f>
        <v>8</v>
      </c>
      <c r="X407" s="88">
        <f>VLOOKUP(V407,'BD2'!$A$2:$AF$1139,31,0)</f>
        <v>8</v>
      </c>
      <c r="Y407" s="89" t="str">
        <f t="shared" si="41"/>
        <v>Se mantiene</v>
      </c>
    </row>
    <row r="408" spans="22:25" x14ac:dyDescent="0.25">
      <c r="V408" s="90">
        <v>1026</v>
      </c>
      <c r="W408" s="91">
        <f>VLOOKUP(V408,'BD1'!$A$2:$AF$1139,31,0)</f>
        <v>3</v>
      </c>
      <c r="X408" s="91">
        <f>VLOOKUP(V408,'BD2'!$A$2:$AF$1139,31,0)</f>
        <v>8</v>
      </c>
      <c r="Y408" s="92" t="str">
        <f t="shared" si="41"/>
        <v>Mejoría</v>
      </c>
    </row>
    <row r="409" spans="22:25" x14ac:dyDescent="0.25">
      <c r="V409" s="87">
        <v>1090</v>
      </c>
      <c r="W409" s="88">
        <f>VLOOKUP(V409,'BD1'!$A$2:$AF$1139,31,0)</f>
        <v>7</v>
      </c>
      <c r="X409" s="88">
        <f>VLOOKUP(V409,'BD2'!$A$2:$AF$1139,31,0)</f>
        <v>3</v>
      </c>
      <c r="Y409" s="89" t="str">
        <f t="shared" si="41"/>
        <v>Pérdida</v>
      </c>
    </row>
    <row r="410" spans="22:25" x14ac:dyDescent="0.25">
      <c r="V410" s="90">
        <v>1107</v>
      </c>
      <c r="W410" s="91">
        <f>VLOOKUP(V410,'BD1'!$A$2:$AF$1139,31,0)</f>
        <v>8</v>
      </c>
      <c r="X410" s="91">
        <f>VLOOKUP(V410,'BD2'!$A$2:$AF$1139,31,0)</f>
        <v>8</v>
      </c>
      <c r="Y410" s="92" t="str">
        <f t="shared" si="41"/>
        <v>Se mantiene</v>
      </c>
    </row>
    <row r="411" spans="22:25" x14ac:dyDescent="0.25">
      <c r="V411" s="87">
        <v>1111</v>
      </c>
      <c r="W411" s="88">
        <f>VLOOKUP(V411,'BD1'!$A$2:$AF$1139,31,0)</f>
        <v>8</v>
      </c>
      <c r="X411" s="88">
        <f>VLOOKUP(V411,'BD2'!$A$2:$AF$1139,31,0)</f>
        <v>8</v>
      </c>
      <c r="Y411" s="89" t="str">
        <f t="shared" si="41"/>
        <v>Se mantiene</v>
      </c>
    </row>
    <row r="412" spans="22:25" x14ac:dyDescent="0.25">
      <c r="V412" s="90">
        <v>1112</v>
      </c>
      <c r="W412" s="91">
        <f>VLOOKUP(V412,'BD1'!$A$2:$AF$1139,31,0)</f>
        <v>4</v>
      </c>
      <c r="X412" s="91">
        <f>VLOOKUP(V412,'BD2'!$A$2:$AF$1139,31,0)</f>
        <v>8</v>
      </c>
      <c r="Y412" s="92" t="str">
        <f t="shared" si="41"/>
        <v>Mejoría</v>
      </c>
    </row>
    <row r="413" spans="22:25" x14ac:dyDescent="0.25">
      <c r="V413" s="87">
        <v>1113</v>
      </c>
      <c r="W413" s="88">
        <f>VLOOKUP(V413,'BD1'!$A$2:$AF$1139,31,0)</f>
        <v>8</v>
      </c>
      <c r="X413" s="88">
        <f>VLOOKUP(V413,'BD2'!$A$2:$AF$1139,31,0)</f>
        <v>1</v>
      </c>
      <c r="Y413" s="89" t="str">
        <f t="shared" si="41"/>
        <v>Pérdida</v>
      </c>
    </row>
    <row r="414" spans="22:25" x14ac:dyDescent="0.25">
      <c r="V414" s="90">
        <v>1114</v>
      </c>
      <c r="W414" s="91">
        <f>VLOOKUP(V414,'BD1'!$A$2:$AF$1139,31,0)</f>
        <v>7</v>
      </c>
      <c r="X414" s="91">
        <f>VLOOKUP(V414,'BD2'!$A$2:$AF$1139,31,0)</f>
        <v>8</v>
      </c>
      <c r="Y414" s="92" t="str">
        <f t="shared" si="41"/>
        <v>Mejoría</v>
      </c>
    </row>
    <row r="415" spans="22:25" x14ac:dyDescent="0.25">
      <c r="V415" s="87">
        <v>1115</v>
      </c>
      <c r="W415" s="88">
        <f>VLOOKUP(V415,'BD1'!$A$2:$AF$1139,31,0)</f>
        <v>8</v>
      </c>
      <c r="X415" s="88">
        <f>VLOOKUP(V415,'BD2'!$A$2:$AF$1139,31,0)</f>
        <v>8</v>
      </c>
      <c r="Y415" s="89" t="str">
        <f t="shared" si="41"/>
        <v>Se mantiene</v>
      </c>
    </row>
    <row r="416" spans="22:25" x14ac:dyDescent="0.25">
      <c r="V416" s="90">
        <v>1116</v>
      </c>
      <c r="W416" s="91">
        <f>VLOOKUP(V416,'BD1'!$A$2:$AF$1139,31,0)</f>
        <v>8</v>
      </c>
      <c r="X416" s="91">
        <f>VLOOKUP(V416,'BD2'!$A$2:$AF$1139,31,0)</f>
        <v>0</v>
      </c>
      <c r="Y416" s="92" t="str">
        <f t="shared" si="41"/>
        <v>Pérdida</v>
      </c>
    </row>
    <row r="417" spans="22:25" x14ac:dyDescent="0.25">
      <c r="V417" s="87">
        <v>1117</v>
      </c>
      <c r="W417" s="88">
        <f>VLOOKUP(V417,'BD1'!$A$2:$AF$1139,31,0)</f>
        <v>8</v>
      </c>
      <c r="X417" s="88">
        <f>VLOOKUP(V417,'BD2'!$A$2:$AF$1139,31,0)</f>
        <v>8</v>
      </c>
      <c r="Y417" s="89" t="str">
        <f t="shared" si="41"/>
        <v>Se mantiene</v>
      </c>
    </row>
    <row r="418" spans="22:25" x14ac:dyDescent="0.25">
      <c r="V418" s="93">
        <v>1118</v>
      </c>
      <c r="W418" s="94">
        <f>VLOOKUP(V418,'BD1'!$A$2:$AF$1139,31,0)</f>
        <v>8</v>
      </c>
      <c r="X418" s="94">
        <f>VLOOKUP(V418,'BD2'!$A$2:$AF$1139,31,0)</f>
        <v>8</v>
      </c>
      <c r="Y418" s="95" t="str">
        <f t="shared" si="41"/>
        <v>Se mantiene</v>
      </c>
    </row>
  </sheetData>
  <autoFilter ref="V2:Y418" xr:uid="{92EE1BA2-B9E3-4704-B72C-74AC369AEF28}"/>
  <mergeCells count="48">
    <mergeCell ref="N18:S18"/>
    <mergeCell ref="N19:S19"/>
    <mergeCell ref="N20:S20"/>
    <mergeCell ref="N21:S21"/>
    <mergeCell ref="N22:S22"/>
    <mergeCell ref="N16:T16"/>
    <mergeCell ref="N12:S12"/>
    <mergeCell ref="N13:S13"/>
    <mergeCell ref="N14:S14"/>
    <mergeCell ref="N17:S17"/>
    <mergeCell ref="N8:T8"/>
    <mergeCell ref="N9:S9"/>
    <mergeCell ref="N10:S10"/>
    <mergeCell ref="N11:S11"/>
    <mergeCell ref="O6:P6"/>
    <mergeCell ref="Q6:R6"/>
    <mergeCell ref="S6:T6"/>
    <mergeCell ref="S5:T5"/>
    <mergeCell ref="Q5:R5"/>
    <mergeCell ref="O5:P5"/>
    <mergeCell ref="J2:K2"/>
    <mergeCell ref="A7:B7"/>
    <mergeCell ref="A8:B8"/>
    <mergeCell ref="A9:B9"/>
    <mergeCell ref="A10:B10"/>
    <mergeCell ref="A3:B3"/>
    <mergeCell ref="A2:I2"/>
    <mergeCell ref="A4:B4"/>
    <mergeCell ref="A5:B5"/>
    <mergeCell ref="A6:B6"/>
    <mergeCell ref="A11:B11"/>
    <mergeCell ref="A12:B12"/>
    <mergeCell ref="A13:B13"/>
    <mergeCell ref="A14:B14"/>
    <mergeCell ref="A15:B15"/>
    <mergeCell ref="A16:B16"/>
    <mergeCell ref="A17:B17"/>
    <mergeCell ref="A18:B18"/>
    <mergeCell ref="A19:B19"/>
    <mergeCell ref="A24:T24"/>
    <mergeCell ref="A89:H89"/>
    <mergeCell ref="A26:H26"/>
    <mergeCell ref="A35:H35"/>
    <mergeCell ref="A44:H44"/>
    <mergeCell ref="A53:H53"/>
    <mergeCell ref="A62:H62"/>
    <mergeCell ref="A71:H71"/>
    <mergeCell ref="A80:H80"/>
  </mergeCells>
  <conditionalFormatting sqref="C4:I19">
    <cfRule type="cellIs" dxfId="19" priority="2" operator="greaterThan">
      <formula>50</formula>
    </cfRule>
    <cfRule type="cellIs" dxfId="18" priority="3" operator="between">
      <formula>21</formula>
      <formula>30</formula>
    </cfRule>
    <cfRule type="cellIs" dxfId="17" priority="4" operator="between">
      <formula>11</formula>
      <formula>20</formula>
    </cfRule>
    <cfRule type="cellIs" dxfId="16" priority="5" operator="between">
      <formula>1</formula>
      <formula>10</formula>
    </cfRule>
    <cfRule type="cellIs" dxfId="15" priority="6" operator="equal">
      <formula>0</formula>
    </cfRule>
  </conditionalFormatting>
  <conditionalFormatting sqref="J4:K19">
    <cfRule type="colorScale" priority="1">
      <colorScale>
        <cfvo type="min"/>
        <cfvo type="percentile" val="50"/>
        <cfvo type="max"/>
        <color rgb="FF63BE7B"/>
        <color rgb="FFFFEB84"/>
        <color rgb="FFF8696B"/>
      </colorScale>
    </cfRule>
  </conditionalFormatting>
  <conditionalFormatting sqref="Y3:Y418">
    <cfRule type="containsText" dxfId="14" priority="7" operator="containsText" text="Se mantiene">
      <formula>NOT(ISERROR(SEARCH("Se mantiene",Y3)))</formula>
    </cfRule>
    <cfRule type="containsText" dxfId="13" priority="8" operator="containsText" text="Mejoría">
      <formula>NOT(ISERROR(SEARCH("Mejoría",Y3)))</formula>
    </cfRule>
    <cfRule type="containsText" dxfId="12" priority="9" operator="containsText" text="Pérdida">
      <formula>NOT(ISERROR(SEARCH("Pérdida",Y3)))</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6E04-4B1F-487B-8E69-E922832EB5F3}">
  <sheetPr codeName="Hoja4"/>
  <dimension ref="A1:AF1139"/>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RowHeight="12" x14ac:dyDescent="0.2"/>
  <cols>
    <col min="1" max="1" width="5" style="1" bestFit="1" customWidth="1"/>
    <col min="2" max="2" width="11.5" style="1" customWidth="1"/>
    <col min="3" max="3" width="11.19921875" style="3"/>
    <col min="4" max="4" width="7.8984375" style="3" customWidth="1"/>
    <col min="5" max="5" width="15.59765625" style="2" customWidth="1"/>
    <col min="6" max="7" width="11.19921875" style="2"/>
    <col min="8" max="8" width="7.69921875" style="1" customWidth="1"/>
    <col min="9" max="9" width="6.09765625" style="3" bestFit="1" customWidth="1"/>
    <col min="10" max="10" width="7.09765625" style="3" bestFit="1" customWidth="1"/>
    <col min="11" max="11" width="5.3984375" style="1" customWidth="1"/>
    <col min="12" max="12" width="11.69921875" style="1" bestFit="1" customWidth="1"/>
    <col min="13" max="13" width="5.09765625" style="1" customWidth="1"/>
    <col min="14" max="14" width="9" style="1" customWidth="1"/>
    <col min="15" max="16" width="6" style="1" customWidth="1"/>
    <col min="17" max="26" width="5.796875" style="1" customWidth="1"/>
    <col min="27" max="28" width="6" style="1" customWidth="1"/>
    <col min="29" max="29" width="10.19921875" style="2" customWidth="1"/>
    <col min="30" max="30" width="7.8984375" style="2" customWidth="1"/>
    <col min="31" max="31" width="8.59765625" style="1" customWidth="1"/>
    <col min="32" max="32" width="16.59765625" style="2" bestFit="1" customWidth="1"/>
    <col min="33" max="16384" width="11.19921875" style="2"/>
  </cols>
  <sheetData>
    <row r="1" spans="1:32" ht="12.75" thickBot="1" x14ac:dyDescent="0.25">
      <c r="A1" s="96" t="s">
        <v>942</v>
      </c>
      <c r="B1" s="96" t="s">
        <v>955</v>
      </c>
      <c r="C1" s="97" t="s">
        <v>0</v>
      </c>
      <c r="D1" s="97" t="s">
        <v>943</v>
      </c>
      <c r="E1" s="98" t="s">
        <v>1</v>
      </c>
      <c r="F1" s="98" t="s">
        <v>2</v>
      </c>
      <c r="G1" s="98" t="s">
        <v>3</v>
      </c>
      <c r="H1" s="96" t="s">
        <v>6</v>
      </c>
      <c r="I1" s="97" t="s">
        <v>4</v>
      </c>
      <c r="J1" s="97" t="s">
        <v>5</v>
      </c>
      <c r="K1" s="96" t="s">
        <v>3065</v>
      </c>
      <c r="L1" s="96" t="s">
        <v>924</v>
      </c>
      <c r="M1" s="96" t="s">
        <v>941</v>
      </c>
      <c r="N1" s="99" t="s">
        <v>925</v>
      </c>
      <c r="O1" s="100" t="s">
        <v>1423</v>
      </c>
      <c r="P1" s="100" t="s">
        <v>1424</v>
      </c>
      <c r="Q1" s="100" t="s">
        <v>1425</v>
      </c>
      <c r="R1" s="100" t="s">
        <v>923</v>
      </c>
      <c r="S1" s="100" t="s">
        <v>926</v>
      </c>
      <c r="T1" s="100" t="s">
        <v>1422</v>
      </c>
      <c r="U1" s="100" t="s">
        <v>952</v>
      </c>
      <c r="V1" s="100" t="s">
        <v>927</v>
      </c>
      <c r="W1" s="100" t="s">
        <v>928</v>
      </c>
      <c r="X1" s="100" t="s">
        <v>929</v>
      </c>
      <c r="Y1" s="100" t="s">
        <v>930</v>
      </c>
      <c r="Z1" s="100" t="s">
        <v>3027</v>
      </c>
      <c r="AA1" s="100" t="s">
        <v>931</v>
      </c>
      <c r="AB1" s="100" t="s">
        <v>932</v>
      </c>
      <c r="AC1" s="101" t="s">
        <v>933</v>
      </c>
      <c r="AD1" s="101" t="s">
        <v>953</v>
      </c>
      <c r="AE1" s="100" t="s">
        <v>974</v>
      </c>
      <c r="AF1" s="102" t="s">
        <v>3113</v>
      </c>
    </row>
    <row r="2" spans="1:32" x14ac:dyDescent="0.2">
      <c r="A2" s="103">
        <v>1</v>
      </c>
      <c r="B2" s="104" t="s">
        <v>956</v>
      </c>
      <c r="C2" s="105" t="s">
        <v>7</v>
      </c>
      <c r="D2" s="105" t="s">
        <v>404</v>
      </c>
      <c r="E2" s="106" t="s">
        <v>405</v>
      </c>
      <c r="F2" s="106" t="s">
        <v>406</v>
      </c>
      <c r="G2" s="106" t="s">
        <v>975</v>
      </c>
      <c r="H2" s="104" t="s">
        <v>8</v>
      </c>
      <c r="I2" s="105">
        <v>21.127368000000001</v>
      </c>
      <c r="J2" s="105">
        <v>-101.675313</v>
      </c>
      <c r="K2" s="104" t="s">
        <v>139</v>
      </c>
      <c r="L2" s="107" t="str">
        <f>HYPERLINK("https://www.google.com/maps?q=" &amp; I2 &amp; "," &amp; J2, "Ver en Google Maps")</f>
        <v>Ver en Google Maps</v>
      </c>
      <c r="M2" s="104">
        <v>1</v>
      </c>
      <c r="N2" s="108">
        <v>45929</v>
      </c>
      <c r="O2" s="109">
        <f>DAY('BD1'!$N2)</f>
        <v>29</v>
      </c>
      <c r="P2" s="109">
        <f>MONTH('BD1'!$N2)</f>
        <v>9</v>
      </c>
      <c r="Q2" s="109">
        <f>YEAR('BD1'!$N2)</f>
        <v>2025</v>
      </c>
      <c r="R2" s="109">
        <v>1</v>
      </c>
      <c r="S2" s="109" t="s">
        <v>138</v>
      </c>
      <c r="T2" s="109" t="s">
        <v>138</v>
      </c>
      <c r="U2" s="109" t="s">
        <v>138</v>
      </c>
      <c r="V2" s="109" t="s">
        <v>138</v>
      </c>
      <c r="W2" s="109" t="s">
        <v>138</v>
      </c>
      <c r="X2" s="109" t="s">
        <v>138</v>
      </c>
      <c r="Y2" s="109" t="s">
        <v>138</v>
      </c>
      <c r="Z2" s="109" t="s">
        <v>138</v>
      </c>
      <c r="AA2" s="109">
        <v>38.58</v>
      </c>
      <c r="AB2" s="109">
        <v>99.83</v>
      </c>
      <c r="AC2" s="110" t="s">
        <v>967</v>
      </c>
      <c r="AD2" s="110" t="s">
        <v>954</v>
      </c>
      <c r="AE2" s="109">
        <f>COUNTIF(S2:Z2, "si")</f>
        <v>8</v>
      </c>
      <c r="AF2" s="151" t="str">
        <f>IF('BD1'!$AE2=8,"Estable",(IF('BD1'!$AE2=7,"Funcional con observaciones", (IF('BD1'!$AE2=6,"Funcional con observaciones",(IF('BD1'!$AE2=5,"Rendimiento bajo",(IF('BD1'!$AE2=4,"Parcialmente funcional",(IF('BD1'!$AE2=3,"Parcialmente funcional",(IF('BD1'!$AE2=2,"Inoperativo",(IF('BD1'!$AE2=1,"Inoperativo","Crítico")))))))))))))))</f>
        <v>Estable</v>
      </c>
    </row>
    <row r="3" spans="1:32" x14ac:dyDescent="0.2">
      <c r="A3" s="112">
        <v>2</v>
      </c>
      <c r="B3" s="113" t="s">
        <v>956</v>
      </c>
      <c r="C3" s="114" t="s">
        <v>7</v>
      </c>
      <c r="D3" s="114" t="s">
        <v>404</v>
      </c>
      <c r="E3" s="115" t="s">
        <v>9</v>
      </c>
      <c r="F3" s="115" t="s">
        <v>407</v>
      </c>
      <c r="G3" s="115" t="s">
        <v>976</v>
      </c>
      <c r="H3" s="113" t="s">
        <v>8</v>
      </c>
      <c r="I3" s="114">
        <v>21.099482999999999</v>
      </c>
      <c r="J3" s="114">
        <v>-101.699896</v>
      </c>
      <c r="K3" s="113" t="s">
        <v>139</v>
      </c>
      <c r="L3" s="116" t="str">
        <f t="shared" ref="L3:L66" si="0">HYPERLINK("https://www.google.com/maps?q=" &amp; I3 &amp; "," &amp; J3, "Ver en Google Maps")</f>
        <v>Ver en Google Maps</v>
      </c>
      <c r="M3" s="113">
        <v>1</v>
      </c>
      <c r="N3" s="117">
        <v>45932</v>
      </c>
      <c r="O3" s="118">
        <f>DAY('BD1'!$N3)</f>
        <v>2</v>
      </c>
      <c r="P3" s="118">
        <f>MONTH('BD1'!$N3)</f>
        <v>10</v>
      </c>
      <c r="Q3" s="118">
        <f>YEAR('BD1'!$N3)</f>
        <v>2025</v>
      </c>
      <c r="R3" s="118">
        <v>1</v>
      </c>
      <c r="S3" s="118" t="s">
        <v>138</v>
      </c>
      <c r="T3" s="118" t="s">
        <v>138</v>
      </c>
      <c r="U3" s="118" t="s">
        <v>138</v>
      </c>
      <c r="V3" s="118" t="s">
        <v>138</v>
      </c>
      <c r="W3" s="118" t="s">
        <v>138</v>
      </c>
      <c r="X3" s="118" t="s">
        <v>138</v>
      </c>
      <c r="Y3" s="118" t="s">
        <v>138</v>
      </c>
      <c r="Z3" s="118" t="s">
        <v>138</v>
      </c>
      <c r="AA3" s="118">
        <v>15.85</v>
      </c>
      <c r="AB3" s="118">
        <v>11.85</v>
      </c>
      <c r="AC3" s="119" t="s">
        <v>967</v>
      </c>
      <c r="AD3" s="119" t="s">
        <v>954</v>
      </c>
      <c r="AE3" s="118">
        <f t="shared" ref="AE3:AE66" si="1">COUNTIF(S3:Z3, "si")</f>
        <v>8</v>
      </c>
      <c r="AF3" s="152" t="str">
        <f>IF('BD1'!$AE3=8,"Estable",(IF('BD1'!$AE3=7,"Funcional con observaciones", (IF('BD1'!$AE3=6,"Funcional con observaciones",(IF('BD1'!$AE3=5,"Rendimiento bajo",(IF('BD1'!$AE3=4,"Parcialmente funcional",(IF('BD1'!$AE3=3,"Parcialmente funcional",(IF('BD1'!$AE3=2,"Inoperativo",(IF('BD1'!$AE3=1,"Inoperativo","Crítico")))))))))))))))</f>
        <v>Estable</v>
      </c>
    </row>
    <row r="4" spans="1:32" x14ac:dyDescent="0.2">
      <c r="A4" s="121">
        <v>3</v>
      </c>
      <c r="B4" s="122" t="s">
        <v>956</v>
      </c>
      <c r="C4" s="123" t="s">
        <v>7</v>
      </c>
      <c r="D4" s="123" t="s">
        <v>404</v>
      </c>
      <c r="E4" s="124" t="s">
        <v>10</v>
      </c>
      <c r="F4" s="124" t="s">
        <v>408</v>
      </c>
      <c r="G4" s="124" t="s">
        <v>977</v>
      </c>
      <c r="H4" s="122" t="s">
        <v>8</v>
      </c>
      <c r="I4" s="123">
        <v>21.122247999999999</v>
      </c>
      <c r="J4" s="123">
        <v>-101.650599</v>
      </c>
      <c r="K4" s="122" t="s">
        <v>139</v>
      </c>
      <c r="L4" s="125" t="str">
        <f t="shared" si="0"/>
        <v>Ver en Google Maps</v>
      </c>
      <c r="M4" s="122">
        <v>1</v>
      </c>
      <c r="N4" s="108">
        <v>45931</v>
      </c>
      <c r="O4" s="109">
        <f>DAY('BD1'!$N4)</f>
        <v>1</v>
      </c>
      <c r="P4" s="109">
        <f>MONTH('BD1'!$N4)</f>
        <v>10</v>
      </c>
      <c r="Q4" s="109">
        <f>YEAR('BD1'!$N4)</f>
        <v>2025</v>
      </c>
      <c r="R4" s="109">
        <v>1</v>
      </c>
      <c r="S4" s="109" t="s">
        <v>138</v>
      </c>
      <c r="T4" s="109" t="s">
        <v>138</v>
      </c>
      <c r="U4" s="109" t="s">
        <v>138</v>
      </c>
      <c r="V4" s="109" t="s">
        <v>138</v>
      </c>
      <c r="W4" s="109" t="s">
        <v>138</v>
      </c>
      <c r="X4" s="109" t="s">
        <v>138</v>
      </c>
      <c r="Y4" s="109" t="s">
        <v>138</v>
      </c>
      <c r="Z4" s="109" t="s">
        <v>138</v>
      </c>
      <c r="AA4" s="109">
        <v>22.41</v>
      </c>
      <c r="AB4" s="109">
        <v>29.07</v>
      </c>
      <c r="AC4" s="110" t="s">
        <v>967</v>
      </c>
      <c r="AD4" s="110" t="s">
        <v>954</v>
      </c>
      <c r="AE4" s="109">
        <f t="shared" si="1"/>
        <v>8</v>
      </c>
      <c r="AF4" s="151" t="str">
        <f>IF('BD1'!$AE4=8,"Estable",(IF('BD1'!$AE4=7,"Funcional con observaciones", (IF('BD1'!$AE4=6,"Funcional con observaciones",(IF('BD1'!$AE4=5,"Rendimiento bajo",(IF('BD1'!$AE4=4,"Parcialmente funcional",(IF('BD1'!$AE4=3,"Parcialmente funcional",(IF('BD1'!$AE4=2,"Inoperativo",(IF('BD1'!$AE4=1,"Inoperativo","Crítico")))))))))))))))</f>
        <v>Estable</v>
      </c>
    </row>
    <row r="5" spans="1:32" x14ac:dyDescent="0.2">
      <c r="A5" s="112">
        <v>4</v>
      </c>
      <c r="B5" s="113" t="s">
        <v>956</v>
      </c>
      <c r="C5" s="114" t="s">
        <v>7</v>
      </c>
      <c r="D5" s="114" t="s">
        <v>404</v>
      </c>
      <c r="E5" s="115" t="s">
        <v>140</v>
      </c>
      <c r="F5" s="115" t="s">
        <v>409</v>
      </c>
      <c r="G5" s="115" t="s">
        <v>978</v>
      </c>
      <c r="H5" s="113" t="s">
        <v>8</v>
      </c>
      <c r="I5" s="114">
        <v>21.136565000000001</v>
      </c>
      <c r="J5" s="114">
        <v>-101.668249</v>
      </c>
      <c r="K5" s="113" t="s">
        <v>139</v>
      </c>
      <c r="L5" s="116" t="str">
        <f t="shared" si="0"/>
        <v>Ver en Google Maps</v>
      </c>
      <c r="M5" s="113">
        <v>1</v>
      </c>
      <c r="N5" s="117">
        <v>45930</v>
      </c>
      <c r="O5" s="118">
        <f>DAY('BD1'!$N5)</f>
        <v>30</v>
      </c>
      <c r="P5" s="118">
        <f>MONTH('BD1'!$N5)</f>
        <v>9</v>
      </c>
      <c r="Q5" s="118">
        <f>YEAR('BD1'!$N5)</f>
        <v>2025</v>
      </c>
      <c r="R5" s="118">
        <v>1</v>
      </c>
      <c r="S5" s="118" t="s">
        <v>138</v>
      </c>
      <c r="T5" s="118" t="s">
        <v>138</v>
      </c>
      <c r="U5" s="118" t="s">
        <v>138</v>
      </c>
      <c r="V5" s="118" t="s">
        <v>138</v>
      </c>
      <c r="W5" s="118" t="s">
        <v>138</v>
      </c>
      <c r="X5" s="118" t="s">
        <v>138</v>
      </c>
      <c r="Y5" s="118" t="s">
        <v>138</v>
      </c>
      <c r="Z5" s="118" t="s">
        <v>138</v>
      </c>
      <c r="AA5" s="118">
        <v>16.96</v>
      </c>
      <c r="AB5" s="118">
        <v>20.38</v>
      </c>
      <c r="AC5" s="119" t="s">
        <v>967</v>
      </c>
      <c r="AD5" s="119" t="s">
        <v>954</v>
      </c>
      <c r="AE5" s="118">
        <f t="shared" si="1"/>
        <v>8</v>
      </c>
      <c r="AF5" s="152" t="str">
        <f>IF('BD1'!$AE5=8,"Estable",(IF('BD1'!$AE5=7,"Funcional con observaciones", (IF('BD1'!$AE5=6,"Funcional con observaciones",(IF('BD1'!$AE5=5,"Rendimiento bajo",(IF('BD1'!$AE5=4,"Parcialmente funcional",(IF('BD1'!$AE5=3,"Parcialmente funcional",(IF('BD1'!$AE5=2,"Inoperativo",(IF('BD1'!$AE5=1,"Inoperativo","Crítico")))))))))))))))</f>
        <v>Estable</v>
      </c>
    </row>
    <row r="6" spans="1:32" x14ac:dyDescent="0.2">
      <c r="A6" s="121">
        <v>5</v>
      </c>
      <c r="B6" s="122" t="s">
        <v>956</v>
      </c>
      <c r="C6" s="123" t="s">
        <v>11</v>
      </c>
      <c r="D6" s="123" t="s">
        <v>404</v>
      </c>
      <c r="E6" s="124" t="s">
        <v>410</v>
      </c>
      <c r="F6" s="124" t="s">
        <v>411</v>
      </c>
      <c r="G6" s="124" t="s">
        <v>121</v>
      </c>
      <c r="H6" s="122" t="s">
        <v>8</v>
      </c>
      <c r="I6" s="123">
        <v>21.103263999999999</v>
      </c>
      <c r="J6" s="123">
        <v>-101.611514</v>
      </c>
      <c r="K6" s="122" t="s">
        <v>139</v>
      </c>
      <c r="L6" s="125" t="str">
        <f t="shared" si="0"/>
        <v>Ver en Google Maps</v>
      </c>
      <c r="M6" s="122">
        <v>1</v>
      </c>
      <c r="N6" s="108">
        <v>45931</v>
      </c>
      <c r="O6" s="109">
        <f>DAY('BD1'!$N6)</f>
        <v>1</v>
      </c>
      <c r="P6" s="109">
        <f>MONTH('BD1'!$N6)</f>
        <v>10</v>
      </c>
      <c r="Q6" s="109">
        <f>YEAR('BD1'!$N6)</f>
        <v>2025</v>
      </c>
      <c r="R6" s="109">
        <v>1</v>
      </c>
      <c r="S6" s="109" t="s">
        <v>138</v>
      </c>
      <c r="T6" s="109" t="s">
        <v>138</v>
      </c>
      <c r="U6" s="109" t="s">
        <v>138</v>
      </c>
      <c r="V6" s="109" t="s">
        <v>138</v>
      </c>
      <c r="W6" s="109" t="s">
        <v>138</v>
      </c>
      <c r="X6" s="109" t="s">
        <v>138</v>
      </c>
      <c r="Y6" s="109" t="s">
        <v>138</v>
      </c>
      <c r="Z6" s="109" t="s">
        <v>138</v>
      </c>
      <c r="AA6" s="109">
        <v>24.05</v>
      </c>
      <c r="AB6" s="109">
        <v>33.33</v>
      </c>
      <c r="AC6" s="110" t="s">
        <v>967</v>
      </c>
      <c r="AD6" s="110" t="s">
        <v>954</v>
      </c>
      <c r="AE6" s="109">
        <f t="shared" si="1"/>
        <v>8</v>
      </c>
      <c r="AF6" s="151" t="str">
        <f>IF('BD1'!$AE6=8,"Estable",(IF('BD1'!$AE6=7,"Funcional con observaciones", (IF('BD1'!$AE6=6,"Funcional con observaciones",(IF('BD1'!$AE6=5,"Rendimiento bajo",(IF('BD1'!$AE6=4,"Parcialmente funcional",(IF('BD1'!$AE6=3,"Parcialmente funcional",(IF('BD1'!$AE6=2,"Inoperativo",(IF('BD1'!$AE6=1,"Inoperativo","Crítico")))))))))))))))</f>
        <v>Estable</v>
      </c>
    </row>
    <row r="7" spans="1:32" x14ac:dyDescent="0.2">
      <c r="A7" s="112">
        <v>6</v>
      </c>
      <c r="B7" s="113" t="s">
        <v>956</v>
      </c>
      <c r="C7" s="114" t="s">
        <v>11</v>
      </c>
      <c r="D7" s="114" t="s">
        <v>404</v>
      </c>
      <c r="E7" s="115" t="s">
        <v>412</v>
      </c>
      <c r="F7" s="115" t="s">
        <v>413</v>
      </c>
      <c r="G7" s="115" t="s">
        <v>979</v>
      </c>
      <c r="H7" s="113" t="s">
        <v>8</v>
      </c>
      <c r="I7" s="114">
        <v>21.131813000000001</v>
      </c>
      <c r="J7" s="114">
        <v>-101.640463</v>
      </c>
      <c r="K7" s="113" t="s">
        <v>139</v>
      </c>
      <c r="L7" s="116" t="str">
        <f t="shared" si="0"/>
        <v>Ver en Google Maps</v>
      </c>
      <c r="M7" s="113">
        <v>1</v>
      </c>
      <c r="N7" s="117">
        <v>45929</v>
      </c>
      <c r="O7" s="118">
        <f>DAY('BD1'!$N7)</f>
        <v>29</v>
      </c>
      <c r="P7" s="118">
        <f>MONTH('BD1'!$N7)</f>
        <v>9</v>
      </c>
      <c r="Q7" s="118">
        <f>YEAR('BD1'!$N7)</f>
        <v>2025</v>
      </c>
      <c r="R7" s="118">
        <v>1</v>
      </c>
      <c r="S7" s="118" t="s">
        <v>138</v>
      </c>
      <c r="T7" s="118" t="s">
        <v>138</v>
      </c>
      <c r="U7" s="118" t="s">
        <v>138</v>
      </c>
      <c r="V7" s="118" t="s">
        <v>138</v>
      </c>
      <c r="W7" s="118" t="s">
        <v>138</v>
      </c>
      <c r="X7" s="118" t="s">
        <v>138</v>
      </c>
      <c r="Y7" s="118" t="s">
        <v>138</v>
      </c>
      <c r="Z7" s="118" t="s">
        <v>138</v>
      </c>
      <c r="AA7" s="118">
        <v>44.23</v>
      </c>
      <c r="AB7" s="118">
        <v>12.18</v>
      </c>
      <c r="AC7" s="119" t="s">
        <v>967</v>
      </c>
      <c r="AD7" s="119" t="s">
        <v>954</v>
      </c>
      <c r="AE7" s="118">
        <f t="shared" si="1"/>
        <v>8</v>
      </c>
      <c r="AF7" s="152" t="str">
        <f>IF('BD1'!$AE7=8,"Estable",(IF('BD1'!$AE7=7,"Funcional con observaciones", (IF('BD1'!$AE7=6,"Funcional con observaciones",(IF('BD1'!$AE7=5,"Rendimiento bajo",(IF('BD1'!$AE7=4,"Parcialmente funcional",(IF('BD1'!$AE7=3,"Parcialmente funcional",(IF('BD1'!$AE7=2,"Inoperativo",(IF('BD1'!$AE7=1,"Inoperativo","Crítico")))))))))))))))</f>
        <v>Estable</v>
      </c>
    </row>
    <row r="8" spans="1:32" x14ac:dyDescent="0.2">
      <c r="A8" s="121">
        <v>7</v>
      </c>
      <c r="B8" s="122" t="s">
        <v>956</v>
      </c>
      <c r="C8" s="123" t="s">
        <v>11</v>
      </c>
      <c r="D8" s="123" t="s">
        <v>404</v>
      </c>
      <c r="E8" s="124" t="s">
        <v>141</v>
      </c>
      <c r="F8" s="124" t="s">
        <v>414</v>
      </c>
      <c r="G8" s="124" t="s">
        <v>980</v>
      </c>
      <c r="H8" s="122" t="s">
        <v>8</v>
      </c>
      <c r="I8" s="126">
        <v>21.127840264616399</v>
      </c>
      <c r="J8" s="126">
        <v>-101.744353529886</v>
      </c>
      <c r="K8" s="122" t="s">
        <v>139</v>
      </c>
      <c r="L8" s="125" t="str">
        <f t="shared" si="0"/>
        <v>Ver en Google Maps</v>
      </c>
      <c r="M8" s="127">
        <v>1</v>
      </c>
      <c r="N8" s="108">
        <v>45930</v>
      </c>
      <c r="O8" s="109">
        <f>DAY('BD1'!$N8)</f>
        <v>30</v>
      </c>
      <c r="P8" s="109">
        <f>MONTH('BD1'!$N8)</f>
        <v>9</v>
      </c>
      <c r="Q8" s="109">
        <f>YEAR('BD1'!$N8)</f>
        <v>2025</v>
      </c>
      <c r="R8" s="109">
        <v>1</v>
      </c>
      <c r="S8" s="109" t="s">
        <v>138</v>
      </c>
      <c r="T8" s="109" t="s">
        <v>138</v>
      </c>
      <c r="U8" s="109" t="s">
        <v>138</v>
      </c>
      <c r="V8" s="109" t="s">
        <v>138</v>
      </c>
      <c r="W8" s="109" t="s">
        <v>138</v>
      </c>
      <c r="X8" s="109" t="s">
        <v>138</v>
      </c>
      <c r="Y8" s="109" t="s">
        <v>138</v>
      </c>
      <c r="Z8" s="109" t="s">
        <v>138</v>
      </c>
      <c r="AA8" s="109">
        <v>24.94</v>
      </c>
      <c r="AB8" s="109">
        <v>11.13</v>
      </c>
      <c r="AC8" s="110" t="s">
        <v>967</v>
      </c>
      <c r="AD8" s="110" t="s">
        <v>954</v>
      </c>
      <c r="AE8" s="109">
        <f t="shared" si="1"/>
        <v>8</v>
      </c>
      <c r="AF8" s="151" t="str">
        <f>IF('BD1'!$AE8=8,"Estable",(IF('BD1'!$AE8=7,"Funcional con observaciones", (IF('BD1'!$AE8=6,"Funcional con observaciones",(IF('BD1'!$AE8=5,"Rendimiento bajo",(IF('BD1'!$AE8=4,"Parcialmente funcional",(IF('BD1'!$AE8=3,"Parcialmente funcional",(IF('BD1'!$AE8=2,"Inoperativo",(IF('BD1'!$AE8=1,"Inoperativo","Crítico")))))))))))))))</f>
        <v>Estable</v>
      </c>
    </row>
    <row r="9" spans="1:32" x14ac:dyDescent="0.2">
      <c r="A9" s="112">
        <v>8</v>
      </c>
      <c r="B9" s="113" t="s">
        <v>956</v>
      </c>
      <c r="C9" s="114" t="s">
        <v>11</v>
      </c>
      <c r="D9" s="114" t="s">
        <v>404</v>
      </c>
      <c r="E9" s="115" t="s">
        <v>142</v>
      </c>
      <c r="F9" s="115" t="s">
        <v>415</v>
      </c>
      <c r="G9" s="115" t="s">
        <v>981</v>
      </c>
      <c r="H9" s="113" t="s">
        <v>8</v>
      </c>
      <c r="I9" s="114">
        <v>21.145551000000001</v>
      </c>
      <c r="J9" s="114">
        <v>-101.65661299999999</v>
      </c>
      <c r="K9" s="113" t="s">
        <v>139</v>
      </c>
      <c r="L9" s="116" t="str">
        <f t="shared" si="0"/>
        <v>Ver en Google Maps</v>
      </c>
      <c r="M9" s="113">
        <v>1</v>
      </c>
      <c r="N9" s="117">
        <v>45929</v>
      </c>
      <c r="O9" s="118">
        <f>DAY('BD1'!$N9)</f>
        <v>29</v>
      </c>
      <c r="P9" s="118">
        <f>MONTH('BD1'!$N9)</f>
        <v>9</v>
      </c>
      <c r="Q9" s="118">
        <f>YEAR('BD1'!$N9)</f>
        <v>2025</v>
      </c>
      <c r="R9" s="118">
        <v>1</v>
      </c>
      <c r="S9" s="118" t="s">
        <v>138</v>
      </c>
      <c r="T9" s="118" t="s">
        <v>138</v>
      </c>
      <c r="U9" s="118" t="s">
        <v>138</v>
      </c>
      <c r="V9" s="118" t="s">
        <v>138</v>
      </c>
      <c r="W9" s="118" t="s">
        <v>138</v>
      </c>
      <c r="X9" s="118" t="s">
        <v>138</v>
      </c>
      <c r="Y9" s="118" t="s">
        <v>138</v>
      </c>
      <c r="Z9" s="118" t="s">
        <v>138</v>
      </c>
      <c r="AA9" s="118">
        <v>82.91</v>
      </c>
      <c r="AB9" s="118">
        <v>82.39</v>
      </c>
      <c r="AC9" s="119" t="s">
        <v>967</v>
      </c>
      <c r="AD9" s="119" t="s">
        <v>954</v>
      </c>
      <c r="AE9" s="118">
        <f t="shared" si="1"/>
        <v>8</v>
      </c>
      <c r="AF9" s="152" t="str">
        <f>IF('BD1'!$AE9=8,"Estable",(IF('BD1'!$AE9=7,"Funcional con observaciones", (IF('BD1'!$AE9=6,"Funcional con observaciones",(IF('BD1'!$AE9=5,"Rendimiento bajo",(IF('BD1'!$AE9=4,"Parcialmente funcional",(IF('BD1'!$AE9=3,"Parcialmente funcional",(IF('BD1'!$AE9=2,"Inoperativo",(IF('BD1'!$AE9=1,"Inoperativo","Crítico")))))))))))))))</f>
        <v>Estable</v>
      </c>
    </row>
    <row r="10" spans="1:32" x14ac:dyDescent="0.2">
      <c r="A10" s="121">
        <v>9</v>
      </c>
      <c r="B10" s="122" t="s">
        <v>956</v>
      </c>
      <c r="C10" s="123" t="s">
        <v>11</v>
      </c>
      <c r="D10" s="123" t="s">
        <v>404</v>
      </c>
      <c r="E10" s="124" t="s">
        <v>416</v>
      </c>
      <c r="F10" s="124" t="s">
        <v>417</v>
      </c>
      <c r="G10" s="124" t="s">
        <v>982</v>
      </c>
      <c r="H10" s="122" t="s">
        <v>8</v>
      </c>
      <c r="I10" s="123">
        <v>21.179690999999998</v>
      </c>
      <c r="J10" s="123">
        <v>-101.670008</v>
      </c>
      <c r="K10" s="122" t="s">
        <v>139</v>
      </c>
      <c r="L10" s="125" t="str">
        <f t="shared" si="0"/>
        <v>Ver en Google Maps</v>
      </c>
      <c r="M10" s="122">
        <v>1</v>
      </c>
      <c r="N10" s="108">
        <v>45929</v>
      </c>
      <c r="O10" s="109">
        <f>DAY('BD1'!$N10)</f>
        <v>29</v>
      </c>
      <c r="P10" s="109">
        <f>MONTH('BD1'!$N10)</f>
        <v>9</v>
      </c>
      <c r="Q10" s="109">
        <f>YEAR('BD1'!$N10)</f>
        <v>2025</v>
      </c>
      <c r="R10" s="109">
        <v>1</v>
      </c>
      <c r="S10" s="109" t="s">
        <v>138</v>
      </c>
      <c r="T10" s="109" t="s">
        <v>138</v>
      </c>
      <c r="U10" s="109" t="s">
        <v>138</v>
      </c>
      <c r="V10" s="109" t="s">
        <v>138</v>
      </c>
      <c r="W10" s="109" t="s">
        <v>138</v>
      </c>
      <c r="X10" s="109" t="s">
        <v>138</v>
      </c>
      <c r="Y10" s="109" t="s">
        <v>138</v>
      </c>
      <c r="Z10" s="109" t="s">
        <v>934</v>
      </c>
      <c r="AA10" s="109">
        <v>10.92</v>
      </c>
      <c r="AB10" s="109">
        <v>11.86</v>
      </c>
      <c r="AC10" s="110" t="s">
        <v>968</v>
      </c>
      <c r="AD10" s="110" t="s">
        <v>954</v>
      </c>
      <c r="AE10" s="109">
        <f t="shared" si="1"/>
        <v>7</v>
      </c>
      <c r="AF10" s="151" t="str">
        <f>IF('BD1'!$AE10=8,"Estable",(IF('BD1'!$AE10=7,"Funcional con observaciones", (IF('BD1'!$AE10=6,"Funcional con observaciones",(IF('BD1'!$AE10=5,"Rendimiento bajo",(IF('BD1'!$AE10=4,"Parcialmente funcional",(IF('BD1'!$AE10=3,"Parcialmente funcional",(IF('BD1'!$AE10=2,"Inoperativo",(IF('BD1'!$AE10=1,"Inoperativo","Crítico")))))))))))))))</f>
        <v>Funcional con observaciones</v>
      </c>
    </row>
    <row r="11" spans="1:32" x14ac:dyDescent="0.2">
      <c r="A11" s="112">
        <v>10</v>
      </c>
      <c r="B11" s="113" t="s">
        <v>956</v>
      </c>
      <c r="C11" s="114" t="s">
        <v>11</v>
      </c>
      <c r="D11" s="114" t="s">
        <v>404</v>
      </c>
      <c r="E11" s="115" t="s">
        <v>418</v>
      </c>
      <c r="F11" s="115" t="s">
        <v>419</v>
      </c>
      <c r="G11" s="115" t="s">
        <v>983</v>
      </c>
      <c r="H11" s="113" t="s">
        <v>8</v>
      </c>
      <c r="I11" s="114">
        <v>21.187875999999999</v>
      </c>
      <c r="J11" s="114">
        <v>-101.66684600000001</v>
      </c>
      <c r="K11" s="113" t="s">
        <v>139</v>
      </c>
      <c r="L11" s="116" t="str">
        <f t="shared" si="0"/>
        <v>Ver en Google Maps</v>
      </c>
      <c r="M11" s="113">
        <v>1</v>
      </c>
      <c r="N11" s="117">
        <v>45929</v>
      </c>
      <c r="O11" s="118">
        <f>DAY('BD1'!$N11)</f>
        <v>29</v>
      </c>
      <c r="P11" s="118">
        <f>MONTH('BD1'!$N11)</f>
        <v>9</v>
      </c>
      <c r="Q11" s="118">
        <f>YEAR('BD1'!$N11)</f>
        <v>2025</v>
      </c>
      <c r="R11" s="118">
        <v>1</v>
      </c>
      <c r="S11" s="118" t="s">
        <v>138</v>
      </c>
      <c r="T11" s="118" t="s">
        <v>138</v>
      </c>
      <c r="U11" s="118" t="s">
        <v>138</v>
      </c>
      <c r="V11" s="118" t="s">
        <v>138</v>
      </c>
      <c r="W11" s="118" t="s">
        <v>138</v>
      </c>
      <c r="X11" s="118" t="s">
        <v>138</v>
      </c>
      <c r="Y11" s="118" t="s">
        <v>138</v>
      </c>
      <c r="Z11" s="118" t="s">
        <v>138</v>
      </c>
      <c r="AA11" s="118">
        <v>41.69</v>
      </c>
      <c r="AB11" s="118">
        <v>29.36</v>
      </c>
      <c r="AC11" s="119" t="s">
        <v>967</v>
      </c>
      <c r="AD11" s="119" t="s">
        <v>954</v>
      </c>
      <c r="AE11" s="118">
        <f t="shared" si="1"/>
        <v>8</v>
      </c>
      <c r="AF11" s="152" t="str">
        <f>IF('BD1'!$AE11=8,"Estable",(IF('BD1'!$AE11=7,"Funcional con observaciones", (IF('BD1'!$AE11=6,"Funcional con observaciones",(IF('BD1'!$AE11=5,"Rendimiento bajo",(IF('BD1'!$AE11=4,"Parcialmente funcional",(IF('BD1'!$AE11=3,"Parcialmente funcional",(IF('BD1'!$AE11=2,"Inoperativo",(IF('BD1'!$AE11=1,"Inoperativo","Crítico")))))))))))))))</f>
        <v>Estable</v>
      </c>
    </row>
    <row r="12" spans="1:32" x14ac:dyDescent="0.2">
      <c r="A12" s="121">
        <v>11</v>
      </c>
      <c r="B12" s="122" t="s">
        <v>956</v>
      </c>
      <c r="C12" s="123" t="s">
        <v>11</v>
      </c>
      <c r="D12" s="123" t="s">
        <v>404</v>
      </c>
      <c r="E12" s="124" t="s">
        <v>143</v>
      </c>
      <c r="F12" s="124" t="s">
        <v>420</v>
      </c>
      <c r="G12" s="124" t="s">
        <v>984</v>
      </c>
      <c r="H12" s="122" t="s">
        <v>8</v>
      </c>
      <c r="I12" s="123">
        <v>21.143557999999999</v>
      </c>
      <c r="J12" s="123">
        <v>-101.669578</v>
      </c>
      <c r="K12" s="122" t="s">
        <v>139</v>
      </c>
      <c r="L12" s="125" t="str">
        <f t="shared" si="0"/>
        <v>Ver en Google Maps</v>
      </c>
      <c r="M12" s="122">
        <v>1</v>
      </c>
      <c r="N12" s="108">
        <v>45929</v>
      </c>
      <c r="O12" s="109">
        <f>DAY('BD1'!$N12)</f>
        <v>29</v>
      </c>
      <c r="P12" s="109">
        <f>MONTH('BD1'!$N12)</f>
        <v>9</v>
      </c>
      <c r="Q12" s="109">
        <f>YEAR('BD1'!$N12)</f>
        <v>2025</v>
      </c>
      <c r="R12" s="109">
        <v>1</v>
      </c>
      <c r="S12" s="109" t="s">
        <v>138</v>
      </c>
      <c r="T12" s="109" t="s">
        <v>138</v>
      </c>
      <c r="U12" s="109" t="s">
        <v>138</v>
      </c>
      <c r="V12" s="109" t="s">
        <v>138</v>
      </c>
      <c r="W12" s="109" t="s">
        <v>138</v>
      </c>
      <c r="X12" s="109" t="s">
        <v>138</v>
      </c>
      <c r="Y12" s="109" t="s">
        <v>138</v>
      </c>
      <c r="Z12" s="109" t="s">
        <v>138</v>
      </c>
      <c r="AA12" s="109">
        <v>51.76</v>
      </c>
      <c r="AB12" s="109">
        <v>54.04</v>
      </c>
      <c r="AC12" s="110" t="s">
        <v>967</v>
      </c>
      <c r="AD12" s="110" t="s">
        <v>954</v>
      </c>
      <c r="AE12" s="109">
        <f t="shared" si="1"/>
        <v>8</v>
      </c>
      <c r="AF12" s="151" t="str">
        <f>IF('BD1'!$AE12=8,"Estable",(IF('BD1'!$AE12=7,"Funcional con observaciones", (IF('BD1'!$AE12=6,"Funcional con observaciones",(IF('BD1'!$AE12=5,"Rendimiento bajo",(IF('BD1'!$AE12=4,"Parcialmente funcional",(IF('BD1'!$AE12=3,"Parcialmente funcional",(IF('BD1'!$AE12=2,"Inoperativo",(IF('BD1'!$AE12=1,"Inoperativo","Crítico")))))))))))))))</f>
        <v>Estable</v>
      </c>
    </row>
    <row r="13" spans="1:32" x14ac:dyDescent="0.2">
      <c r="A13" s="112">
        <v>12</v>
      </c>
      <c r="B13" s="113" t="s">
        <v>956</v>
      </c>
      <c r="C13" s="114" t="s">
        <v>11</v>
      </c>
      <c r="D13" s="114" t="s">
        <v>404</v>
      </c>
      <c r="E13" s="115" t="s">
        <v>12</v>
      </c>
      <c r="F13" s="115" t="s">
        <v>421</v>
      </c>
      <c r="G13" s="115" t="s">
        <v>985</v>
      </c>
      <c r="H13" s="113" t="s">
        <v>8</v>
      </c>
      <c r="I13" s="114">
        <v>21.110986324661699</v>
      </c>
      <c r="J13" s="114">
        <v>-101.72374402369999</v>
      </c>
      <c r="K13" s="113" t="s">
        <v>139</v>
      </c>
      <c r="L13" s="116" t="str">
        <f t="shared" si="0"/>
        <v>Ver en Google Maps</v>
      </c>
      <c r="M13" s="113">
        <v>2</v>
      </c>
      <c r="N13" s="117">
        <v>45933</v>
      </c>
      <c r="O13" s="118">
        <f>DAY('BD1'!$N13)</f>
        <v>3</v>
      </c>
      <c r="P13" s="118">
        <f>MONTH('BD1'!$N13)</f>
        <v>10</v>
      </c>
      <c r="Q13" s="118">
        <f>YEAR('BD1'!$N13)</f>
        <v>2025</v>
      </c>
      <c r="R13" s="118">
        <v>1</v>
      </c>
      <c r="S13" s="118" t="s">
        <v>138</v>
      </c>
      <c r="T13" s="118" t="s">
        <v>138</v>
      </c>
      <c r="U13" s="118" t="s">
        <v>138</v>
      </c>
      <c r="V13" s="118" t="s">
        <v>138</v>
      </c>
      <c r="W13" s="118" t="s">
        <v>138</v>
      </c>
      <c r="X13" s="118" t="s">
        <v>138</v>
      </c>
      <c r="Y13" s="118" t="s">
        <v>138</v>
      </c>
      <c r="Z13" s="118" t="s">
        <v>138</v>
      </c>
      <c r="AA13" s="118">
        <v>26.73</v>
      </c>
      <c r="AB13" s="118">
        <v>46.48</v>
      </c>
      <c r="AC13" s="119" t="s">
        <v>967</v>
      </c>
      <c r="AD13" s="119" t="s">
        <v>954</v>
      </c>
      <c r="AE13" s="118">
        <f t="shared" si="1"/>
        <v>8</v>
      </c>
      <c r="AF13" s="152" t="str">
        <f>IF('BD1'!$AE13=8,"Estable",(IF('BD1'!$AE13=7,"Funcional con observaciones", (IF('BD1'!$AE13=6,"Funcional con observaciones",(IF('BD1'!$AE13=5,"Rendimiento bajo",(IF('BD1'!$AE13=4,"Parcialmente funcional",(IF('BD1'!$AE13=3,"Parcialmente funcional",(IF('BD1'!$AE13=2,"Inoperativo",(IF('BD1'!$AE13=1,"Inoperativo","Crítico")))))))))))))))</f>
        <v>Estable</v>
      </c>
    </row>
    <row r="14" spans="1:32" x14ac:dyDescent="0.2">
      <c r="A14" s="121" t="s">
        <v>402</v>
      </c>
      <c r="B14" s="122" t="s">
        <v>956</v>
      </c>
      <c r="C14" s="123" t="s">
        <v>11</v>
      </c>
      <c r="D14" s="123" t="s">
        <v>404</v>
      </c>
      <c r="E14" s="124" t="s">
        <v>13</v>
      </c>
      <c r="F14" s="124" t="s">
        <v>422</v>
      </c>
      <c r="G14" s="124" t="s">
        <v>986</v>
      </c>
      <c r="H14" s="122" t="s">
        <v>8</v>
      </c>
      <c r="I14" s="126">
        <v>21.1023829385834</v>
      </c>
      <c r="J14" s="126">
        <v>-101.67666792692999</v>
      </c>
      <c r="K14" s="122" t="s">
        <v>139</v>
      </c>
      <c r="L14" s="125" t="str">
        <f t="shared" si="0"/>
        <v>Ver en Google Maps</v>
      </c>
      <c r="M14" s="127">
        <v>3</v>
      </c>
      <c r="N14" s="108">
        <v>45932</v>
      </c>
      <c r="O14" s="109">
        <f>DAY('BD1'!$N14)</f>
        <v>2</v>
      </c>
      <c r="P14" s="109">
        <f>MONTH('BD1'!$N14)</f>
        <v>10</v>
      </c>
      <c r="Q14" s="109">
        <f>YEAR('BD1'!$N14)</f>
        <v>2025</v>
      </c>
      <c r="R14" s="109">
        <v>1</v>
      </c>
      <c r="S14" s="109" t="s">
        <v>138</v>
      </c>
      <c r="T14" s="109" t="s">
        <v>138</v>
      </c>
      <c r="U14" s="109" t="s">
        <v>138</v>
      </c>
      <c r="V14" s="109" t="s">
        <v>138</v>
      </c>
      <c r="W14" s="109" t="s">
        <v>138</v>
      </c>
      <c r="X14" s="109" t="s">
        <v>138</v>
      </c>
      <c r="Y14" s="109" t="s">
        <v>138</v>
      </c>
      <c r="Z14" s="109" t="s">
        <v>138</v>
      </c>
      <c r="AA14" s="109">
        <v>19.329999999999998</v>
      </c>
      <c r="AB14" s="109">
        <v>4.6100000000000003</v>
      </c>
      <c r="AC14" s="110" t="s">
        <v>967</v>
      </c>
      <c r="AD14" s="110" t="s">
        <v>954</v>
      </c>
      <c r="AE14" s="109">
        <f t="shared" si="1"/>
        <v>8</v>
      </c>
      <c r="AF14" s="151" t="str">
        <f>IF('BD1'!$AE14=8,"Estable",(IF('BD1'!$AE14=7,"Funcional con observaciones", (IF('BD1'!$AE14=6,"Funcional con observaciones",(IF('BD1'!$AE14=5,"Rendimiento bajo",(IF('BD1'!$AE14=4,"Parcialmente funcional",(IF('BD1'!$AE14=3,"Parcialmente funcional",(IF('BD1'!$AE14=2,"Inoperativo",(IF('BD1'!$AE14=1,"Inoperativo","Crítico")))))))))))))))</f>
        <v>Estable</v>
      </c>
    </row>
    <row r="15" spans="1:32" x14ac:dyDescent="0.2">
      <c r="A15" s="112" t="s">
        <v>403</v>
      </c>
      <c r="B15" s="113" t="s">
        <v>956</v>
      </c>
      <c r="C15" s="114" t="s">
        <v>11</v>
      </c>
      <c r="D15" s="114" t="s">
        <v>404</v>
      </c>
      <c r="E15" s="115" t="s">
        <v>13</v>
      </c>
      <c r="F15" s="115" t="s">
        <v>422</v>
      </c>
      <c r="G15" s="115" t="s">
        <v>986</v>
      </c>
      <c r="H15" s="113" t="s">
        <v>8</v>
      </c>
      <c r="I15" s="126">
        <v>21.103048558512999</v>
      </c>
      <c r="J15" s="126">
        <v>-101.675214169787</v>
      </c>
      <c r="K15" s="113" t="s">
        <v>139</v>
      </c>
      <c r="L15" s="116" t="str">
        <f t="shared" si="0"/>
        <v>Ver en Google Maps</v>
      </c>
      <c r="M15" s="128">
        <v>3</v>
      </c>
      <c r="N15" s="117">
        <v>45932</v>
      </c>
      <c r="O15" s="118">
        <f>DAY('BD1'!$N15)</f>
        <v>2</v>
      </c>
      <c r="P15" s="118">
        <f>MONTH('BD1'!$N15)</f>
        <v>10</v>
      </c>
      <c r="Q15" s="118">
        <f>YEAR('BD1'!$N15)</f>
        <v>2025</v>
      </c>
      <c r="R15" s="118">
        <v>1</v>
      </c>
      <c r="S15" s="118" t="s">
        <v>138</v>
      </c>
      <c r="T15" s="118" t="s">
        <v>138</v>
      </c>
      <c r="U15" s="118" t="s">
        <v>138</v>
      </c>
      <c r="V15" s="118" t="s">
        <v>138</v>
      </c>
      <c r="W15" s="118" t="s">
        <v>138</v>
      </c>
      <c r="X15" s="118" t="s">
        <v>138</v>
      </c>
      <c r="Y15" s="118" t="s">
        <v>138</v>
      </c>
      <c r="Z15" s="118" t="s">
        <v>934</v>
      </c>
      <c r="AA15" s="118">
        <v>13.7</v>
      </c>
      <c r="AB15" s="118">
        <v>13.82</v>
      </c>
      <c r="AC15" s="119" t="s">
        <v>972</v>
      </c>
      <c r="AD15" s="119" t="s">
        <v>954</v>
      </c>
      <c r="AE15" s="118">
        <f t="shared" si="1"/>
        <v>7</v>
      </c>
      <c r="AF15" s="152" t="str">
        <f>IF('BD1'!$AE15=8,"Estable",(IF('BD1'!$AE15=7,"Funcional con observaciones", (IF('BD1'!$AE15=6,"Funcional con observaciones",(IF('BD1'!$AE15=5,"Rendimiento bajo",(IF('BD1'!$AE15=4,"Parcialmente funcional",(IF('BD1'!$AE15=3,"Parcialmente funcional",(IF('BD1'!$AE15=2,"Inoperativo",(IF('BD1'!$AE15=1,"Inoperativo","Crítico")))))))))))))))</f>
        <v>Funcional con observaciones</v>
      </c>
    </row>
    <row r="16" spans="1:32" x14ac:dyDescent="0.2">
      <c r="A16" s="121">
        <v>14</v>
      </c>
      <c r="B16" s="122" t="s">
        <v>956</v>
      </c>
      <c r="C16" s="123" t="s">
        <v>11</v>
      </c>
      <c r="D16" s="123" t="s">
        <v>404</v>
      </c>
      <c r="E16" s="124" t="s">
        <v>144</v>
      </c>
      <c r="F16" s="124" t="s">
        <v>423</v>
      </c>
      <c r="G16" s="124" t="s">
        <v>145</v>
      </c>
      <c r="H16" s="122" t="s">
        <v>8</v>
      </c>
      <c r="I16" s="123">
        <v>21.137276</v>
      </c>
      <c r="J16" s="123">
        <v>-101.76615700000001</v>
      </c>
      <c r="K16" s="122" t="s">
        <v>139</v>
      </c>
      <c r="L16" s="125" t="str">
        <f t="shared" si="0"/>
        <v>Ver en Google Maps</v>
      </c>
      <c r="M16" s="122">
        <v>1</v>
      </c>
      <c r="N16" s="108">
        <v>45930</v>
      </c>
      <c r="O16" s="109">
        <f>DAY('BD1'!$N16)</f>
        <v>30</v>
      </c>
      <c r="P16" s="109">
        <f>MONTH('BD1'!$N16)</f>
        <v>9</v>
      </c>
      <c r="Q16" s="109">
        <f>YEAR('BD1'!$N16)</f>
        <v>2025</v>
      </c>
      <c r="R16" s="109">
        <v>1</v>
      </c>
      <c r="S16" s="109" t="s">
        <v>138</v>
      </c>
      <c r="T16" s="109" t="s">
        <v>138</v>
      </c>
      <c r="U16" s="109" t="s">
        <v>138</v>
      </c>
      <c r="V16" s="109" t="s">
        <v>138</v>
      </c>
      <c r="W16" s="109" t="s">
        <v>138</v>
      </c>
      <c r="X16" s="109" t="s">
        <v>138</v>
      </c>
      <c r="Y16" s="109" t="s">
        <v>138</v>
      </c>
      <c r="Z16" s="109" t="s">
        <v>138</v>
      </c>
      <c r="AA16" s="109">
        <v>24.28</v>
      </c>
      <c r="AB16" s="109">
        <v>8.7799999999999994</v>
      </c>
      <c r="AC16" s="110" t="s">
        <v>967</v>
      </c>
      <c r="AD16" s="110" t="s">
        <v>954</v>
      </c>
      <c r="AE16" s="109">
        <f t="shared" si="1"/>
        <v>8</v>
      </c>
      <c r="AF16" s="151" t="str">
        <f>IF('BD1'!$AE16=8,"Estable",(IF('BD1'!$AE16=7,"Funcional con observaciones", (IF('BD1'!$AE16=6,"Funcional con observaciones",(IF('BD1'!$AE16=5,"Rendimiento bajo",(IF('BD1'!$AE16=4,"Parcialmente funcional",(IF('BD1'!$AE16=3,"Parcialmente funcional",(IF('BD1'!$AE16=2,"Inoperativo",(IF('BD1'!$AE16=1,"Inoperativo","Crítico")))))))))))))))</f>
        <v>Estable</v>
      </c>
    </row>
    <row r="17" spans="1:32" x14ac:dyDescent="0.2">
      <c r="A17" s="112">
        <v>15</v>
      </c>
      <c r="B17" s="113" t="s">
        <v>956</v>
      </c>
      <c r="C17" s="114" t="s">
        <v>11</v>
      </c>
      <c r="D17" s="114" t="s">
        <v>404</v>
      </c>
      <c r="E17" s="115" t="s">
        <v>424</v>
      </c>
      <c r="F17" s="115" t="s">
        <v>425</v>
      </c>
      <c r="G17" s="115" t="s">
        <v>987</v>
      </c>
      <c r="H17" s="113" t="s">
        <v>8</v>
      </c>
      <c r="I17" s="114">
        <v>21.15992</v>
      </c>
      <c r="J17" s="114">
        <v>-101.656584</v>
      </c>
      <c r="K17" s="113" t="s">
        <v>139</v>
      </c>
      <c r="L17" s="116" t="str">
        <f t="shared" si="0"/>
        <v>Ver en Google Maps</v>
      </c>
      <c r="M17" s="113">
        <v>1</v>
      </c>
      <c r="N17" s="117">
        <v>45931</v>
      </c>
      <c r="O17" s="118">
        <f>DAY('BD1'!$N17)</f>
        <v>1</v>
      </c>
      <c r="P17" s="118">
        <f>MONTH('BD1'!$N17)</f>
        <v>10</v>
      </c>
      <c r="Q17" s="118">
        <f>YEAR('BD1'!$N17)</f>
        <v>2025</v>
      </c>
      <c r="R17" s="118">
        <v>1</v>
      </c>
      <c r="S17" s="118" t="s">
        <v>138</v>
      </c>
      <c r="T17" s="118" t="s">
        <v>138</v>
      </c>
      <c r="U17" s="118" t="s">
        <v>138</v>
      </c>
      <c r="V17" s="118" t="s">
        <v>138</v>
      </c>
      <c r="W17" s="118" t="s">
        <v>138</v>
      </c>
      <c r="X17" s="118" t="s">
        <v>138</v>
      </c>
      <c r="Y17" s="118" t="s">
        <v>138</v>
      </c>
      <c r="Z17" s="118" t="s">
        <v>138</v>
      </c>
      <c r="AA17" s="118">
        <v>42.29</v>
      </c>
      <c r="AB17" s="118">
        <v>25.19</v>
      </c>
      <c r="AC17" s="119" t="s">
        <v>967</v>
      </c>
      <c r="AD17" s="119" t="s">
        <v>954</v>
      </c>
      <c r="AE17" s="118">
        <f t="shared" si="1"/>
        <v>8</v>
      </c>
      <c r="AF17" s="152" t="str">
        <f>IF('BD1'!$AE17=8,"Estable",(IF('BD1'!$AE17=7,"Funcional con observaciones", (IF('BD1'!$AE17=6,"Funcional con observaciones",(IF('BD1'!$AE17=5,"Rendimiento bajo",(IF('BD1'!$AE17=4,"Parcialmente funcional",(IF('BD1'!$AE17=3,"Parcialmente funcional",(IF('BD1'!$AE17=2,"Inoperativo",(IF('BD1'!$AE17=1,"Inoperativo","Crítico")))))))))))))))</f>
        <v>Estable</v>
      </c>
    </row>
    <row r="18" spans="1:32" x14ac:dyDescent="0.2">
      <c r="A18" s="121">
        <v>16</v>
      </c>
      <c r="B18" s="122" t="s">
        <v>956</v>
      </c>
      <c r="C18" s="123" t="s">
        <v>426</v>
      </c>
      <c r="D18" s="123" t="s">
        <v>404</v>
      </c>
      <c r="E18" s="124" t="s">
        <v>146</v>
      </c>
      <c r="F18" s="124" t="s">
        <v>427</v>
      </c>
      <c r="G18" s="124" t="s">
        <v>360</v>
      </c>
      <c r="H18" s="122" t="s">
        <v>8</v>
      </c>
      <c r="I18" s="123">
        <v>21.121759999999998</v>
      </c>
      <c r="J18" s="123">
        <v>-101.68234</v>
      </c>
      <c r="K18" s="122" t="s">
        <v>139</v>
      </c>
      <c r="L18" s="125" t="str">
        <f t="shared" si="0"/>
        <v>Ver en Google Maps</v>
      </c>
      <c r="M18" s="122">
        <v>3</v>
      </c>
      <c r="N18" s="108">
        <v>45929</v>
      </c>
      <c r="O18" s="109">
        <f>DAY('BD1'!$N18)</f>
        <v>29</v>
      </c>
      <c r="P18" s="109">
        <f>MONTH('BD1'!$N18)</f>
        <v>9</v>
      </c>
      <c r="Q18" s="109">
        <f>YEAR('BD1'!$N18)</f>
        <v>2025</v>
      </c>
      <c r="R18" s="109">
        <v>1</v>
      </c>
      <c r="S18" s="109" t="s">
        <v>138</v>
      </c>
      <c r="T18" s="109" t="s">
        <v>138</v>
      </c>
      <c r="U18" s="109" t="s">
        <v>138</v>
      </c>
      <c r="V18" s="109" t="s">
        <v>138</v>
      </c>
      <c r="W18" s="109" t="s">
        <v>138</v>
      </c>
      <c r="X18" s="109" t="s">
        <v>138</v>
      </c>
      <c r="Y18" s="109" t="s">
        <v>138</v>
      </c>
      <c r="Z18" s="109" t="s">
        <v>138</v>
      </c>
      <c r="AA18" s="109">
        <v>32.22</v>
      </c>
      <c r="AB18" s="109">
        <v>42.12</v>
      </c>
      <c r="AC18" s="110" t="s">
        <v>967</v>
      </c>
      <c r="AD18" s="110" t="s">
        <v>954</v>
      </c>
      <c r="AE18" s="109">
        <f t="shared" si="1"/>
        <v>8</v>
      </c>
      <c r="AF18" s="151" t="str">
        <f>IF('BD1'!$AE18=8,"Estable",(IF('BD1'!$AE18=7,"Funcional con observaciones", (IF('BD1'!$AE18=6,"Funcional con observaciones",(IF('BD1'!$AE18=5,"Rendimiento bajo",(IF('BD1'!$AE18=4,"Parcialmente funcional",(IF('BD1'!$AE18=3,"Parcialmente funcional",(IF('BD1'!$AE18=2,"Inoperativo",(IF('BD1'!$AE18=1,"Inoperativo","Crítico")))))))))))))))</f>
        <v>Estable</v>
      </c>
    </row>
    <row r="19" spans="1:32" x14ac:dyDescent="0.2">
      <c r="A19" s="112">
        <v>88</v>
      </c>
      <c r="B19" s="113" t="s">
        <v>956</v>
      </c>
      <c r="C19" s="114" t="s">
        <v>18</v>
      </c>
      <c r="D19" s="114" t="s">
        <v>404</v>
      </c>
      <c r="E19" s="115" t="s">
        <v>19</v>
      </c>
      <c r="F19" s="115" t="s">
        <v>428</v>
      </c>
      <c r="G19" s="115" t="s">
        <v>988</v>
      </c>
      <c r="H19" s="113" t="s">
        <v>8</v>
      </c>
      <c r="I19" s="114">
        <v>21.129923000000002</v>
      </c>
      <c r="J19" s="114">
        <v>-101.685838</v>
      </c>
      <c r="K19" s="113"/>
      <c r="L19" s="116" t="str">
        <f t="shared" si="0"/>
        <v>Ver en Google Maps</v>
      </c>
      <c r="M19" s="113">
        <v>2</v>
      </c>
      <c r="N19" s="129"/>
      <c r="O19" s="118"/>
      <c r="P19" s="118"/>
      <c r="Q19" s="118"/>
      <c r="R19" s="118"/>
      <c r="S19" s="118"/>
      <c r="T19" s="118"/>
      <c r="U19" s="118"/>
      <c r="V19" s="118"/>
      <c r="W19" s="118"/>
      <c r="X19" s="118"/>
      <c r="Y19" s="118"/>
      <c r="Z19" s="118"/>
      <c r="AA19" s="118"/>
      <c r="AB19" s="118"/>
      <c r="AC19" s="118"/>
      <c r="AD19" s="119"/>
      <c r="AE19" s="118"/>
      <c r="AF19" s="152"/>
    </row>
    <row r="20" spans="1:32" x14ac:dyDescent="0.2">
      <c r="A20" s="121">
        <v>89</v>
      </c>
      <c r="B20" s="122" t="s">
        <v>956</v>
      </c>
      <c r="C20" s="123" t="s">
        <v>429</v>
      </c>
      <c r="D20" s="123" t="s">
        <v>15</v>
      </c>
      <c r="E20" s="124" t="s">
        <v>147</v>
      </c>
      <c r="F20" s="124" t="s">
        <v>430</v>
      </c>
      <c r="G20" s="124" t="s">
        <v>978</v>
      </c>
      <c r="H20" s="122" t="s">
        <v>8</v>
      </c>
      <c r="I20" s="123">
        <v>21.135660000000001</v>
      </c>
      <c r="J20" s="123">
        <v>-101.66829</v>
      </c>
      <c r="K20" s="122" t="s">
        <v>139</v>
      </c>
      <c r="L20" s="125" t="str">
        <f t="shared" si="0"/>
        <v>Ver en Google Maps</v>
      </c>
      <c r="M20" s="122">
        <v>1</v>
      </c>
      <c r="N20" s="108">
        <v>45929</v>
      </c>
      <c r="O20" s="109">
        <f>DAY('BD1'!$N20)</f>
        <v>29</v>
      </c>
      <c r="P20" s="109">
        <f>MONTH('BD1'!$N20)</f>
        <v>9</v>
      </c>
      <c r="Q20" s="109">
        <f>YEAR('BD1'!$N20)</f>
        <v>2025</v>
      </c>
      <c r="R20" s="109">
        <v>1</v>
      </c>
      <c r="S20" s="109" t="s">
        <v>138</v>
      </c>
      <c r="T20" s="109" t="s">
        <v>138</v>
      </c>
      <c r="U20" s="109" t="s">
        <v>138</v>
      </c>
      <c r="V20" s="109" t="s">
        <v>138</v>
      </c>
      <c r="W20" s="109" t="s">
        <v>138</v>
      </c>
      <c r="X20" s="109" t="s">
        <v>138</v>
      </c>
      <c r="Y20" s="109" t="s">
        <v>934</v>
      </c>
      <c r="Z20" s="109" t="s">
        <v>934</v>
      </c>
      <c r="AA20" s="109">
        <v>8.7799999999999994</v>
      </c>
      <c r="AB20" s="109">
        <v>37</v>
      </c>
      <c r="AC20" s="110" t="s">
        <v>937</v>
      </c>
      <c r="AD20" s="110" t="s">
        <v>954</v>
      </c>
      <c r="AE20" s="109">
        <f t="shared" si="1"/>
        <v>6</v>
      </c>
      <c r="AF20" s="151" t="str">
        <f>IF('BD1'!$AE20=8,"Estable",(IF('BD1'!$AE20=7,"Funcional con observaciones", (IF('BD1'!$AE20=6,"Funcional con observaciones",(IF('BD1'!$AE20=5,"Rendimiento bajo",(IF('BD1'!$AE20=4,"Parcialmente funcional",(IF('BD1'!$AE20=3,"Parcialmente funcional",(IF('BD1'!$AE20=2,"Inoperativo",(IF('BD1'!$AE20=1,"Inoperativo","Crítico")))))))))))))))</f>
        <v>Funcional con observaciones</v>
      </c>
    </row>
    <row r="21" spans="1:32" x14ac:dyDescent="0.2">
      <c r="A21" s="112">
        <v>92</v>
      </c>
      <c r="B21" s="113" t="s">
        <v>956</v>
      </c>
      <c r="C21" s="114" t="s">
        <v>429</v>
      </c>
      <c r="D21" s="114" t="s">
        <v>17</v>
      </c>
      <c r="E21" s="115" t="s">
        <v>20</v>
      </c>
      <c r="F21" s="115" t="s">
        <v>431</v>
      </c>
      <c r="G21" s="115" t="s">
        <v>989</v>
      </c>
      <c r="H21" s="113" t="s">
        <v>8</v>
      </c>
      <c r="I21" s="114">
        <v>21.101990000000001</v>
      </c>
      <c r="J21" s="114">
        <v>-101.65482</v>
      </c>
      <c r="K21" s="113" t="s">
        <v>139</v>
      </c>
      <c r="L21" s="116" t="str">
        <f t="shared" si="0"/>
        <v>Ver en Google Maps</v>
      </c>
      <c r="M21" s="113">
        <v>1</v>
      </c>
      <c r="N21" s="117">
        <v>45934</v>
      </c>
      <c r="O21" s="118">
        <f>DAY('BD1'!$N21)</f>
        <v>4</v>
      </c>
      <c r="P21" s="118">
        <f>MONTH('BD1'!$N21)</f>
        <v>10</v>
      </c>
      <c r="Q21" s="118">
        <f>YEAR('BD1'!$N21)</f>
        <v>2025</v>
      </c>
      <c r="R21" s="118">
        <v>1</v>
      </c>
      <c r="S21" s="118" t="s">
        <v>138</v>
      </c>
      <c r="T21" s="118" t="s">
        <v>138</v>
      </c>
      <c r="U21" s="118" t="s">
        <v>138</v>
      </c>
      <c r="V21" s="118" t="s">
        <v>138</v>
      </c>
      <c r="W21" s="118" t="s">
        <v>138</v>
      </c>
      <c r="X21" s="118" t="s">
        <v>138</v>
      </c>
      <c r="Y21" s="118" t="s">
        <v>138</v>
      </c>
      <c r="Z21" s="118" t="s">
        <v>138</v>
      </c>
      <c r="AA21" s="118">
        <v>21.54</v>
      </c>
      <c r="AB21" s="118">
        <v>10.94</v>
      </c>
      <c r="AC21" s="119" t="s">
        <v>967</v>
      </c>
      <c r="AD21" s="119" t="s">
        <v>954</v>
      </c>
      <c r="AE21" s="118">
        <f t="shared" si="1"/>
        <v>8</v>
      </c>
      <c r="AF21" s="152" t="str">
        <f>IF('BD1'!$AE21=8,"Estable",(IF('BD1'!$AE21=7,"Funcional con observaciones", (IF('BD1'!$AE21=6,"Funcional con observaciones",(IF('BD1'!$AE21=5,"Rendimiento bajo",(IF('BD1'!$AE21=4,"Parcialmente funcional",(IF('BD1'!$AE21=3,"Parcialmente funcional",(IF('BD1'!$AE21=2,"Inoperativo",(IF('BD1'!$AE21=1,"Inoperativo","Crítico")))))))))))))))</f>
        <v>Estable</v>
      </c>
    </row>
    <row r="22" spans="1:32" x14ac:dyDescent="0.2">
      <c r="A22" s="121">
        <v>96</v>
      </c>
      <c r="B22" s="122" t="s">
        <v>956</v>
      </c>
      <c r="C22" s="123" t="s">
        <v>429</v>
      </c>
      <c r="D22" s="123" t="s">
        <v>15</v>
      </c>
      <c r="E22" s="124" t="s">
        <v>148</v>
      </c>
      <c r="F22" s="124" t="s">
        <v>432</v>
      </c>
      <c r="G22" s="124" t="s">
        <v>990</v>
      </c>
      <c r="H22" s="122" t="s">
        <v>8</v>
      </c>
      <c r="I22" s="123">
        <v>21.15465</v>
      </c>
      <c r="J22" s="123">
        <v>-101.69157</v>
      </c>
      <c r="K22" s="122" t="s">
        <v>139</v>
      </c>
      <c r="L22" s="125" t="str">
        <f t="shared" si="0"/>
        <v>Ver en Google Maps</v>
      </c>
      <c r="M22" s="122">
        <v>2</v>
      </c>
      <c r="N22" s="108">
        <v>45929</v>
      </c>
      <c r="O22" s="109">
        <f>DAY('BD1'!$N22)</f>
        <v>29</v>
      </c>
      <c r="P22" s="109">
        <f>MONTH('BD1'!$N22)</f>
        <v>9</v>
      </c>
      <c r="Q22" s="109">
        <f>YEAR('BD1'!$N22)</f>
        <v>2025</v>
      </c>
      <c r="R22" s="109">
        <v>1</v>
      </c>
      <c r="S22" s="109" t="s">
        <v>138</v>
      </c>
      <c r="T22" s="109" t="s">
        <v>138</v>
      </c>
      <c r="U22" s="109" t="s">
        <v>138</v>
      </c>
      <c r="V22" s="109" t="s">
        <v>138</v>
      </c>
      <c r="W22" s="109" t="s">
        <v>138</v>
      </c>
      <c r="X22" s="109" t="s">
        <v>138</v>
      </c>
      <c r="Y22" s="109" t="s">
        <v>138</v>
      </c>
      <c r="Z22" s="109" t="s">
        <v>138</v>
      </c>
      <c r="AA22" s="109">
        <v>51</v>
      </c>
      <c r="AB22" s="109">
        <v>72.760000000000005</v>
      </c>
      <c r="AC22" s="110" t="s">
        <v>967</v>
      </c>
      <c r="AD22" s="110" t="s">
        <v>954</v>
      </c>
      <c r="AE22" s="109">
        <f t="shared" si="1"/>
        <v>8</v>
      </c>
      <c r="AF22" s="151" t="str">
        <f>IF('BD1'!$AE22=8,"Estable",(IF('BD1'!$AE22=7,"Funcional con observaciones", (IF('BD1'!$AE22=6,"Funcional con observaciones",(IF('BD1'!$AE22=5,"Rendimiento bajo",(IF('BD1'!$AE22=4,"Parcialmente funcional",(IF('BD1'!$AE22=3,"Parcialmente funcional",(IF('BD1'!$AE22=2,"Inoperativo",(IF('BD1'!$AE22=1,"Inoperativo","Crítico")))))))))))))))</f>
        <v>Estable</v>
      </c>
    </row>
    <row r="23" spans="1:32" x14ac:dyDescent="0.2">
      <c r="A23" s="112">
        <v>101</v>
      </c>
      <c r="B23" s="113" t="s">
        <v>956</v>
      </c>
      <c r="C23" s="114" t="s">
        <v>429</v>
      </c>
      <c r="D23" s="114" t="s">
        <v>17</v>
      </c>
      <c r="E23" s="115" t="s">
        <v>149</v>
      </c>
      <c r="F23" s="115" t="s">
        <v>433</v>
      </c>
      <c r="G23" s="115" t="s">
        <v>991</v>
      </c>
      <c r="H23" s="113" t="s">
        <v>8</v>
      </c>
      <c r="I23" s="114">
        <v>21.106586</v>
      </c>
      <c r="J23" s="114">
        <v>-101.653088</v>
      </c>
      <c r="K23" s="113" t="s">
        <v>139</v>
      </c>
      <c r="L23" s="116" t="str">
        <f t="shared" si="0"/>
        <v>Ver en Google Maps</v>
      </c>
      <c r="M23" s="113">
        <v>1</v>
      </c>
      <c r="N23" s="117">
        <v>45934</v>
      </c>
      <c r="O23" s="118">
        <f>DAY('BD1'!$N23)</f>
        <v>4</v>
      </c>
      <c r="P23" s="118">
        <f>MONTH('BD1'!$N23)</f>
        <v>10</v>
      </c>
      <c r="Q23" s="118">
        <f>YEAR('BD1'!$N23)</f>
        <v>2025</v>
      </c>
      <c r="R23" s="118">
        <v>1</v>
      </c>
      <c r="S23" s="118" t="s">
        <v>138</v>
      </c>
      <c r="T23" s="118" t="s">
        <v>138</v>
      </c>
      <c r="U23" s="118" t="s">
        <v>138</v>
      </c>
      <c r="V23" s="118" t="s">
        <v>138</v>
      </c>
      <c r="W23" s="118" t="s">
        <v>138</v>
      </c>
      <c r="X23" s="118" t="s">
        <v>138</v>
      </c>
      <c r="Y23" s="118" t="s">
        <v>934</v>
      </c>
      <c r="Z23" s="118" t="s">
        <v>138</v>
      </c>
      <c r="AA23" s="118">
        <v>51.03</v>
      </c>
      <c r="AB23" s="118">
        <v>19.13</v>
      </c>
      <c r="AC23" s="119" t="s">
        <v>946</v>
      </c>
      <c r="AD23" s="119" t="s">
        <v>954</v>
      </c>
      <c r="AE23" s="118">
        <f t="shared" si="1"/>
        <v>7</v>
      </c>
      <c r="AF23" s="152" t="str">
        <f>IF('BD1'!$AE23=8,"Estable",(IF('BD1'!$AE23=7,"Funcional con observaciones", (IF('BD1'!$AE23=6,"Funcional con observaciones",(IF('BD1'!$AE23=5,"Rendimiento bajo",(IF('BD1'!$AE23=4,"Parcialmente funcional",(IF('BD1'!$AE23=3,"Parcialmente funcional",(IF('BD1'!$AE23=2,"Inoperativo",(IF('BD1'!$AE23=1,"Inoperativo","Crítico")))))))))))))))</f>
        <v>Funcional con observaciones</v>
      </c>
    </row>
    <row r="24" spans="1:32" x14ac:dyDescent="0.2">
      <c r="A24" s="121">
        <v>102</v>
      </c>
      <c r="B24" s="122" t="s">
        <v>956</v>
      </c>
      <c r="C24" s="123" t="s">
        <v>429</v>
      </c>
      <c r="D24" s="123" t="s">
        <v>15</v>
      </c>
      <c r="E24" s="124" t="s">
        <v>150</v>
      </c>
      <c r="F24" s="124" t="s">
        <v>434</v>
      </c>
      <c r="G24" s="124" t="s">
        <v>992</v>
      </c>
      <c r="H24" s="122" t="s">
        <v>8</v>
      </c>
      <c r="I24" s="123">
        <v>21.10182</v>
      </c>
      <c r="J24" s="123">
        <v>-101.70554</v>
      </c>
      <c r="K24" s="122" t="s">
        <v>139</v>
      </c>
      <c r="L24" s="125" t="str">
        <f t="shared" si="0"/>
        <v>Ver en Google Maps</v>
      </c>
      <c r="M24" s="122">
        <v>2</v>
      </c>
      <c r="N24" s="108">
        <v>45932</v>
      </c>
      <c r="O24" s="109">
        <f>DAY('BD1'!$N24)</f>
        <v>2</v>
      </c>
      <c r="P24" s="109">
        <f>MONTH('BD1'!$N24)</f>
        <v>10</v>
      </c>
      <c r="Q24" s="109">
        <f>YEAR('BD1'!$N24)</f>
        <v>2025</v>
      </c>
      <c r="R24" s="109">
        <v>1</v>
      </c>
      <c r="S24" s="109" t="s">
        <v>934</v>
      </c>
      <c r="T24" s="109" t="s">
        <v>138</v>
      </c>
      <c r="U24" s="109" t="s">
        <v>138</v>
      </c>
      <c r="V24" s="109" t="s">
        <v>138</v>
      </c>
      <c r="W24" s="109" t="s">
        <v>138</v>
      </c>
      <c r="X24" s="109" t="s">
        <v>138</v>
      </c>
      <c r="Y24" s="109" t="s">
        <v>934</v>
      </c>
      <c r="Z24" s="109" t="s">
        <v>934</v>
      </c>
      <c r="AA24" s="109">
        <v>0</v>
      </c>
      <c r="AB24" s="109">
        <v>0</v>
      </c>
      <c r="AC24" s="110" t="s">
        <v>935</v>
      </c>
      <c r="AD24" s="110" t="s">
        <v>957</v>
      </c>
      <c r="AE24" s="109">
        <f t="shared" si="1"/>
        <v>5</v>
      </c>
      <c r="AF24" s="151" t="str">
        <f>IF('BD1'!$AE24=8,"Estable",(IF('BD1'!$AE24=7,"Funcional con observaciones", (IF('BD1'!$AE24=6,"Funcional con observaciones",(IF('BD1'!$AE24=5,"Rendimiento bajo",(IF('BD1'!$AE24=4,"Parcialmente funcional",(IF('BD1'!$AE24=3,"Parcialmente funcional",(IF('BD1'!$AE24=2,"Inoperativo",(IF('BD1'!$AE24=1,"Inoperativo","Crítico")))))))))))))))</f>
        <v>Rendimiento bajo</v>
      </c>
    </row>
    <row r="25" spans="1:32" x14ac:dyDescent="0.2">
      <c r="A25" s="112">
        <v>106</v>
      </c>
      <c r="B25" s="113" t="s">
        <v>956</v>
      </c>
      <c r="C25" s="114" t="s">
        <v>429</v>
      </c>
      <c r="D25" s="114" t="s">
        <v>15</v>
      </c>
      <c r="E25" s="115" t="s">
        <v>151</v>
      </c>
      <c r="F25" s="115" t="s">
        <v>435</v>
      </c>
      <c r="G25" s="115" t="s">
        <v>993</v>
      </c>
      <c r="H25" s="113" t="s">
        <v>8</v>
      </c>
      <c r="I25" s="114">
        <v>21.12576</v>
      </c>
      <c r="J25" s="114">
        <v>-101.70522699999999</v>
      </c>
      <c r="K25" s="113"/>
      <c r="L25" s="116" t="str">
        <f t="shared" si="0"/>
        <v>Ver en Google Maps</v>
      </c>
      <c r="M25" s="113">
        <v>2</v>
      </c>
      <c r="N25" s="129"/>
      <c r="O25" s="118"/>
      <c r="P25" s="118"/>
      <c r="Q25" s="118"/>
      <c r="R25" s="118"/>
      <c r="S25" s="118"/>
      <c r="T25" s="118"/>
      <c r="U25" s="118"/>
      <c r="V25" s="118"/>
      <c r="W25" s="118"/>
      <c r="X25" s="118"/>
      <c r="Y25" s="118"/>
      <c r="Z25" s="118"/>
      <c r="AA25" s="118"/>
      <c r="AB25" s="118"/>
      <c r="AC25" s="119"/>
      <c r="AD25" s="119"/>
      <c r="AE25" s="118"/>
      <c r="AF25" s="152"/>
    </row>
    <row r="26" spans="1:32" x14ac:dyDescent="0.2">
      <c r="A26" s="121">
        <v>107</v>
      </c>
      <c r="B26" s="122" t="s">
        <v>956</v>
      </c>
      <c r="C26" s="123" t="s">
        <v>429</v>
      </c>
      <c r="D26" s="123" t="s">
        <v>15</v>
      </c>
      <c r="E26" s="124" t="s">
        <v>152</v>
      </c>
      <c r="F26" s="124" t="s">
        <v>436</v>
      </c>
      <c r="G26" s="124" t="s">
        <v>994</v>
      </c>
      <c r="H26" s="122" t="s">
        <v>8</v>
      </c>
      <c r="I26" s="123">
        <v>21.140599999999999</v>
      </c>
      <c r="J26" s="123">
        <v>-101.70609</v>
      </c>
      <c r="K26" s="122" t="s">
        <v>139</v>
      </c>
      <c r="L26" s="125" t="str">
        <f t="shared" si="0"/>
        <v>Ver en Google Maps</v>
      </c>
      <c r="M26" s="122">
        <v>2</v>
      </c>
      <c r="N26" s="108">
        <v>45933</v>
      </c>
      <c r="O26" s="109">
        <f>DAY('BD1'!$N26)</f>
        <v>3</v>
      </c>
      <c r="P26" s="109">
        <f>MONTH('BD1'!$N26)</f>
        <v>10</v>
      </c>
      <c r="Q26" s="109">
        <f>YEAR('BD1'!$N26)</f>
        <v>2025</v>
      </c>
      <c r="R26" s="109">
        <v>1</v>
      </c>
      <c r="S26" s="109" t="s">
        <v>138</v>
      </c>
      <c r="T26" s="109" t="s">
        <v>138</v>
      </c>
      <c r="U26" s="109" t="s">
        <v>138</v>
      </c>
      <c r="V26" s="109" t="s">
        <v>138</v>
      </c>
      <c r="W26" s="109" t="s">
        <v>138</v>
      </c>
      <c r="X26" s="109" t="s">
        <v>138</v>
      </c>
      <c r="Y26" s="109" t="s">
        <v>138</v>
      </c>
      <c r="Z26" s="109" t="s">
        <v>138</v>
      </c>
      <c r="AA26" s="109">
        <v>37.340000000000003</v>
      </c>
      <c r="AB26" s="109">
        <v>36.29</v>
      </c>
      <c r="AC26" s="110" t="s">
        <v>967</v>
      </c>
      <c r="AD26" s="110" t="s">
        <v>957</v>
      </c>
      <c r="AE26" s="109">
        <f t="shared" si="1"/>
        <v>8</v>
      </c>
      <c r="AF26" s="151" t="str">
        <f>IF('BD1'!$AE26=8,"Estable",(IF('BD1'!$AE26=7,"Funcional con observaciones", (IF('BD1'!$AE26=6,"Funcional con observaciones",(IF('BD1'!$AE26=5,"Rendimiento bajo",(IF('BD1'!$AE26=4,"Parcialmente funcional",(IF('BD1'!$AE26=3,"Parcialmente funcional",(IF('BD1'!$AE26=2,"Inoperativo",(IF('BD1'!$AE26=1,"Inoperativo","Crítico")))))))))))))))</f>
        <v>Estable</v>
      </c>
    </row>
    <row r="27" spans="1:32" x14ac:dyDescent="0.2">
      <c r="A27" s="112">
        <v>108</v>
      </c>
      <c r="B27" s="113" t="s">
        <v>956</v>
      </c>
      <c r="C27" s="114" t="s">
        <v>429</v>
      </c>
      <c r="D27" s="114" t="s">
        <v>15</v>
      </c>
      <c r="E27" s="115" t="s">
        <v>21</v>
      </c>
      <c r="F27" s="115" t="s">
        <v>437</v>
      </c>
      <c r="G27" s="115" t="s">
        <v>995</v>
      </c>
      <c r="H27" s="113" t="s">
        <v>8</v>
      </c>
      <c r="I27" s="114">
        <v>21.091370000000001</v>
      </c>
      <c r="J27" s="114">
        <v>-101.64843999999999</v>
      </c>
      <c r="K27" s="113"/>
      <c r="L27" s="116" t="str">
        <f t="shared" si="0"/>
        <v>Ver en Google Maps</v>
      </c>
      <c r="M27" s="113">
        <v>2</v>
      </c>
      <c r="N27" s="129"/>
      <c r="O27" s="118"/>
      <c r="P27" s="118"/>
      <c r="Q27" s="118"/>
      <c r="R27" s="118"/>
      <c r="S27" s="118"/>
      <c r="T27" s="118"/>
      <c r="U27" s="118"/>
      <c r="V27" s="118"/>
      <c r="W27" s="118"/>
      <c r="X27" s="118"/>
      <c r="Y27" s="118"/>
      <c r="Z27" s="118"/>
      <c r="AA27" s="118"/>
      <c r="AB27" s="118"/>
      <c r="AC27" s="118"/>
      <c r="AD27" s="119"/>
      <c r="AE27" s="118"/>
      <c r="AF27" s="152"/>
    </row>
    <row r="28" spans="1:32" x14ac:dyDescent="0.2">
      <c r="A28" s="121">
        <v>109</v>
      </c>
      <c r="B28" s="122" t="s">
        <v>956</v>
      </c>
      <c r="C28" s="123" t="s">
        <v>429</v>
      </c>
      <c r="D28" s="123" t="s">
        <v>15</v>
      </c>
      <c r="E28" s="124" t="s">
        <v>153</v>
      </c>
      <c r="F28" s="124" t="s">
        <v>438</v>
      </c>
      <c r="G28" s="124" t="s">
        <v>979</v>
      </c>
      <c r="H28" s="122" t="s">
        <v>8</v>
      </c>
      <c r="I28" s="123">
        <v>21.13391</v>
      </c>
      <c r="J28" s="123">
        <v>-101.64409000000001</v>
      </c>
      <c r="K28" s="122" t="s">
        <v>139</v>
      </c>
      <c r="L28" s="125" t="str">
        <f t="shared" si="0"/>
        <v>Ver en Google Maps</v>
      </c>
      <c r="M28" s="122">
        <v>2</v>
      </c>
      <c r="N28" s="108">
        <v>45931</v>
      </c>
      <c r="O28" s="109">
        <f>DAY('BD1'!$N28)</f>
        <v>1</v>
      </c>
      <c r="P28" s="109">
        <f>MONTH('BD1'!$N28)</f>
        <v>10</v>
      </c>
      <c r="Q28" s="109">
        <f>YEAR('BD1'!$N28)</f>
        <v>2025</v>
      </c>
      <c r="R28" s="109">
        <v>1</v>
      </c>
      <c r="S28" s="109" t="s">
        <v>138</v>
      </c>
      <c r="T28" s="109" t="s">
        <v>138</v>
      </c>
      <c r="U28" s="109" t="s">
        <v>138</v>
      </c>
      <c r="V28" s="109" t="s">
        <v>138</v>
      </c>
      <c r="W28" s="109" t="s">
        <v>138</v>
      </c>
      <c r="X28" s="109" t="s">
        <v>138</v>
      </c>
      <c r="Y28" s="109" t="s">
        <v>138</v>
      </c>
      <c r="Z28" s="109" t="s">
        <v>138</v>
      </c>
      <c r="AA28" s="109">
        <v>23.73</v>
      </c>
      <c r="AB28" s="109">
        <v>25.45</v>
      </c>
      <c r="AC28" s="110" t="s">
        <v>967</v>
      </c>
      <c r="AD28" s="110" t="s">
        <v>954</v>
      </c>
      <c r="AE28" s="109">
        <f t="shared" si="1"/>
        <v>8</v>
      </c>
      <c r="AF28" s="151" t="str">
        <f>IF('BD1'!$AE28=8,"Estable",(IF('BD1'!$AE28=7,"Funcional con observaciones", (IF('BD1'!$AE28=6,"Funcional con observaciones",(IF('BD1'!$AE28=5,"Rendimiento bajo",(IF('BD1'!$AE28=4,"Parcialmente funcional",(IF('BD1'!$AE28=3,"Parcialmente funcional",(IF('BD1'!$AE28=2,"Inoperativo",(IF('BD1'!$AE28=1,"Inoperativo","Crítico")))))))))))))))</f>
        <v>Estable</v>
      </c>
    </row>
    <row r="29" spans="1:32" x14ac:dyDescent="0.2">
      <c r="A29" s="112">
        <v>112</v>
      </c>
      <c r="B29" s="113" t="s">
        <v>956</v>
      </c>
      <c r="C29" s="114" t="s">
        <v>429</v>
      </c>
      <c r="D29" s="114" t="s">
        <v>15</v>
      </c>
      <c r="E29" s="115" t="s">
        <v>154</v>
      </c>
      <c r="F29" s="115" t="s">
        <v>439</v>
      </c>
      <c r="G29" s="115" t="s">
        <v>996</v>
      </c>
      <c r="H29" s="113" t="s">
        <v>8</v>
      </c>
      <c r="I29" s="114">
        <v>21.113420000000001</v>
      </c>
      <c r="J29" s="114">
        <v>-101.70892000000001</v>
      </c>
      <c r="K29" s="113" t="s">
        <v>139</v>
      </c>
      <c r="L29" s="116" t="str">
        <f t="shared" si="0"/>
        <v>Ver en Google Maps</v>
      </c>
      <c r="M29" s="113">
        <v>2</v>
      </c>
      <c r="N29" s="117">
        <v>45940</v>
      </c>
      <c r="O29" s="118">
        <f>DAY('BD1'!$N29)</f>
        <v>10</v>
      </c>
      <c r="P29" s="118">
        <f>MONTH('BD1'!$N29)</f>
        <v>10</v>
      </c>
      <c r="Q29" s="118">
        <f>YEAR('BD1'!$N29)</f>
        <v>2025</v>
      </c>
      <c r="R29" s="118">
        <v>1</v>
      </c>
      <c r="S29" s="118" t="s">
        <v>138</v>
      </c>
      <c r="T29" s="118" t="s">
        <v>138</v>
      </c>
      <c r="U29" s="118" t="s">
        <v>138</v>
      </c>
      <c r="V29" s="118" t="s">
        <v>934</v>
      </c>
      <c r="W29" s="118" t="s">
        <v>138</v>
      </c>
      <c r="X29" s="118" t="s">
        <v>138</v>
      </c>
      <c r="Y29" s="118" t="s">
        <v>138</v>
      </c>
      <c r="Z29" s="118" t="s">
        <v>138</v>
      </c>
      <c r="AA29" s="118">
        <v>35</v>
      </c>
      <c r="AB29" s="118">
        <v>29.94</v>
      </c>
      <c r="AC29" s="119" t="s">
        <v>1419</v>
      </c>
      <c r="AD29" s="119" t="s">
        <v>957</v>
      </c>
      <c r="AE29" s="118">
        <f t="shared" si="1"/>
        <v>7</v>
      </c>
      <c r="AF29" s="152" t="str">
        <f>IF('BD1'!$AE29=8,"Estable",(IF('BD1'!$AE29=7,"Funcional con observaciones", (IF('BD1'!$AE29=6,"Funcional con observaciones",(IF('BD1'!$AE29=5,"Rendimiento bajo",(IF('BD1'!$AE29=4,"Parcialmente funcional",(IF('BD1'!$AE29=3,"Parcialmente funcional",(IF('BD1'!$AE29=2,"Inoperativo",(IF('BD1'!$AE29=1,"Inoperativo","Crítico")))))))))))))))</f>
        <v>Funcional con observaciones</v>
      </c>
    </row>
    <row r="30" spans="1:32" x14ac:dyDescent="0.2">
      <c r="A30" s="121">
        <v>114</v>
      </c>
      <c r="B30" s="122" t="s">
        <v>956</v>
      </c>
      <c r="C30" s="123" t="s">
        <v>429</v>
      </c>
      <c r="D30" s="123" t="s">
        <v>15</v>
      </c>
      <c r="E30" s="124" t="s">
        <v>155</v>
      </c>
      <c r="F30" s="124" t="s">
        <v>440</v>
      </c>
      <c r="G30" s="124" t="s">
        <v>997</v>
      </c>
      <c r="H30" s="122" t="s">
        <v>8</v>
      </c>
      <c r="I30" s="123">
        <v>21.108450000000001</v>
      </c>
      <c r="J30" s="123">
        <v>-101.7283</v>
      </c>
      <c r="K30" s="122" t="s">
        <v>139</v>
      </c>
      <c r="L30" s="125" t="str">
        <f t="shared" si="0"/>
        <v>Ver en Google Maps</v>
      </c>
      <c r="M30" s="122">
        <v>2</v>
      </c>
      <c r="N30" s="108">
        <v>45933</v>
      </c>
      <c r="O30" s="109">
        <f>DAY('BD1'!$N30)</f>
        <v>3</v>
      </c>
      <c r="P30" s="109">
        <f>MONTH('BD1'!$N30)</f>
        <v>10</v>
      </c>
      <c r="Q30" s="109">
        <f>YEAR('BD1'!$N30)</f>
        <v>2025</v>
      </c>
      <c r="R30" s="109">
        <v>1</v>
      </c>
      <c r="S30" s="109" t="s">
        <v>138</v>
      </c>
      <c r="T30" s="109" t="s">
        <v>138</v>
      </c>
      <c r="U30" s="109" t="s">
        <v>138</v>
      </c>
      <c r="V30" s="109" t="s">
        <v>138</v>
      </c>
      <c r="W30" s="109" t="s">
        <v>138</v>
      </c>
      <c r="X30" s="109" t="s">
        <v>138</v>
      </c>
      <c r="Y30" s="109" t="s">
        <v>138</v>
      </c>
      <c r="Z30" s="109" t="s">
        <v>138</v>
      </c>
      <c r="AA30" s="109">
        <v>21.33</v>
      </c>
      <c r="AB30" s="109">
        <v>34.35</v>
      </c>
      <c r="AC30" s="110" t="s">
        <v>948</v>
      </c>
      <c r="AD30" s="110" t="s">
        <v>954</v>
      </c>
      <c r="AE30" s="109">
        <f t="shared" si="1"/>
        <v>8</v>
      </c>
      <c r="AF30" s="151" t="str">
        <f>IF('BD1'!$AE30=8,"Estable",(IF('BD1'!$AE30=7,"Funcional con observaciones", (IF('BD1'!$AE30=6,"Funcional con observaciones",(IF('BD1'!$AE30=5,"Rendimiento bajo",(IF('BD1'!$AE30=4,"Parcialmente funcional",(IF('BD1'!$AE30=3,"Parcialmente funcional",(IF('BD1'!$AE30=2,"Inoperativo",(IF('BD1'!$AE30=1,"Inoperativo","Crítico")))))))))))))))</f>
        <v>Estable</v>
      </c>
    </row>
    <row r="31" spans="1:32" x14ac:dyDescent="0.2">
      <c r="A31" s="112">
        <v>115</v>
      </c>
      <c r="B31" s="113" t="s">
        <v>956</v>
      </c>
      <c r="C31" s="114" t="s">
        <v>429</v>
      </c>
      <c r="D31" s="114" t="s">
        <v>15</v>
      </c>
      <c r="E31" s="115" t="s">
        <v>156</v>
      </c>
      <c r="F31" s="115" t="s">
        <v>441</v>
      </c>
      <c r="G31" s="115" t="s">
        <v>998</v>
      </c>
      <c r="H31" s="113" t="s">
        <v>8</v>
      </c>
      <c r="I31" s="114">
        <v>21.081569999999999</v>
      </c>
      <c r="J31" s="114">
        <v>-101.63813</v>
      </c>
      <c r="K31" s="113"/>
      <c r="L31" s="116" t="str">
        <f t="shared" si="0"/>
        <v>Ver en Google Maps</v>
      </c>
      <c r="M31" s="113">
        <v>2</v>
      </c>
      <c r="N31" s="129"/>
      <c r="O31" s="118"/>
      <c r="P31" s="118"/>
      <c r="Q31" s="118"/>
      <c r="R31" s="118"/>
      <c r="S31" s="118"/>
      <c r="T31" s="118"/>
      <c r="U31" s="118"/>
      <c r="V31" s="118"/>
      <c r="W31" s="118"/>
      <c r="X31" s="118"/>
      <c r="Y31" s="118"/>
      <c r="Z31" s="118"/>
      <c r="AA31" s="118"/>
      <c r="AB31" s="118"/>
      <c r="AC31" s="118"/>
      <c r="AD31" s="119"/>
      <c r="AE31" s="118"/>
      <c r="AF31" s="152"/>
    </row>
    <row r="32" spans="1:32" x14ac:dyDescent="0.2">
      <c r="A32" s="121">
        <v>116</v>
      </c>
      <c r="B32" s="122" t="s">
        <v>956</v>
      </c>
      <c r="C32" s="123" t="s">
        <v>429</v>
      </c>
      <c r="D32" s="123" t="s">
        <v>15</v>
      </c>
      <c r="E32" s="124" t="s">
        <v>157</v>
      </c>
      <c r="F32" s="124" t="s">
        <v>442</v>
      </c>
      <c r="G32" s="124" t="s">
        <v>999</v>
      </c>
      <c r="H32" s="122" t="s">
        <v>8</v>
      </c>
      <c r="I32" s="123">
        <v>21.080089999999998</v>
      </c>
      <c r="J32" s="123">
        <v>-101.62151</v>
      </c>
      <c r="K32" s="122"/>
      <c r="L32" s="125" t="str">
        <f t="shared" si="0"/>
        <v>Ver en Google Maps</v>
      </c>
      <c r="M32" s="122">
        <v>2</v>
      </c>
      <c r="N32" s="130"/>
      <c r="O32" s="109"/>
      <c r="P32" s="109"/>
      <c r="Q32" s="109"/>
      <c r="R32" s="109"/>
      <c r="S32" s="109"/>
      <c r="T32" s="109"/>
      <c r="U32" s="109"/>
      <c r="V32" s="109"/>
      <c r="W32" s="109"/>
      <c r="X32" s="109"/>
      <c r="Y32" s="109"/>
      <c r="Z32" s="109"/>
      <c r="AA32" s="109"/>
      <c r="AB32" s="109"/>
      <c r="AC32" s="109"/>
      <c r="AD32" s="110"/>
      <c r="AE32" s="109"/>
      <c r="AF32" s="151"/>
    </row>
    <row r="33" spans="1:32" x14ac:dyDescent="0.2">
      <c r="A33" s="112">
        <v>117</v>
      </c>
      <c r="B33" s="113" t="s">
        <v>956</v>
      </c>
      <c r="C33" s="114" t="s">
        <v>429</v>
      </c>
      <c r="D33" s="114" t="s">
        <v>15</v>
      </c>
      <c r="E33" s="115" t="s">
        <v>158</v>
      </c>
      <c r="F33" s="115" t="s">
        <v>443</v>
      </c>
      <c r="G33" s="115" t="s">
        <v>22</v>
      </c>
      <c r="H33" s="113" t="s">
        <v>8</v>
      </c>
      <c r="I33" s="114">
        <v>21.092549999999999</v>
      </c>
      <c r="J33" s="114">
        <v>-101.59189000000001</v>
      </c>
      <c r="K33" s="113"/>
      <c r="L33" s="116" t="str">
        <f t="shared" si="0"/>
        <v>Ver en Google Maps</v>
      </c>
      <c r="M33" s="113">
        <v>2</v>
      </c>
      <c r="N33" s="129"/>
      <c r="O33" s="118"/>
      <c r="P33" s="118"/>
      <c r="Q33" s="118"/>
      <c r="R33" s="118"/>
      <c r="S33" s="118"/>
      <c r="T33" s="118"/>
      <c r="U33" s="118"/>
      <c r="V33" s="118"/>
      <c r="W33" s="118"/>
      <c r="X33" s="118"/>
      <c r="Y33" s="118"/>
      <c r="Z33" s="118"/>
      <c r="AA33" s="118"/>
      <c r="AB33" s="118"/>
      <c r="AC33" s="118"/>
      <c r="AD33" s="119"/>
      <c r="AE33" s="118"/>
      <c r="AF33" s="152"/>
    </row>
    <row r="34" spans="1:32" x14ac:dyDescent="0.2">
      <c r="A34" s="121">
        <v>120</v>
      </c>
      <c r="B34" s="122" t="s">
        <v>956</v>
      </c>
      <c r="C34" s="123" t="s">
        <v>429</v>
      </c>
      <c r="D34" s="123" t="s">
        <v>17</v>
      </c>
      <c r="E34" s="124" t="s">
        <v>159</v>
      </c>
      <c r="F34" s="124" t="s">
        <v>444</v>
      </c>
      <c r="G34" s="124" t="s">
        <v>1000</v>
      </c>
      <c r="H34" s="122" t="s">
        <v>8</v>
      </c>
      <c r="I34" s="123">
        <v>21.132909999999999</v>
      </c>
      <c r="J34" s="123">
        <v>-101.70179</v>
      </c>
      <c r="K34" s="122"/>
      <c r="L34" s="125" t="str">
        <f t="shared" si="0"/>
        <v>Ver en Google Maps</v>
      </c>
      <c r="M34" s="122">
        <v>1</v>
      </c>
      <c r="N34" s="130"/>
      <c r="O34" s="109"/>
      <c r="P34" s="109"/>
      <c r="Q34" s="109"/>
      <c r="R34" s="109"/>
      <c r="S34" s="109"/>
      <c r="T34" s="109"/>
      <c r="U34" s="109"/>
      <c r="V34" s="109"/>
      <c r="W34" s="109"/>
      <c r="X34" s="109"/>
      <c r="Y34" s="109"/>
      <c r="Z34" s="109"/>
      <c r="AA34" s="109"/>
      <c r="AB34" s="109"/>
      <c r="AC34" s="109"/>
      <c r="AD34" s="110"/>
      <c r="AE34" s="109"/>
      <c r="AF34" s="151"/>
    </row>
    <row r="35" spans="1:32" x14ac:dyDescent="0.2">
      <c r="A35" s="112">
        <v>123</v>
      </c>
      <c r="B35" s="113" t="s">
        <v>956</v>
      </c>
      <c r="C35" s="114" t="s">
        <v>429</v>
      </c>
      <c r="D35" s="114" t="s">
        <v>17</v>
      </c>
      <c r="E35" s="115" t="s">
        <v>160</v>
      </c>
      <c r="F35" s="115" t="s">
        <v>445</v>
      </c>
      <c r="G35" s="115" t="s">
        <v>1001</v>
      </c>
      <c r="H35" s="113" t="s">
        <v>8</v>
      </c>
      <c r="I35" s="114">
        <v>21.120629999999998</v>
      </c>
      <c r="J35" s="114">
        <v>-101.65833000000001</v>
      </c>
      <c r="K35" s="113" t="s">
        <v>139</v>
      </c>
      <c r="L35" s="116" t="str">
        <f t="shared" si="0"/>
        <v>Ver en Google Maps</v>
      </c>
      <c r="M35" s="113">
        <v>1</v>
      </c>
      <c r="N35" s="117">
        <v>45939</v>
      </c>
      <c r="O35" s="118">
        <f>DAY('BD1'!$N35)</f>
        <v>9</v>
      </c>
      <c r="P35" s="118">
        <f>MONTH('BD1'!$N35)</f>
        <v>10</v>
      </c>
      <c r="Q35" s="118">
        <f>YEAR('BD1'!$N35)</f>
        <v>2025</v>
      </c>
      <c r="R35" s="118">
        <v>1</v>
      </c>
      <c r="S35" s="118" t="s">
        <v>138</v>
      </c>
      <c r="T35" s="118" t="s">
        <v>138</v>
      </c>
      <c r="U35" s="118" t="s">
        <v>138</v>
      </c>
      <c r="V35" s="118" t="s">
        <v>138</v>
      </c>
      <c r="W35" s="118" t="s">
        <v>138</v>
      </c>
      <c r="X35" s="118" t="s">
        <v>138</v>
      </c>
      <c r="Y35" s="118" t="s">
        <v>138</v>
      </c>
      <c r="Z35" s="118" t="s">
        <v>138</v>
      </c>
      <c r="AA35" s="118">
        <v>49.27</v>
      </c>
      <c r="AB35" s="118">
        <v>36.979999999999997</v>
      </c>
      <c r="AC35" s="119" t="s">
        <v>967</v>
      </c>
      <c r="AD35" s="119" t="s">
        <v>957</v>
      </c>
      <c r="AE35" s="118">
        <f t="shared" si="1"/>
        <v>8</v>
      </c>
      <c r="AF35" s="152" t="str">
        <f>IF('BD1'!$AE35=8,"Estable",(IF('BD1'!$AE35=7,"Funcional con observaciones", (IF('BD1'!$AE35=6,"Funcional con observaciones",(IF('BD1'!$AE35=5,"Rendimiento bajo",(IF('BD1'!$AE35=4,"Parcialmente funcional",(IF('BD1'!$AE35=3,"Parcialmente funcional",(IF('BD1'!$AE35=2,"Inoperativo",(IF('BD1'!$AE35=1,"Inoperativo","Crítico")))))))))))))))</f>
        <v>Estable</v>
      </c>
    </row>
    <row r="36" spans="1:32" x14ac:dyDescent="0.2">
      <c r="A36" s="121">
        <v>128</v>
      </c>
      <c r="B36" s="122" t="s">
        <v>956</v>
      </c>
      <c r="C36" s="123" t="s">
        <v>429</v>
      </c>
      <c r="D36" s="123" t="s">
        <v>17</v>
      </c>
      <c r="E36" s="124" t="s">
        <v>161</v>
      </c>
      <c r="F36" s="124" t="s">
        <v>446</v>
      </c>
      <c r="G36" s="124" t="s">
        <v>1002</v>
      </c>
      <c r="H36" s="122" t="s">
        <v>8</v>
      </c>
      <c r="I36" s="123">
        <v>21.14996</v>
      </c>
      <c r="J36" s="123">
        <v>-101.68823999999999</v>
      </c>
      <c r="K36" s="122" t="s">
        <v>139</v>
      </c>
      <c r="L36" s="125" t="str">
        <f t="shared" si="0"/>
        <v>Ver en Google Maps</v>
      </c>
      <c r="M36" s="122">
        <v>1</v>
      </c>
      <c r="N36" s="108">
        <v>45933</v>
      </c>
      <c r="O36" s="109">
        <f>DAY('BD1'!$N36)</f>
        <v>3</v>
      </c>
      <c r="P36" s="109">
        <f>MONTH('BD1'!$N36)</f>
        <v>10</v>
      </c>
      <c r="Q36" s="109">
        <f>YEAR('BD1'!$N36)</f>
        <v>2025</v>
      </c>
      <c r="R36" s="109">
        <v>1</v>
      </c>
      <c r="S36" s="109" t="s">
        <v>138</v>
      </c>
      <c r="T36" s="109" t="s">
        <v>138</v>
      </c>
      <c r="U36" s="109" t="s">
        <v>138</v>
      </c>
      <c r="V36" s="109" t="s">
        <v>138</v>
      </c>
      <c r="W36" s="109" t="s">
        <v>138</v>
      </c>
      <c r="X36" s="109" t="s">
        <v>138</v>
      </c>
      <c r="Y36" s="109" t="s">
        <v>138</v>
      </c>
      <c r="Z36" s="109" t="s">
        <v>138</v>
      </c>
      <c r="AA36" s="109">
        <v>50.44</v>
      </c>
      <c r="AB36" s="109">
        <v>61.88</v>
      </c>
      <c r="AC36" s="110" t="s">
        <v>967</v>
      </c>
      <c r="AD36" s="110" t="s">
        <v>954</v>
      </c>
      <c r="AE36" s="109">
        <f t="shared" si="1"/>
        <v>8</v>
      </c>
      <c r="AF36" s="151" t="str">
        <f>IF('BD1'!$AE36=8,"Estable",(IF('BD1'!$AE36=7,"Funcional con observaciones", (IF('BD1'!$AE36=6,"Funcional con observaciones",(IF('BD1'!$AE36=5,"Rendimiento bajo",(IF('BD1'!$AE36=4,"Parcialmente funcional",(IF('BD1'!$AE36=3,"Parcialmente funcional",(IF('BD1'!$AE36=2,"Inoperativo",(IF('BD1'!$AE36=1,"Inoperativo","Crítico")))))))))))))))</f>
        <v>Estable</v>
      </c>
    </row>
    <row r="37" spans="1:32" x14ac:dyDescent="0.2">
      <c r="A37" s="112">
        <v>131</v>
      </c>
      <c r="B37" s="113" t="s">
        <v>956</v>
      </c>
      <c r="C37" s="114" t="s">
        <v>429</v>
      </c>
      <c r="D37" s="114" t="s">
        <v>17</v>
      </c>
      <c r="E37" s="115" t="s">
        <v>162</v>
      </c>
      <c r="F37" s="115" t="s">
        <v>447</v>
      </c>
      <c r="G37" s="115" t="s">
        <v>1003</v>
      </c>
      <c r="H37" s="113" t="s">
        <v>8</v>
      </c>
      <c r="I37" s="114">
        <v>21.101050000000001</v>
      </c>
      <c r="J37" s="114">
        <v>-101.65532</v>
      </c>
      <c r="K37" s="113" t="s">
        <v>139</v>
      </c>
      <c r="L37" s="116" t="str">
        <f t="shared" si="0"/>
        <v>Ver en Google Maps</v>
      </c>
      <c r="M37" s="113">
        <v>1</v>
      </c>
      <c r="N37" s="117">
        <v>45934</v>
      </c>
      <c r="O37" s="118">
        <f>DAY('BD1'!$N37)</f>
        <v>4</v>
      </c>
      <c r="P37" s="118">
        <f>MONTH('BD1'!$N37)</f>
        <v>10</v>
      </c>
      <c r="Q37" s="118">
        <f>YEAR('BD1'!$N37)</f>
        <v>2025</v>
      </c>
      <c r="R37" s="118">
        <v>1</v>
      </c>
      <c r="S37" s="118" t="s">
        <v>138</v>
      </c>
      <c r="T37" s="118" t="s">
        <v>138</v>
      </c>
      <c r="U37" s="118" t="s">
        <v>138</v>
      </c>
      <c r="V37" s="118" t="s">
        <v>138</v>
      </c>
      <c r="W37" s="118" t="s">
        <v>138</v>
      </c>
      <c r="X37" s="118" t="s">
        <v>138</v>
      </c>
      <c r="Y37" s="118" t="s">
        <v>138</v>
      </c>
      <c r="Z37" s="118" t="s">
        <v>138</v>
      </c>
      <c r="AA37" s="118">
        <v>50.28</v>
      </c>
      <c r="AB37" s="118">
        <v>53.99</v>
      </c>
      <c r="AC37" s="119" t="s">
        <v>967</v>
      </c>
      <c r="AD37" s="119" t="s">
        <v>954</v>
      </c>
      <c r="AE37" s="118">
        <f t="shared" si="1"/>
        <v>8</v>
      </c>
      <c r="AF37" s="152" t="str">
        <f>IF('BD1'!$AE37=8,"Estable",(IF('BD1'!$AE37=7,"Funcional con observaciones", (IF('BD1'!$AE37=6,"Funcional con observaciones",(IF('BD1'!$AE37=5,"Rendimiento bajo",(IF('BD1'!$AE37=4,"Parcialmente funcional",(IF('BD1'!$AE37=3,"Parcialmente funcional",(IF('BD1'!$AE37=2,"Inoperativo",(IF('BD1'!$AE37=1,"Inoperativo","Crítico")))))))))))))))</f>
        <v>Estable</v>
      </c>
    </row>
    <row r="38" spans="1:32" x14ac:dyDescent="0.2">
      <c r="A38" s="121">
        <v>136</v>
      </c>
      <c r="B38" s="122" t="s">
        <v>956</v>
      </c>
      <c r="C38" s="123" t="s">
        <v>429</v>
      </c>
      <c r="D38" s="123" t="s">
        <v>17</v>
      </c>
      <c r="E38" s="124" t="s">
        <v>163</v>
      </c>
      <c r="F38" s="124" t="s">
        <v>448</v>
      </c>
      <c r="G38" s="124" t="s">
        <v>976</v>
      </c>
      <c r="H38" s="122" t="s">
        <v>8</v>
      </c>
      <c r="I38" s="123">
        <v>21.103629999999999</v>
      </c>
      <c r="J38" s="123">
        <v>-101.7011</v>
      </c>
      <c r="K38" s="122" t="s">
        <v>139</v>
      </c>
      <c r="L38" s="125" t="str">
        <f t="shared" si="0"/>
        <v>Ver en Google Maps</v>
      </c>
      <c r="M38" s="122">
        <v>1</v>
      </c>
      <c r="N38" s="108">
        <v>45932</v>
      </c>
      <c r="O38" s="109">
        <f>DAY('BD1'!$N38)</f>
        <v>2</v>
      </c>
      <c r="P38" s="109">
        <f>MONTH('BD1'!$N38)</f>
        <v>10</v>
      </c>
      <c r="Q38" s="109">
        <f>YEAR('BD1'!$N38)</f>
        <v>2025</v>
      </c>
      <c r="R38" s="109">
        <v>1</v>
      </c>
      <c r="S38" s="109" t="s">
        <v>138</v>
      </c>
      <c r="T38" s="109" t="s">
        <v>138</v>
      </c>
      <c r="U38" s="109" t="s">
        <v>138</v>
      </c>
      <c r="V38" s="109" t="s">
        <v>138</v>
      </c>
      <c r="W38" s="109" t="s">
        <v>138</v>
      </c>
      <c r="X38" s="109" t="s">
        <v>138</v>
      </c>
      <c r="Y38" s="109" t="s">
        <v>138</v>
      </c>
      <c r="Z38" s="109" t="s">
        <v>138</v>
      </c>
      <c r="AA38" s="109">
        <v>40.26</v>
      </c>
      <c r="AB38" s="109">
        <v>21.65</v>
      </c>
      <c r="AC38" s="110" t="s">
        <v>967</v>
      </c>
      <c r="AD38" s="110" t="s">
        <v>957</v>
      </c>
      <c r="AE38" s="109">
        <f t="shared" si="1"/>
        <v>8</v>
      </c>
      <c r="AF38" s="151" t="str">
        <f>IF('BD1'!$AE38=8,"Estable",(IF('BD1'!$AE38=7,"Funcional con observaciones", (IF('BD1'!$AE38=6,"Funcional con observaciones",(IF('BD1'!$AE38=5,"Rendimiento bajo",(IF('BD1'!$AE38=4,"Parcialmente funcional",(IF('BD1'!$AE38=3,"Parcialmente funcional",(IF('BD1'!$AE38=2,"Inoperativo",(IF('BD1'!$AE38=1,"Inoperativo","Crítico")))))))))))))))</f>
        <v>Estable</v>
      </c>
    </row>
    <row r="39" spans="1:32" x14ac:dyDescent="0.2">
      <c r="A39" s="112">
        <v>141</v>
      </c>
      <c r="B39" s="113" t="s">
        <v>956</v>
      </c>
      <c r="C39" s="114" t="s">
        <v>429</v>
      </c>
      <c r="D39" s="114" t="s">
        <v>17</v>
      </c>
      <c r="E39" s="115" t="s">
        <v>164</v>
      </c>
      <c r="F39" s="115" t="s">
        <v>449</v>
      </c>
      <c r="G39" s="115" t="s">
        <v>1004</v>
      </c>
      <c r="H39" s="113" t="s">
        <v>8</v>
      </c>
      <c r="I39" s="114">
        <v>21.11673</v>
      </c>
      <c r="J39" s="114">
        <v>-101.70174</v>
      </c>
      <c r="K39" s="113" t="s">
        <v>139</v>
      </c>
      <c r="L39" s="116" t="str">
        <f t="shared" si="0"/>
        <v>Ver en Google Maps</v>
      </c>
      <c r="M39" s="113">
        <v>1</v>
      </c>
      <c r="N39" s="117">
        <v>45940</v>
      </c>
      <c r="O39" s="118">
        <f>DAY('BD1'!$N39)</f>
        <v>10</v>
      </c>
      <c r="P39" s="118">
        <f>MONTH('BD1'!$N39)</f>
        <v>10</v>
      </c>
      <c r="Q39" s="118">
        <f>YEAR('BD1'!$N39)</f>
        <v>2025</v>
      </c>
      <c r="R39" s="118">
        <v>1</v>
      </c>
      <c r="S39" s="118" t="s">
        <v>138</v>
      </c>
      <c r="T39" s="118" t="s">
        <v>138</v>
      </c>
      <c r="U39" s="118" t="s">
        <v>138</v>
      </c>
      <c r="V39" s="118" t="s">
        <v>138</v>
      </c>
      <c r="W39" s="118" t="s">
        <v>138</v>
      </c>
      <c r="X39" s="118" t="s">
        <v>138</v>
      </c>
      <c r="Y39" s="118" t="s">
        <v>138</v>
      </c>
      <c r="Z39" s="118" t="s">
        <v>138</v>
      </c>
      <c r="AA39" s="118">
        <v>35.4</v>
      </c>
      <c r="AB39" s="118">
        <v>52.47</v>
      </c>
      <c r="AC39" s="119" t="s">
        <v>967</v>
      </c>
      <c r="AD39" s="119" t="s">
        <v>957</v>
      </c>
      <c r="AE39" s="118">
        <f t="shared" si="1"/>
        <v>8</v>
      </c>
      <c r="AF39" s="152" t="str">
        <f>IF('BD1'!$AE39=8,"Estable",(IF('BD1'!$AE39=7,"Funcional con observaciones", (IF('BD1'!$AE39=6,"Funcional con observaciones",(IF('BD1'!$AE39=5,"Rendimiento bajo",(IF('BD1'!$AE39=4,"Parcialmente funcional",(IF('BD1'!$AE39=3,"Parcialmente funcional",(IF('BD1'!$AE39=2,"Inoperativo",(IF('BD1'!$AE39=1,"Inoperativo","Crítico")))))))))))))))</f>
        <v>Estable</v>
      </c>
    </row>
    <row r="40" spans="1:32" x14ac:dyDescent="0.2">
      <c r="A40" s="121">
        <v>142</v>
      </c>
      <c r="B40" s="122" t="s">
        <v>956</v>
      </c>
      <c r="C40" s="123" t="s">
        <v>429</v>
      </c>
      <c r="D40" s="123" t="s">
        <v>17</v>
      </c>
      <c r="E40" s="124" t="s">
        <v>165</v>
      </c>
      <c r="F40" s="124" t="s">
        <v>450</v>
      </c>
      <c r="G40" s="124" t="s">
        <v>1005</v>
      </c>
      <c r="H40" s="122" t="s">
        <v>8</v>
      </c>
      <c r="I40" s="123">
        <v>21.127649999999999</v>
      </c>
      <c r="J40" s="123">
        <v>-101.64816</v>
      </c>
      <c r="K40" s="122" t="s">
        <v>139</v>
      </c>
      <c r="L40" s="125" t="str">
        <f t="shared" si="0"/>
        <v>Ver en Google Maps</v>
      </c>
      <c r="M40" s="122">
        <v>1</v>
      </c>
      <c r="N40" s="108">
        <v>45931</v>
      </c>
      <c r="O40" s="109">
        <f>DAY('BD1'!$N40)</f>
        <v>1</v>
      </c>
      <c r="P40" s="109">
        <f>MONTH('BD1'!$N40)</f>
        <v>10</v>
      </c>
      <c r="Q40" s="109">
        <f>YEAR('BD1'!$N40)</f>
        <v>2025</v>
      </c>
      <c r="R40" s="109">
        <v>1</v>
      </c>
      <c r="S40" s="109" t="s">
        <v>138</v>
      </c>
      <c r="T40" s="109" t="s">
        <v>138</v>
      </c>
      <c r="U40" s="109" t="s">
        <v>138</v>
      </c>
      <c r="V40" s="109" t="s">
        <v>138</v>
      </c>
      <c r="W40" s="109" t="s">
        <v>138</v>
      </c>
      <c r="X40" s="109" t="s">
        <v>138</v>
      </c>
      <c r="Y40" s="109" t="s">
        <v>138</v>
      </c>
      <c r="Z40" s="109" t="s">
        <v>138</v>
      </c>
      <c r="AA40" s="109">
        <v>64.16</v>
      </c>
      <c r="AB40" s="109">
        <v>42.08</v>
      </c>
      <c r="AC40" s="110" t="s">
        <v>967</v>
      </c>
      <c r="AD40" s="110" t="s">
        <v>954</v>
      </c>
      <c r="AE40" s="109">
        <f t="shared" si="1"/>
        <v>8</v>
      </c>
      <c r="AF40" s="151" t="str">
        <f>IF('BD1'!$AE40=8,"Estable",(IF('BD1'!$AE40=7,"Funcional con observaciones", (IF('BD1'!$AE40=6,"Funcional con observaciones",(IF('BD1'!$AE40=5,"Rendimiento bajo",(IF('BD1'!$AE40=4,"Parcialmente funcional",(IF('BD1'!$AE40=3,"Parcialmente funcional",(IF('BD1'!$AE40=2,"Inoperativo",(IF('BD1'!$AE40=1,"Inoperativo","Crítico")))))))))))))))</f>
        <v>Estable</v>
      </c>
    </row>
    <row r="41" spans="1:32" x14ac:dyDescent="0.2">
      <c r="A41" s="112">
        <v>144</v>
      </c>
      <c r="B41" s="113" t="s">
        <v>956</v>
      </c>
      <c r="C41" s="114" t="s">
        <v>429</v>
      </c>
      <c r="D41" s="114" t="s">
        <v>17</v>
      </c>
      <c r="E41" s="115" t="s">
        <v>166</v>
      </c>
      <c r="F41" s="115" t="s">
        <v>451</v>
      </c>
      <c r="G41" s="115" t="s">
        <v>1006</v>
      </c>
      <c r="H41" s="113" t="s">
        <v>8</v>
      </c>
      <c r="I41" s="114">
        <v>21.12003</v>
      </c>
      <c r="J41" s="114">
        <v>-101.70858</v>
      </c>
      <c r="K41" s="113" t="s">
        <v>139</v>
      </c>
      <c r="L41" s="116" t="str">
        <f t="shared" si="0"/>
        <v>Ver en Google Maps</v>
      </c>
      <c r="M41" s="113">
        <v>1</v>
      </c>
      <c r="N41" s="117">
        <v>45933</v>
      </c>
      <c r="O41" s="118">
        <f>DAY('BD1'!$N41)</f>
        <v>3</v>
      </c>
      <c r="P41" s="118">
        <f>MONTH('BD1'!$N41)</f>
        <v>10</v>
      </c>
      <c r="Q41" s="118">
        <f>YEAR('BD1'!$N41)</f>
        <v>2025</v>
      </c>
      <c r="R41" s="118">
        <v>1</v>
      </c>
      <c r="S41" s="118" t="s">
        <v>138</v>
      </c>
      <c r="T41" s="118" t="s">
        <v>138</v>
      </c>
      <c r="U41" s="118" t="s">
        <v>138</v>
      </c>
      <c r="V41" s="118" t="s">
        <v>138</v>
      </c>
      <c r="W41" s="118" t="s">
        <v>138</v>
      </c>
      <c r="X41" s="118" t="s">
        <v>138</v>
      </c>
      <c r="Y41" s="118" t="s">
        <v>138</v>
      </c>
      <c r="Z41" s="118" t="s">
        <v>138</v>
      </c>
      <c r="AA41" s="118">
        <v>35.56</v>
      </c>
      <c r="AB41" s="118">
        <v>22.9</v>
      </c>
      <c r="AC41" s="119" t="s">
        <v>967</v>
      </c>
      <c r="AD41" s="119" t="s">
        <v>954</v>
      </c>
      <c r="AE41" s="118">
        <f t="shared" si="1"/>
        <v>8</v>
      </c>
      <c r="AF41" s="152" t="str">
        <f>IF('BD1'!$AE41=8,"Estable",(IF('BD1'!$AE41=7,"Funcional con observaciones", (IF('BD1'!$AE41=6,"Funcional con observaciones",(IF('BD1'!$AE41=5,"Rendimiento bajo",(IF('BD1'!$AE41=4,"Parcialmente funcional",(IF('BD1'!$AE41=3,"Parcialmente funcional",(IF('BD1'!$AE41=2,"Inoperativo",(IF('BD1'!$AE41=1,"Inoperativo","Crítico")))))))))))))))</f>
        <v>Estable</v>
      </c>
    </row>
    <row r="42" spans="1:32" x14ac:dyDescent="0.2">
      <c r="A42" s="121">
        <v>146</v>
      </c>
      <c r="B42" s="122" t="s">
        <v>956</v>
      </c>
      <c r="C42" s="123" t="s">
        <v>429</v>
      </c>
      <c r="D42" s="123" t="s">
        <v>17</v>
      </c>
      <c r="E42" s="124" t="s">
        <v>167</v>
      </c>
      <c r="F42" s="124" t="s">
        <v>452</v>
      </c>
      <c r="G42" s="124" t="s">
        <v>1007</v>
      </c>
      <c r="H42" s="122" t="s">
        <v>8</v>
      </c>
      <c r="I42" s="123">
        <v>21.137309999999999</v>
      </c>
      <c r="J42" s="123">
        <v>-101.71594</v>
      </c>
      <c r="K42" s="122"/>
      <c r="L42" s="125" t="str">
        <f t="shared" si="0"/>
        <v>Ver en Google Maps</v>
      </c>
      <c r="M42" s="122">
        <v>1</v>
      </c>
      <c r="N42" s="130"/>
      <c r="O42" s="109"/>
      <c r="P42" s="109"/>
      <c r="Q42" s="109"/>
      <c r="R42" s="109"/>
      <c r="S42" s="109"/>
      <c r="T42" s="109"/>
      <c r="U42" s="109"/>
      <c r="V42" s="109"/>
      <c r="W42" s="109"/>
      <c r="X42" s="109"/>
      <c r="Y42" s="109"/>
      <c r="Z42" s="109"/>
      <c r="AA42" s="109"/>
      <c r="AB42" s="109"/>
      <c r="AC42" s="109"/>
      <c r="AD42" s="110"/>
      <c r="AE42" s="109"/>
      <c r="AF42" s="151"/>
    </row>
    <row r="43" spans="1:32" x14ac:dyDescent="0.2">
      <c r="A43" s="112">
        <v>147</v>
      </c>
      <c r="B43" s="113" t="s">
        <v>956</v>
      </c>
      <c r="C43" s="114" t="s">
        <v>429</v>
      </c>
      <c r="D43" s="114" t="s">
        <v>17</v>
      </c>
      <c r="E43" s="115" t="s">
        <v>168</v>
      </c>
      <c r="F43" s="115" t="s">
        <v>453</v>
      </c>
      <c r="G43" s="115" t="s">
        <v>1008</v>
      </c>
      <c r="H43" s="113" t="s">
        <v>8</v>
      </c>
      <c r="I43" s="114">
        <v>21.108720000000002</v>
      </c>
      <c r="J43" s="114">
        <v>-101.69521</v>
      </c>
      <c r="K43" s="113" t="s">
        <v>139</v>
      </c>
      <c r="L43" s="116" t="str">
        <f t="shared" si="0"/>
        <v>Ver en Google Maps</v>
      </c>
      <c r="M43" s="113">
        <v>1</v>
      </c>
      <c r="N43" s="117">
        <v>45932</v>
      </c>
      <c r="O43" s="118">
        <f>DAY('BD1'!$N43)</f>
        <v>2</v>
      </c>
      <c r="P43" s="118">
        <f>MONTH('BD1'!$N43)</f>
        <v>10</v>
      </c>
      <c r="Q43" s="118">
        <f>YEAR('BD1'!$N43)</f>
        <v>2025</v>
      </c>
      <c r="R43" s="118">
        <v>1</v>
      </c>
      <c r="S43" s="118" t="s">
        <v>138</v>
      </c>
      <c r="T43" s="118" t="s">
        <v>138</v>
      </c>
      <c r="U43" s="118" t="s">
        <v>138</v>
      </c>
      <c r="V43" s="118" t="s">
        <v>138</v>
      </c>
      <c r="W43" s="118" t="s">
        <v>138</v>
      </c>
      <c r="X43" s="118" t="s">
        <v>138</v>
      </c>
      <c r="Y43" s="118" t="s">
        <v>138</v>
      </c>
      <c r="Z43" s="118" t="s">
        <v>138</v>
      </c>
      <c r="AA43" s="118">
        <v>42.5</v>
      </c>
      <c r="AB43" s="118">
        <v>12.8</v>
      </c>
      <c r="AC43" s="119" t="s">
        <v>967</v>
      </c>
      <c r="AD43" s="119" t="s">
        <v>957</v>
      </c>
      <c r="AE43" s="118">
        <f t="shared" si="1"/>
        <v>8</v>
      </c>
      <c r="AF43" s="152" t="str">
        <f>IF('BD1'!$AE43=8,"Estable",(IF('BD1'!$AE43=7,"Funcional con observaciones", (IF('BD1'!$AE43=6,"Funcional con observaciones",(IF('BD1'!$AE43=5,"Rendimiento bajo",(IF('BD1'!$AE43=4,"Parcialmente funcional",(IF('BD1'!$AE43=3,"Parcialmente funcional",(IF('BD1'!$AE43=2,"Inoperativo",(IF('BD1'!$AE43=1,"Inoperativo","Crítico")))))))))))))))</f>
        <v>Estable</v>
      </c>
    </row>
    <row r="44" spans="1:32" x14ac:dyDescent="0.2">
      <c r="A44" s="121">
        <v>148</v>
      </c>
      <c r="B44" s="122" t="s">
        <v>956</v>
      </c>
      <c r="C44" s="123" t="s">
        <v>429</v>
      </c>
      <c r="D44" s="123" t="s">
        <v>17</v>
      </c>
      <c r="E44" s="124" t="s">
        <v>169</v>
      </c>
      <c r="F44" s="124" t="s">
        <v>454</v>
      </c>
      <c r="G44" s="124" t="s">
        <v>1009</v>
      </c>
      <c r="H44" s="122" t="s">
        <v>8</v>
      </c>
      <c r="I44" s="123">
        <v>21.134519999999998</v>
      </c>
      <c r="J44" s="123">
        <v>-101.70735000000001</v>
      </c>
      <c r="K44" s="122" t="s">
        <v>3057</v>
      </c>
      <c r="L44" s="125" t="str">
        <f t="shared" si="0"/>
        <v>Ver en Google Maps</v>
      </c>
      <c r="M44" s="122">
        <v>1</v>
      </c>
      <c r="N44" s="108">
        <v>45933</v>
      </c>
      <c r="O44" s="109">
        <f>DAY('BD1'!$N44)</f>
        <v>3</v>
      </c>
      <c r="P44" s="109">
        <f>MONTH('BD1'!$N44)</f>
        <v>10</v>
      </c>
      <c r="Q44" s="109">
        <f>YEAR('BD1'!$N44)</f>
        <v>2025</v>
      </c>
      <c r="R44" s="109">
        <v>1</v>
      </c>
      <c r="S44" s="109" t="s">
        <v>138</v>
      </c>
      <c r="T44" s="109" t="s">
        <v>138</v>
      </c>
      <c r="U44" s="109" t="s">
        <v>138</v>
      </c>
      <c r="V44" s="109" t="s">
        <v>138</v>
      </c>
      <c r="W44" s="109" t="s">
        <v>138</v>
      </c>
      <c r="X44" s="109" t="s">
        <v>138</v>
      </c>
      <c r="Y44" s="109" t="s">
        <v>138</v>
      </c>
      <c r="Z44" s="109" t="s">
        <v>138</v>
      </c>
      <c r="AA44" s="109">
        <v>35.08</v>
      </c>
      <c r="AB44" s="109">
        <v>33.86</v>
      </c>
      <c r="AC44" s="110" t="s">
        <v>967</v>
      </c>
      <c r="AD44" s="110" t="s">
        <v>954</v>
      </c>
      <c r="AE44" s="109">
        <f t="shared" si="1"/>
        <v>8</v>
      </c>
      <c r="AF44" s="151" t="str">
        <f>IF('BD1'!$AE44=8,"Estable",(IF('BD1'!$AE44=7,"Funcional con observaciones", (IF('BD1'!$AE44=6,"Funcional con observaciones",(IF('BD1'!$AE44=5,"Rendimiento bajo",(IF('BD1'!$AE44=4,"Parcialmente funcional",(IF('BD1'!$AE44=3,"Parcialmente funcional",(IF('BD1'!$AE44=2,"Inoperativo",(IF('BD1'!$AE44=1,"Inoperativo","Crítico")))))))))))))))</f>
        <v>Estable</v>
      </c>
    </row>
    <row r="45" spans="1:32" x14ac:dyDescent="0.2">
      <c r="A45" s="112">
        <v>149</v>
      </c>
      <c r="B45" s="113" t="s">
        <v>956</v>
      </c>
      <c r="C45" s="114" t="s">
        <v>429</v>
      </c>
      <c r="D45" s="114" t="s">
        <v>17</v>
      </c>
      <c r="E45" s="115" t="s">
        <v>170</v>
      </c>
      <c r="F45" s="115" t="s">
        <v>455</v>
      </c>
      <c r="G45" s="115" t="s">
        <v>1010</v>
      </c>
      <c r="H45" s="113" t="s">
        <v>8</v>
      </c>
      <c r="I45" s="114">
        <v>21.106089999999998</v>
      </c>
      <c r="J45" s="114">
        <v>-101.70782</v>
      </c>
      <c r="K45" s="113"/>
      <c r="L45" s="116" t="str">
        <f t="shared" si="0"/>
        <v>Ver en Google Maps</v>
      </c>
      <c r="M45" s="113">
        <v>2</v>
      </c>
      <c r="N45" s="129"/>
      <c r="O45" s="118"/>
      <c r="P45" s="118"/>
      <c r="Q45" s="118"/>
      <c r="R45" s="118"/>
      <c r="S45" s="118"/>
      <c r="T45" s="118"/>
      <c r="U45" s="118"/>
      <c r="V45" s="118"/>
      <c r="W45" s="118"/>
      <c r="X45" s="118"/>
      <c r="Y45" s="118"/>
      <c r="Z45" s="118"/>
      <c r="AA45" s="118"/>
      <c r="AB45" s="118"/>
      <c r="AC45" s="118"/>
      <c r="AD45" s="119"/>
      <c r="AE45" s="118"/>
      <c r="AF45" s="152"/>
    </row>
    <row r="46" spans="1:32" x14ac:dyDescent="0.2">
      <c r="A46" s="121">
        <v>163</v>
      </c>
      <c r="B46" s="122" t="s">
        <v>956</v>
      </c>
      <c r="C46" s="123" t="s">
        <v>429</v>
      </c>
      <c r="D46" s="123" t="s">
        <v>17</v>
      </c>
      <c r="E46" s="124" t="s">
        <v>171</v>
      </c>
      <c r="F46" s="124" t="s">
        <v>456</v>
      </c>
      <c r="G46" s="124" t="s">
        <v>1011</v>
      </c>
      <c r="H46" s="122" t="s">
        <v>8</v>
      </c>
      <c r="I46" s="123">
        <v>21.102589999999999</v>
      </c>
      <c r="J46" s="123">
        <v>-101.66410999999999</v>
      </c>
      <c r="K46" s="122" t="s">
        <v>139</v>
      </c>
      <c r="L46" s="125" t="str">
        <f t="shared" si="0"/>
        <v>Ver en Google Maps</v>
      </c>
      <c r="M46" s="122">
        <v>2</v>
      </c>
      <c r="N46" s="108">
        <v>45934</v>
      </c>
      <c r="O46" s="109">
        <f>DAY('BD1'!$N46)</f>
        <v>4</v>
      </c>
      <c r="P46" s="109">
        <f>MONTH('BD1'!$N46)</f>
        <v>10</v>
      </c>
      <c r="Q46" s="109">
        <f>YEAR('BD1'!$N46)</f>
        <v>2025</v>
      </c>
      <c r="R46" s="109">
        <v>1</v>
      </c>
      <c r="S46" s="109" t="s">
        <v>138</v>
      </c>
      <c r="T46" s="109" t="s">
        <v>138</v>
      </c>
      <c r="U46" s="109" t="s">
        <v>138</v>
      </c>
      <c r="V46" s="109" t="s">
        <v>138</v>
      </c>
      <c r="W46" s="109" t="s">
        <v>138</v>
      </c>
      <c r="X46" s="109" t="s">
        <v>138</v>
      </c>
      <c r="Y46" s="109" t="s">
        <v>138</v>
      </c>
      <c r="Z46" s="109" t="s">
        <v>138</v>
      </c>
      <c r="AA46" s="109">
        <v>36.409999999999997</v>
      </c>
      <c r="AB46" s="109">
        <v>37.729999999999997</v>
      </c>
      <c r="AC46" s="110" t="s">
        <v>967</v>
      </c>
      <c r="AD46" s="110" t="s">
        <v>954</v>
      </c>
      <c r="AE46" s="109">
        <f t="shared" si="1"/>
        <v>8</v>
      </c>
      <c r="AF46" s="151" t="str">
        <f>IF('BD1'!$AE46=8,"Estable",(IF('BD1'!$AE46=7,"Funcional con observaciones", (IF('BD1'!$AE46=6,"Funcional con observaciones",(IF('BD1'!$AE46=5,"Rendimiento bajo",(IF('BD1'!$AE46=4,"Parcialmente funcional",(IF('BD1'!$AE46=3,"Parcialmente funcional",(IF('BD1'!$AE46=2,"Inoperativo",(IF('BD1'!$AE46=1,"Inoperativo","Crítico")))))))))))))))</f>
        <v>Estable</v>
      </c>
    </row>
    <row r="47" spans="1:32" x14ac:dyDescent="0.2">
      <c r="A47" s="112">
        <v>164</v>
      </c>
      <c r="B47" s="113" t="s">
        <v>956</v>
      </c>
      <c r="C47" s="114" t="s">
        <v>429</v>
      </c>
      <c r="D47" s="114" t="s">
        <v>17</v>
      </c>
      <c r="E47" s="115" t="s">
        <v>172</v>
      </c>
      <c r="F47" s="115" t="s">
        <v>457</v>
      </c>
      <c r="G47" s="115" t="s">
        <v>1012</v>
      </c>
      <c r="H47" s="113" t="s">
        <v>8</v>
      </c>
      <c r="I47" s="114">
        <v>21.139299999999999</v>
      </c>
      <c r="J47" s="114">
        <v>-101.69745</v>
      </c>
      <c r="K47" s="113" t="s">
        <v>139</v>
      </c>
      <c r="L47" s="116" t="str">
        <f t="shared" si="0"/>
        <v>Ver en Google Maps</v>
      </c>
      <c r="M47" s="113">
        <v>2</v>
      </c>
      <c r="N47" s="117">
        <v>45933</v>
      </c>
      <c r="O47" s="118">
        <f>DAY('BD1'!$N47)</f>
        <v>3</v>
      </c>
      <c r="P47" s="118">
        <f>MONTH('BD1'!$N47)</f>
        <v>10</v>
      </c>
      <c r="Q47" s="118">
        <f>YEAR('BD1'!$N47)</f>
        <v>2025</v>
      </c>
      <c r="R47" s="118">
        <v>1</v>
      </c>
      <c r="S47" s="118" t="s">
        <v>138</v>
      </c>
      <c r="T47" s="118" t="s">
        <v>138</v>
      </c>
      <c r="U47" s="118" t="s">
        <v>138</v>
      </c>
      <c r="V47" s="118" t="s">
        <v>138</v>
      </c>
      <c r="W47" s="118" t="s">
        <v>138</v>
      </c>
      <c r="X47" s="118" t="s">
        <v>138</v>
      </c>
      <c r="Y47" s="118" t="s">
        <v>138</v>
      </c>
      <c r="Z47" s="118" t="s">
        <v>138</v>
      </c>
      <c r="AA47" s="118">
        <v>27.35</v>
      </c>
      <c r="AB47" s="118">
        <v>28.55</v>
      </c>
      <c r="AC47" s="119" t="s">
        <v>967</v>
      </c>
      <c r="AD47" s="119" t="s">
        <v>954</v>
      </c>
      <c r="AE47" s="118">
        <f t="shared" si="1"/>
        <v>8</v>
      </c>
      <c r="AF47" s="152" t="str">
        <f>IF('BD1'!$AE47=8,"Estable",(IF('BD1'!$AE47=7,"Funcional con observaciones", (IF('BD1'!$AE47=6,"Funcional con observaciones",(IF('BD1'!$AE47=5,"Rendimiento bajo",(IF('BD1'!$AE47=4,"Parcialmente funcional",(IF('BD1'!$AE47=3,"Parcialmente funcional",(IF('BD1'!$AE47=2,"Inoperativo",(IF('BD1'!$AE47=1,"Inoperativo","Crítico")))))))))))))))</f>
        <v>Estable</v>
      </c>
    </row>
    <row r="48" spans="1:32" x14ac:dyDescent="0.2">
      <c r="A48" s="121">
        <v>165</v>
      </c>
      <c r="B48" s="122" t="s">
        <v>956</v>
      </c>
      <c r="C48" s="123" t="s">
        <v>429</v>
      </c>
      <c r="D48" s="123" t="s">
        <v>17</v>
      </c>
      <c r="E48" s="124" t="s">
        <v>173</v>
      </c>
      <c r="F48" s="124" t="s">
        <v>458</v>
      </c>
      <c r="G48" s="124" t="s">
        <v>1013</v>
      </c>
      <c r="H48" s="122" t="s">
        <v>8</v>
      </c>
      <c r="I48" s="123">
        <v>21.079419999999999</v>
      </c>
      <c r="J48" s="123">
        <v>-101.65515000000001</v>
      </c>
      <c r="K48" s="122"/>
      <c r="L48" s="125" t="str">
        <f t="shared" si="0"/>
        <v>Ver en Google Maps</v>
      </c>
      <c r="M48" s="122">
        <v>1</v>
      </c>
      <c r="N48" s="130"/>
      <c r="O48" s="109"/>
      <c r="P48" s="109"/>
      <c r="Q48" s="109"/>
      <c r="R48" s="109"/>
      <c r="S48" s="109"/>
      <c r="T48" s="109"/>
      <c r="U48" s="109"/>
      <c r="V48" s="109"/>
      <c r="W48" s="109"/>
      <c r="X48" s="109"/>
      <c r="Y48" s="109"/>
      <c r="Z48" s="109"/>
      <c r="AA48" s="109"/>
      <c r="AB48" s="109"/>
      <c r="AC48" s="109"/>
      <c r="AD48" s="110"/>
      <c r="AE48" s="109"/>
      <c r="AF48" s="151"/>
    </row>
    <row r="49" spans="1:32" x14ac:dyDescent="0.2">
      <c r="A49" s="112">
        <v>187</v>
      </c>
      <c r="B49" s="113" t="s">
        <v>956</v>
      </c>
      <c r="C49" s="114" t="s">
        <v>429</v>
      </c>
      <c r="D49" s="114" t="s">
        <v>17</v>
      </c>
      <c r="E49" s="115" t="s">
        <v>174</v>
      </c>
      <c r="F49" s="115" t="s">
        <v>459</v>
      </c>
      <c r="G49" s="115" t="s">
        <v>23</v>
      </c>
      <c r="H49" s="113" t="s">
        <v>8</v>
      </c>
      <c r="I49" s="114">
        <v>21.09562</v>
      </c>
      <c r="J49" s="114">
        <v>-101.71724</v>
      </c>
      <c r="K49" s="113"/>
      <c r="L49" s="116" t="str">
        <f t="shared" si="0"/>
        <v>Ver en Google Maps</v>
      </c>
      <c r="M49" s="113">
        <v>1</v>
      </c>
      <c r="N49" s="129"/>
      <c r="O49" s="118"/>
      <c r="P49" s="118"/>
      <c r="Q49" s="118"/>
      <c r="R49" s="118"/>
      <c r="S49" s="118"/>
      <c r="T49" s="118"/>
      <c r="U49" s="118"/>
      <c r="V49" s="118"/>
      <c r="W49" s="118"/>
      <c r="X49" s="118"/>
      <c r="Y49" s="118"/>
      <c r="Z49" s="118"/>
      <c r="AA49" s="118"/>
      <c r="AB49" s="118"/>
      <c r="AC49" s="118"/>
      <c r="AD49" s="119"/>
      <c r="AE49" s="118"/>
      <c r="AF49" s="152"/>
    </row>
    <row r="50" spans="1:32" x14ac:dyDescent="0.2">
      <c r="A50" s="121">
        <v>190</v>
      </c>
      <c r="B50" s="122" t="s">
        <v>956</v>
      </c>
      <c r="C50" s="123" t="s">
        <v>429</v>
      </c>
      <c r="D50" s="123" t="s">
        <v>17</v>
      </c>
      <c r="E50" s="124" t="s">
        <v>175</v>
      </c>
      <c r="F50" s="124" t="s">
        <v>460</v>
      </c>
      <c r="G50" s="124" t="s">
        <v>1014</v>
      </c>
      <c r="H50" s="122" t="s">
        <v>8</v>
      </c>
      <c r="I50" s="123">
        <v>21.093883999999999</v>
      </c>
      <c r="J50" s="123">
        <v>-101.695656</v>
      </c>
      <c r="K50" s="122"/>
      <c r="L50" s="125" t="str">
        <f t="shared" si="0"/>
        <v>Ver en Google Maps</v>
      </c>
      <c r="M50" s="122">
        <v>1</v>
      </c>
      <c r="N50" s="130"/>
      <c r="O50" s="109"/>
      <c r="P50" s="109"/>
      <c r="Q50" s="109"/>
      <c r="R50" s="109"/>
      <c r="S50" s="109"/>
      <c r="T50" s="109"/>
      <c r="U50" s="109"/>
      <c r="V50" s="109"/>
      <c r="W50" s="109"/>
      <c r="X50" s="109"/>
      <c r="Y50" s="109"/>
      <c r="Z50" s="109"/>
      <c r="AA50" s="109"/>
      <c r="AB50" s="109"/>
      <c r="AC50" s="109"/>
      <c r="AD50" s="110"/>
      <c r="AE50" s="109"/>
      <c r="AF50" s="151"/>
    </row>
    <row r="51" spans="1:32" x14ac:dyDescent="0.2">
      <c r="A51" s="112">
        <v>191</v>
      </c>
      <c r="B51" s="113" t="s">
        <v>956</v>
      </c>
      <c r="C51" s="114" t="s">
        <v>429</v>
      </c>
      <c r="D51" s="114" t="s">
        <v>17</v>
      </c>
      <c r="E51" s="115" t="s">
        <v>176</v>
      </c>
      <c r="F51" s="115" t="s">
        <v>461</v>
      </c>
      <c r="G51" s="115" t="s">
        <v>1015</v>
      </c>
      <c r="H51" s="113" t="s">
        <v>8</v>
      </c>
      <c r="I51" s="114">
        <v>21.10941</v>
      </c>
      <c r="J51" s="114">
        <v>-101.70592000000001</v>
      </c>
      <c r="K51" s="113"/>
      <c r="L51" s="116" t="str">
        <f t="shared" si="0"/>
        <v>Ver en Google Maps</v>
      </c>
      <c r="M51" s="113">
        <v>1</v>
      </c>
      <c r="N51" s="129"/>
      <c r="O51" s="118"/>
      <c r="P51" s="118"/>
      <c r="Q51" s="118"/>
      <c r="R51" s="118"/>
      <c r="S51" s="118"/>
      <c r="T51" s="118"/>
      <c r="U51" s="118"/>
      <c r="V51" s="118"/>
      <c r="W51" s="118"/>
      <c r="X51" s="118"/>
      <c r="Y51" s="118"/>
      <c r="Z51" s="118"/>
      <c r="AA51" s="118"/>
      <c r="AB51" s="118"/>
      <c r="AC51" s="118"/>
      <c r="AD51" s="119"/>
      <c r="AE51" s="118"/>
      <c r="AF51" s="152"/>
    </row>
    <row r="52" spans="1:32" x14ac:dyDescent="0.2">
      <c r="A52" s="121">
        <v>198</v>
      </c>
      <c r="B52" s="122" t="s">
        <v>956</v>
      </c>
      <c r="C52" s="123" t="s">
        <v>429</v>
      </c>
      <c r="D52" s="123" t="s">
        <v>17</v>
      </c>
      <c r="E52" s="124" t="s">
        <v>24</v>
      </c>
      <c r="F52" s="124" t="s">
        <v>462</v>
      </c>
      <c r="G52" s="124" t="s">
        <v>1016</v>
      </c>
      <c r="H52" s="122" t="s">
        <v>8</v>
      </c>
      <c r="I52" s="123">
        <v>21.087012000000001</v>
      </c>
      <c r="J52" s="123">
        <v>-101.63592800000001</v>
      </c>
      <c r="K52" s="122"/>
      <c r="L52" s="125" t="str">
        <f t="shared" si="0"/>
        <v>Ver en Google Maps</v>
      </c>
      <c r="M52" s="122">
        <v>1</v>
      </c>
      <c r="N52" s="130"/>
      <c r="O52" s="109"/>
      <c r="P52" s="109"/>
      <c r="Q52" s="109"/>
      <c r="R52" s="109"/>
      <c r="S52" s="109"/>
      <c r="T52" s="109"/>
      <c r="U52" s="109"/>
      <c r="V52" s="109"/>
      <c r="W52" s="109"/>
      <c r="X52" s="109"/>
      <c r="Y52" s="109"/>
      <c r="Z52" s="109"/>
      <c r="AA52" s="109"/>
      <c r="AB52" s="109"/>
      <c r="AC52" s="109"/>
      <c r="AD52" s="110"/>
      <c r="AE52" s="109"/>
      <c r="AF52" s="151"/>
    </row>
    <row r="53" spans="1:32" x14ac:dyDescent="0.2">
      <c r="A53" s="112">
        <v>199</v>
      </c>
      <c r="B53" s="113" t="s">
        <v>956</v>
      </c>
      <c r="C53" s="114" t="s">
        <v>429</v>
      </c>
      <c r="D53" s="114" t="s">
        <v>17</v>
      </c>
      <c r="E53" s="115" t="s">
        <v>25</v>
      </c>
      <c r="F53" s="115" t="s">
        <v>463</v>
      </c>
      <c r="G53" s="115" t="s">
        <v>1017</v>
      </c>
      <c r="H53" s="113" t="s">
        <v>8</v>
      </c>
      <c r="I53" s="114">
        <v>21.070202999999999</v>
      </c>
      <c r="J53" s="114">
        <v>-101.586367</v>
      </c>
      <c r="K53" s="113"/>
      <c r="L53" s="116" t="str">
        <f t="shared" si="0"/>
        <v>Ver en Google Maps</v>
      </c>
      <c r="M53" s="113">
        <v>1</v>
      </c>
      <c r="N53" s="129"/>
      <c r="O53" s="118"/>
      <c r="P53" s="118"/>
      <c r="Q53" s="118"/>
      <c r="R53" s="118"/>
      <c r="S53" s="118"/>
      <c r="T53" s="118"/>
      <c r="U53" s="118"/>
      <c r="V53" s="118"/>
      <c r="W53" s="118"/>
      <c r="X53" s="118"/>
      <c r="Y53" s="118"/>
      <c r="Z53" s="118"/>
      <c r="AA53" s="118"/>
      <c r="AB53" s="118"/>
      <c r="AC53" s="118"/>
      <c r="AD53" s="119"/>
      <c r="AE53" s="118"/>
      <c r="AF53" s="152"/>
    </row>
    <row r="54" spans="1:32" x14ac:dyDescent="0.2">
      <c r="A54" s="121">
        <v>200</v>
      </c>
      <c r="B54" s="122" t="s">
        <v>956</v>
      </c>
      <c r="C54" s="123" t="s">
        <v>429</v>
      </c>
      <c r="D54" s="123" t="s">
        <v>17</v>
      </c>
      <c r="E54" s="124" t="s">
        <v>26</v>
      </c>
      <c r="F54" s="124" t="s">
        <v>464</v>
      </c>
      <c r="G54" s="124" t="s">
        <v>1018</v>
      </c>
      <c r="H54" s="122" t="s">
        <v>8</v>
      </c>
      <c r="I54" s="123">
        <v>21.11598</v>
      </c>
      <c r="J54" s="123">
        <v>-101.58891</v>
      </c>
      <c r="K54" s="122" t="s">
        <v>139</v>
      </c>
      <c r="L54" s="125" t="str">
        <f t="shared" si="0"/>
        <v>Ver en Google Maps</v>
      </c>
      <c r="M54" s="122">
        <v>1</v>
      </c>
      <c r="N54" s="108">
        <v>45931</v>
      </c>
      <c r="O54" s="109">
        <f>DAY('BD1'!$N54)</f>
        <v>1</v>
      </c>
      <c r="P54" s="109">
        <f>MONTH('BD1'!$N54)</f>
        <v>10</v>
      </c>
      <c r="Q54" s="109">
        <f>YEAR('BD1'!$N54)</f>
        <v>2025</v>
      </c>
      <c r="R54" s="109">
        <v>1</v>
      </c>
      <c r="S54" s="109" t="s">
        <v>138</v>
      </c>
      <c r="T54" s="109" t="s">
        <v>138</v>
      </c>
      <c r="U54" s="109" t="s">
        <v>138</v>
      </c>
      <c r="V54" s="109" t="s">
        <v>138</v>
      </c>
      <c r="W54" s="109" t="s">
        <v>138</v>
      </c>
      <c r="X54" s="109" t="s">
        <v>138</v>
      </c>
      <c r="Y54" s="109" t="s">
        <v>138</v>
      </c>
      <c r="Z54" s="109" t="s">
        <v>138</v>
      </c>
      <c r="AA54" s="109">
        <v>68.239999999999995</v>
      </c>
      <c r="AB54" s="109">
        <v>61.19</v>
      </c>
      <c r="AC54" s="110" t="s">
        <v>967</v>
      </c>
      <c r="AD54" s="110" t="s">
        <v>954</v>
      </c>
      <c r="AE54" s="109">
        <f t="shared" si="1"/>
        <v>8</v>
      </c>
      <c r="AF54" s="151" t="str">
        <f>IF('BD1'!$AE54=8,"Estable",(IF('BD1'!$AE54=7,"Funcional con observaciones", (IF('BD1'!$AE54=6,"Funcional con observaciones",(IF('BD1'!$AE54=5,"Rendimiento bajo",(IF('BD1'!$AE54=4,"Parcialmente funcional",(IF('BD1'!$AE54=3,"Parcialmente funcional",(IF('BD1'!$AE54=2,"Inoperativo",(IF('BD1'!$AE54=1,"Inoperativo","Crítico")))))))))))))))</f>
        <v>Estable</v>
      </c>
    </row>
    <row r="55" spans="1:32" x14ac:dyDescent="0.2">
      <c r="A55" s="112">
        <v>202</v>
      </c>
      <c r="B55" s="113" t="s">
        <v>956</v>
      </c>
      <c r="C55" s="114" t="s">
        <v>429</v>
      </c>
      <c r="D55" s="114" t="s">
        <v>17</v>
      </c>
      <c r="E55" s="115" t="s">
        <v>27</v>
      </c>
      <c r="F55" s="115" t="s">
        <v>465</v>
      </c>
      <c r="G55" s="115" t="s">
        <v>1019</v>
      </c>
      <c r="H55" s="113" t="s">
        <v>8</v>
      </c>
      <c r="I55" s="114">
        <v>21.115290000000002</v>
      </c>
      <c r="J55" s="114">
        <v>-101.72177000000001</v>
      </c>
      <c r="K55" s="113" t="s">
        <v>139</v>
      </c>
      <c r="L55" s="116" t="str">
        <f t="shared" si="0"/>
        <v>Ver en Google Maps</v>
      </c>
      <c r="M55" s="113">
        <v>1</v>
      </c>
      <c r="N55" s="117">
        <v>45933</v>
      </c>
      <c r="O55" s="118">
        <f>DAY('BD1'!$N55)</f>
        <v>3</v>
      </c>
      <c r="P55" s="118">
        <f>MONTH('BD1'!$N55)</f>
        <v>10</v>
      </c>
      <c r="Q55" s="118">
        <f>YEAR('BD1'!$N55)</f>
        <v>2025</v>
      </c>
      <c r="R55" s="118">
        <v>1</v>
      </c>
      <c r="S55" s="118" t="s">
        <v>138</v>
      </c>
      <c r="T55" s="118" t="s">
        <v>138</v>
      </c>
      <c r="U55" s="118" t="s">
        <v>138</v>
      </c>
      <c r="V55" s="118" t="s">
        <v>138</v>
      </c>
      <c r="W55" s="118" t="s">
        <v>138</v>
      </c>
      <c r="X55" s="118" t="s">
        <v>138</v>
      </c>
      <c r="Y55" s="118" t="s">
        <v>138</v>
      </c>
      <c r="Z55" s="118" t="s">
        <v>138</v>
      </c>
      <c r="AA55" s="118">
        <v>51.05</v>
      </c>
      <c r="AB55" s="118">
        <v>60.61</v>
      </c>
      <c r="AC55" s="119" t="s">
        <v>967</v>
      </c>
      <c r="AD55" s="119" t="s">
        <v>954</v>
      </c>
      <c r="AE55" s="118">
        <f t="shared" si="1"/>
        <v>8</v>
      </c>
      <c r="AF55" s="152" t="str">
        <f>IF('BD1'!$AE55=8,"Estable",(IF('BD1'!$AE55=7,"Funcional con observaciones", (IF('BD1'!$AE55=6,"Funcional con observaciones",(IF('BD1'!$AE55=5,"Rendimiento bajo",(IF('BD1'!$AE55=4,"Parcialmente funcional",(IF('BD1'!$AE55=3,"Parcialmente funcional",(IF('BD1'!$AE55=2,"Inoperativo",(IF('BD1'!$AE55=1,"Inoperativo","Crítico")))))))))))))))</f>
        <v>Estable</v>
      </c>
    </row>
    <row r="56" spans="1:32" x14ac:dyDescent="0.2">
      <c r="A56" s="121">
        <v>203</v>
      </c>
      <c r="B56" s="122" t="s">
        <v>956</v>
      </c>
      <c r="C56" s="123" t="s">
        <v>429</v>
      </c>
      <c r="D56" s="123" t="s">
        <v>17</v>
      </c>
      <c r="E56" s="124" t="s">
        <v>28</v>
      </c>
      <c r="F56" s="124" t="s">
        <v>466</v>
      </c>
      <c r="G56" s="124" t="s">
        <v>29</v>
      </c>
      <c r="H56" s="122" t="s">
        <v>8</v>
      </c>
      <c r="I56" s="123">
        <v>21.092079999999999</v>
      </c>
      <c r="J56" s="123">
        <v>-101.65698999999999</v>
      </c>
      <c r="K56" s="122"/>
      <c r="L56" s="125" t="str">
        <f t="shared" si="0"/>
        <v>Ver en Google Maps</v>
      </c>
      <c r="M56" s="122">
        <v>1</v>
      </c>
      <c r="N56" s="130"/>
      <c r="O56" s="109"/>
      <c r="P56" s="109"/>
      <c r="Q56" s="109"/>
      <c r="R56" s="109"/>
      <c r="S56" s="109"/>
      <c r="T56" s="109"/>
      <c r="U56" s="109"/>
      <c r="V56" s="109"/>
      <c r="W56" s="109"/>
      <c r="X56" s="109"/>
      <c r="Y56" s="109"/>
      <c r="Z56" s="109"/>
      <c r="AA56" s="109"/>
      <c r="AB56" s="109"/>
      <c r="AC56" s="109"/>
      <c r="AD56" s="110"/>
      <c r="AE56" s="109"/>
      <c r="AF56" s="151"/>
    </row>
    <row r="57" spans="1:32" x14ac:dyDescent="0.2">
      <c r="A57" s="112">
        <v>204</v>
      </c>
      <c r="B57" s="113" t="s">
        <v>956</v>
      </c>
      <c r="C57" s="114" t="s">
        <v>429</v>
      </c>
      <c r="D57" s="114" t="s">
        <v>17</v>
      </c>
      <c r="E57" s="115" t="s">
        <v>30</v>
      </c>
      <c r="F57" s="115" t="s">
        <v>467</v>
      </c>
      <c r="G57" s="115" t="s">
        <v>1020</v>
      </c>
      <c r="H57" s="113" t="s">
        <v>8</v>
      </c>
      <c r="I57" s="114">
        <v>21.115172000000001</v>
      </c>
      <c r="J57" s="114">
        <v>-101.63907</v>
      </c>
      <c r="K57" s="113" t="s">
        <v>139</v>
      </c>
      <c r="L57" s="116" t="str">
        <f t="shared" si="0"/>
        <v>Ver en Google Maps</v>
      </c>
      <c r="M57" s="113">
        <v>1</v>
      </c>
      <c r="N57" s="117">
        <v>45934</v>
      </c>
      <c r="O57" s="118">
        <f>DAY('BD1'!$N57)</f>
        <v>4</v>
      </c>
      <c r="P57" s="118">
        <f>MONTH('BD1'!$N57)</f>
        <v>10</v>
      </c>
      <c r="Q57" s="118">
        <f>YEAR('BD1'!$N57)</f>
        <v>2025</v>
      </c>
      <c r="R57" s="118">
        <v>1</v>
      </c>
      <c r="S57" s="118" t="s">
        <v>138</v>
      </c>
      <c r="T57" s="118" t="s">
        <v>138</v>
      </c>
      <c r="U57" s="118" t="s">
        <v>138</v>
      </c>
      <c r="V57" s="118" t="s">
        <v>138</v>
      </c>
      <c r="W57" s="118" t="s">
        <v>138</v>
      </c>
      <c r="X57" s="118" t="s">
        <v>138</v>
      </c>
      <c r="Y57" s="118" t="s">
        <v>138</v>
      </c>
      <c r="Z57" s="118" t="s">
        <v>138</v>
      </c>
      <c r="AA57" s="118">
        <v>82.53</v>
      </c>
      <c r="AB57" s="118">
        <v>61.55</v>
      </c>
      <c r="AC57" s="119" t="s">
        <v>967</v>
      </c>
      <c r="AD57" s="119" t="s">
        <v>954</v>
      </c>
      <c r="AE57" s="118">
        <f t="shared" si="1"/>
        <v>8</v>
      </c>
      <c r="AF57" s="152" t="str">
        <f>IF('BD1'!$AE57=8,"Estable",(IF('BD1'!$AE57=7,"Funcional con observaciones", (IF('BD1'!$AE57=6,"Funcional con observaciones",(IF('BD1'!$AE57=5,"Rendimiento bajo",(IF('BD1'!$AE57=4,"Parcialmente funcional",(IF('BD1'!$AE57=3,"Parcialmente funcional",(IF('BD1'!$AE57=2,"Inoperativo",(IF('BD1'!$AE57=1,"Inoperativo","Crítico")))))))))))))))</f>
        <v>Estable</v>
      </c>
    </row>
    <row r="58" spans="1:32" x14ac:dyDescent="0.2">
      <c r="A58" s="121">
        <v>205</v>
      </c>
      <c r="B58" s="122" t="s">
        <v>956</v>
      </c>
      <c r="C58" s="123" t="s">
        <v>429</v>
      </c>
      <c r="D58" s="123" t="s">
        <v>17</v>
      </c>
      <c r="E58" s="124" t="s">
        <v>31</v>
      </c>
      <c r="F58" s="124" t="s">
        <v>468</v>
      </c>
      <c r="G58" s="124" t="s">
        <v>1021</v>
      </c>
      <c r="H58" s="122" t="s">
        <v>8</v>
      </c>
      <c r="I58" s="123">
        <v>21.096679999999999</v>
      </c>
      <c r="J58" s="123">
        <v>-101.74957000000001</v>
      </c>
      <c r="K58" s="122"/>
      <c r="L58" s="125" t="str">
        <f t="shared" si="0"/>
        <v>Ver en Google Maps</v>
      </c>
      <c r="M58" s="122">
        <v>1</v>
      </c>
      <c r="N58" s="130"/>
      <c r="O58" s="109"/>
      <c r="P58" s="109"/>
      <c r="Q58" s="109"/>
      <c r="R58" s="109"/>
      <c r="S58" s="109"/>
      <c r="T58" s="109"/>
      <c r="U58" s="109"/>
      <c r="V58" s="109"/>
      <c r="W58" s="109"/>
      <c r="X58" s="109"/>
      <c r="Y58" s="109"/>
      <c r="Z58" s="109"/>
      <c r="AA58" s="109"/>
      <c r="AB58" s="109"/>
      <c r="AC58" s="109"/>
      <c r="AD58" s="110"/>
      <c r="AE58" s="109"/>
      <c r="AF58" s="151"/>
    </row>
    <row r="59" spans="1:32" x14ac:dyDescent="0.2">
      <c r="A59" s="112">
        <v>206</v>
      </c>
      <c r="B59" s="113" t="s">
        <v>956</v>
      </c>
      <c r="C59" s="114" t="s">
        <v>429</v>
      </c>
      <c r="D59" s="114" t="s">
        <v>17</v>
      </c>
      <c r="E59" s="115" t="s">
        <v>32</v>
      </c>
      <c r="F59" s="115" t="s">
        <v>469</v>
      </c>
      <c r="G59" s="115" t="s">
        <v>1022</v>
      </c>
      <c r="H59" s="113" t="s">
        <v>8</v>
      </c>
      <c r="I59" s="114">
        <v>21.094989999999999</v>
      </c>
      <c r="J59" s="114">
        <v>-101.72033999999999</v>
      </c>
      <c r="K59" s="113"/>
      <c r="L59" s="116" t="str">
        <f t="shared" si="0"/>
        <v>Ver en Google Maps</v>
      </c>
      <c r="M59" s="113">
        <v>1</v>
      </c>
      <c r="N59" s="129"/>
      <c r="O59" s="118"/>
      <c r="P59" s="118"/>
      <c r="Q59" s="118"/>
      <c r="R59" s="118"/>
      <c r="S59" s="118"/>
      <c r="T59" s="118"/>
      <c r="U59" s="118"/>
      <c r="V59" s="118"/>
      <c r="W59" s="118"/>
      <c r="X59" s="118"/>
      <c r="Y59" s="118"/>
      <c r="Z59" s="118"/>
      <c r="AA59" s="118"/>
      <c r="AB59" s="118"/>
      <c r="AC59" s="118"/>
      <c r="AD59" s="119"/>
      <c r="AE59" s="118"/>
      <c r="AF59" s="152"/>
    </row>
    <row r="60" spans="1:32" x14ac:dyDescent="0.2">
      <c r="A60" s="121">
        <v>208</v>
      </c>
      <c r="B60" s="122" t="s">
        <v>956</v>
      </c>
      <c r="C60" s="123" t="s">
        <v>429</v>
      </c>
      <c r="D60" s="123" t="s">
        <v>17</v>
      </c>
      <c r="E60" s="124" t="s">
        <v>33</v>
      </c>
      <c r="F60" s="124" t="s">
        <v>470</v>
      </c>
      <c r="G60" s="124" t="s">
        <v>1023</v>
      </c>
      <c r="H60" s="122" t="s">
        <v>8</v>
      </c>
      <c r="I60" s="123">
        <v>21.061246000000001</v>
      </c>
      <c r="J60" s="123">
        <v>-101.61919399999999</v>
      </c>
      <c r="K60" s="122"/>
      <c r="L60" s="125" t="str">
        <f t="shared" si="0"/>
        <v>Ver en Google Maps</v>
      </c>
      <c r="M60" s="122">
        <v>2</v>
      </c>
      <c r="N60" s="130"/>
      <c r="O60" s="109"/>
      <c r="P60" s="109"/>
      <c r="Q60" s="109"/>
      <c r="R60" s="109"/>
      <c r="S60" s="109"/>
      <c r="T60" s="109"/>
      <c r="U60" s="109"/>
      <c r="V60" s="109"/>
      <c r="W60" s="109"/>
      <c r="X60" s="109"/>
      <c r="Y60" s="109"/>
      <c r="Z60" s="109"/>
      <c r="AA60" s="109"/>
      <c r="AB60" s="109"/>
      <c r="AC60" s="109"/>
      <c r="AD60" s="110"/>
      <c r="AE60" s="109"/>
      <c r="AF60" s="151"/>
    </row>
    <row r="61" spans="1:32" x14ac:dyDescent="0.2">
      <c r="A61" s="112">
        <v>211</v>
      </c>
      <c r="B61" s="113" t="s">
        <v>956</v>
      </c>
      <c r="C61" s="114" t="s">
        <v>429</v>
      </c>
      <c r="D61" s="114" t="s">
        <v>16</v>
      </c>
      <c r="E61" s="115" t="s">
        <v>177</v>
      </c>
      <c r="F61" s="115" t="s">
        <v>471</v>
      </c>
      <c r="G61" s="115" t="s">
        <v>1024</v>
      </c>
      <c r="H61" s="113" t="s">
        <v>8</v>
      </c>
      <c r="I61" s="114">
        <v>21.134679999999999</v>
      </c>
      <c r="J61" s="114">
        <v>-101.66621000000001</v>
      </c>
      <c r="K61" s="113" t="s">
        <v>139</v>
      </c>
      <c r="L61" s="116" t="str">
        <f t="shared" si="0"/>
        <v>Ver en Google Maps</v>
      </c>
      <c r="M61" s="113">
        <v>1</v>
      </c>
      <c r="N61" s="117">
        <v>45929</v>
      </c>
      <c r="O61" s="118">
        <f>DAY('BD1'!$N61)</f>
        <v>29</v>
      </c>
      <c r="P61" s="118">
        <f>MONTH('BD1'!$N61)</f>
        <v>9</v>
      </c>
      <c r="Q61" s="118">
        <f>YEAR('BD1'!$N61)</f>
        <v>2025</v>
      </c>
      <c r="R61" s="118">
        <v>1</v>
      </c>
      <c r="S61" s="118" t="s">
        <v>138</v>
      </c>
      <c r="T61" s="118" t="s">
        <v>138</v>
      </c>
      <c r="U61" s="118" t="s">
        <v>138</v>
      </c>
      <c r="V61" s="118" t="s">
        <v>138</v>
      </c>
      <c r="W61" s="118" t="s">
        <v>138</v>
      </c>
      <c r="X61" s="118" t="s">
        <v>138</v>
      </c>
      <c r="Y61" s="118" t="s">
        <v>138</v>
      </c>
      <c r="Z61" s="118" t="s">
        <v>138</v>
      </c>
      <c r="AA61" s="118">
        <v>42.42</v>
      </c>
      <c r="AB61" s="118">
        <v>40.68</v>
      </c>
      <c r="AC61" s="119" t="s">
        <v>967</v>
      </c>
      <c r="AD61" s="119" t="s">
        <v>954</v>
      </c>
      <c r="AE61" s="118">
        <f t="shared" si="1"/>
        <v>8</v>
      </c>
      <c r="AF61" s="152" t="str">
        <f>IF('BD1'!$AE61=8,"Estable",(IF('BD1'!$AE61=7,"Funcional con observaciones", (IF('BD1'!$AE61=6,"Funcional con observaciones",(IF('BD1'!$AE61=5,"Rendimiento bajo",(IF('BD1'!$AE61=4,"Parcialmente funcional",(IF('BD1'!$AE61=3,"Parcialmente funcional",(IF('BD1'!$AE61=2,"Inoperativo",(IF('BD1'!$AE61=1,"Inoperativo","Crítico")))))))))))))))</f>
        <v>Estable</v>
      </c>
    </row>
    <row r="62" spans="1:32" x14ac:dyDescent="0.2">
      <c r="A62" s="121">
        <v>212</v>
      </c>
      <c r="B62" s="122" t="s">
        <v>956</v>
      </c>
      <c r="C62" s="123" t="s">
        <v>429</v>
      </c>
      <c r="D62" s="123" t="s">
        <v>17</v>
      </c>
      <c r="E62" s="124" t="s">
        <v>34</v>
      </c>
      <c r="F62" s="124" t="s">
        <v>472</v>
      </c>
      <c r="G62" s="124" t="s">
        <v>1025</v>
      </c>
      <c r="H62" s="122" t="s">
        <v>8</v>
      </c>
      <c r="I62" s="123">
        <v>21.12049</v>
      </c>
      <c r="J62" s="123">
        <v>-101.63503</v>
      </c>
      <c r="K62" s="122" t="s">
        <v>139</v>
      </c>
      <c r="L62" s="125" t="str">
        <f t="shared" si="0"/>
        <v>Ver en Google Maps</v>
      </c>
      <c r="M62" s="122">
        <v>1</v>
      </c>
      <c r="N62" s="108">
        <v>45934</v>
      </c>
      <c r="O62" s="109">
        <f>DAY('BD1'!$N62)</f>
        <v>4</v>
      </c>
      <c r="P62" s="109">
        <f>MONTH('BD1'!$N62)</f>
        <v>10</v>
      </c>
      <c r="Q62" s="109">
        <f>YEAR('BD1'!$N62)</f>
        <v>2025</v>
      </c>
      <c r="R62" s="109">
        <v>1</v>
      </c>
      <c r="S62" s="109" t="s">
        <v>934</v>
      </c>
      <c r="T62" s="109" t="s">
        <v>138</v>
      </c>
      <c r="U62" s="109" t="s">
        <v>138</v>
      </c>
      <c r="V62" s="109" t="s">
        <v>138</v>
      </c>
      <c r="W62" s="109" t="s">
        <v>138</v>
      </c>
      <c r="X62" s="109" t="s">
        <v>934</v>
      </c>
      <c r="Y62" s="109" t="s">
        <v>934</v>
      </c>
      <c r="Z62" s="109" t="s">
        <v>138</v>
      </c>
      <c r="AA62" s="109">
        <v>35.03</v>
      </c>
      <c r="AB62" s="109">
        <v>30.96</v>
      </c>
      <c r="AC62" s="110" t="s">
        <v>947</v>
      </c>
      <c r="AD62" s="110" t="s">
        <v>954</v>
      </c>
      <c r="AE62" s="109">
        <f t="shared" si="1"/>
        <v>5</v>
      </c>
      <c r="AF62" s="151" t="str">
        <f>IF('BD1'!$AE62=8,"Estable",(IF('BD1'!$AE62=7,"Funcional con observaciones", (IF('BD1'!$AE62=6,"Funcional con observaciones",(IF('BD1'!$AE62=5,"Rendimiento bajo",(IF('BD1'!$AE62=4,"Parcialmente funcional",(IF('BD1'!$AE62=3,"Parcialmente funcional",(IF('BD1'!$AE62=2,"Inoperativo",(IF('BD1'!$AE62=1,"Inoperativo","Crítico")))))))))))))))</f>
        <v>Rendimiento bajo</v>
      </c>
    </row>
    <row r="63" spans="1:32" x14ac:dyDescent="0.2">
      <c r="A63" s="112">
        <v>213</v>
      </c>
      <c r="B63" s="113" t="s">
        <v>956</v>
      </c>
      <c r="C63" s="114" t="s">
        <v>429</v>
      </c>
      <c r="D63" s="114" t="s">
        <v>17</v>
      </c>
      <c r="E63" s="115" t="s">
        <v>35</v>
      </c>
      <c r="F63" s="115" t="s">
        <v>473</v>
      </c>
      <c r="G63" s="115" t="s">
        <v>1026</v>
      </c>
      <c r="H63" s="113" t="s">
        <v>8</v>
      </c>
      <c r="I63" s="114">
        <v>21.096160000000001</v>
      </c>
      <c r="J63" s="114">
        <v>-101.63831</v>
      </c>
      <c r="K63" s="113"/>
      <c r="L63" s="116" t="str">
        <f t="shared" si="0"/>
        <v>Ver en Google Maps</v>
      </c>
      <c r="M63" s="113">
        <v>2</v>
      </c>
      <c r="N63" s="129"/>
      <c r="O63" s="118"/>
      <c r="P63" s="118"/>
      <c r="Q63" s="118"/>
      <c r="R63" s="118"/>
      <c r="S63" s="118"/>
      <c r="T63" s="118"/>
      <c r="U63" s="118"/>
      <c r="V63" s="118"/>
      <c r="W63" s="118"/>
      <c r="X63" s="118"/>
      <c r="Y63" s="118"/>
      <c r="Z63" s="118"/>
      <c r="AA63" s="118"/>
      <c r="AB63" s="118"/>
      <c r="AC63" s="118"/>
      <c r="AD63" s="119"/>
      <c r="AE63" s="118"/>
      <c r="AF63" s="152"/>
    </row>
    <row r="64" spans="1:32" x14ac:dyDescent="0.2">
      <c r="A64" s="121">
        <v>214</v>
      </c>
      <c r="B64" s="122" t="s">
        <v>956</v>
      </c>
      <c r="C64" s="123" t="s">
        <v>429</v>
      </c>
      <c r="D64" s="123" t="s">
        <v>17</v>
      </c>
      <c r="E64" s="124" t="s">
        <v>36</v>
      </c>
      <c r="F64" s="124" t="s">
        <v>474</v>
      </c>
      <c r="G64" s="124" t="s">
        <v>1027</v>
      </c>
      <c r="H64" s="122" t="s">
        <v>8</v>
      </c>
      <c r="I64" s="123">
        <v>21.084489999999999</v>
      </c>
      <c r="J64" s="123">
        <v>-101.61864</v>
      </c>
      <c r="K64" s="122" t="s">
        <v>139</v>
      </c>
      <c r="L64" s="125" t="str">
        <f t="shared" si="0"/>
        <v>Ver en Google Maps</v>
      </c>
      <c r="M64" s="122">
        <v>1</v>
      </c>
      <c r="N64" s="108">
        <v>45931</v>
      </c>
      <c r="O64" s="109">
        <f>DAY('BD1'!$N64)</f>
        <v>1</v>
      </c>
      <c r="P64" s="109">
        <f>MONTH('BD1'!$N64)</f>
        <v>10</v>
      </c>
      <c r="Q64" s="109">
        <f>YEAR('BD1'!$N64)</f>
        <v>2025</v>
      </c>
      <c r="R64" s="109">
        <v>1</v>
      </c>
      <c r="S64" s="109" t="s">
        <v>138</v>
      </c>
      <c r="T64" s="109" t="s">
        <v>138</v>
      </c>
      <c r="U64" s="109" t="s">
        <v>138</v>
      </c>
      <c r="V64" s="109" t="s">
        <v>138</v>
      </c>
      <c r="W64" s="109" t="s">
        <v>138</v>
      </c>
      <c r="X64" s="109" t="s">
        <v>138</v>
      </c>
      <c r="Y64" s="109" t="s">
        <v>138</v>
      </c>
      <c r="Z64" s="109" t="s">
        <v>138</v>
      </c>
      <c r="AA64" s="109">
        <v>15.65</v>
      </c>
      <c r="AB64" s="109">
        <v>29.47</v>
      </c>
      <c r="AC64" s="110" t="s">
        <v>967</v>
      </c>
      <c r="AD64" s="110" t="s">
        <v>954</v>
      </c>
      <c r="AE64" s="109">
        <f t="shared" si="1"/>
        <v>8</v>
      </c>
      <c r="AF64" s="151" t="str">
        <f>IF('BD1'!$AE64=8,"Estable",(IF('BD1'!$AE64=7,"Funcional con observaciones", (IF('BD1'!$AE64=6,"Funcional con observaciones",(IF('BD1'!$AE64=5,"Rendimiento bajo",(IF('BD1'!$AE64=4,"Parcialmente funcional",(IF('BD1'!$AE64=3,"Parcialmente funcional",(IF('BD1'!$AE64=2,"Inoperativo",(IF('BD1'!$AE64=1,"Inoperativo","Crítico")))))))))))))))</f>
        <v>Estable</v>
      </c>
    </row>
    <row r="65" spans="1:32" x14ac:dyDescent="0.2">
      <c r="A65" s="112">
        <v>215</v>
      </c>
      <c r="B65" s="113" t="s">
        <v>956</v>
      </c>
      <c r="C65" s="114" t="s">
        <v>429</v>
      </c>
      <c r="D65" s="114" t="s">
        <v>17</v>
      </c>
      <c r="E65" s="115" t="s">
        <v>37</v>
      </c>
      <c r="F65" s="115" t="s">
        <v>475</v>
      </c>
      <c r="G65" s="115" t="s">
        <v>1028</v>
      </c>
      <c r="H65" s="113" t="s">
        <v>8</v>
      </c>
      <c r="I65" s="114">
        <v>21.108889999999999</v>
      </c>
      <c r="J65" s="114">
        <v>-101.72598000000001</v>
      </c>
      <c r="K65" s="113" t="s">
        <v>139</v>
      </c>
      <c r="L65" s="116" t="str">
        <f t="shared" si="0"/>
        <v>Ver en Google Maps</v>
      </c>
      <c r="M65" s="113">
        <v>1</v>
      </c>
      <c r="N65" s="117">
        <v>45933</v>
      </c>
      <c r="O65" s="118">
        <f>DAY('BD1'!$N65)</f>
        <v>3</v>
      </c>
      <c r="P65" s="118">
        <f>MONTH('BD1'!$N65)</f>
        <v>10</v>
      </c>
      <c r="Q65" s="118">
        <f>YEAR('BD1'!$N65)</f>
        <v>2025</v>
      </c>
      <c r="R65" s="118">
        <v>1</v>
      </c>
      <c r="S65" s="118" t="s">
        <v>138</v>
      </c>
      <c r="T65" s="118" t="s">
        <v>138</v>
      </c>
      <c r="U65" s="118" t="s">
        <v>138</v>
      </c>
      <c r="V65" s="118" t="s">
        <v>138</v>
      </c>
      <c r="W65" s="118" t="s">
        <v>138</v>
      </c>
      <c r="X65" s="118" t="s">
        <v>138</v>
      </c>
      <c r="Y65" s="118" t="s">
        <v>138</v>
      </c>
      <c r="Z65" s="118" t="s">
        <v>138</v>
      </c>
      <c r="AA65" s="118">
        <v>60.26</v>
      </c>
      <c r="AB65" s="118">
        <v>12.22</v>
      </c>
      <c r="AC65" s="119" t="s">
        <v>967</v>
      </c>
      <c r="AD65" s="119" t="s">
        <v>954</v>
      </c>
      <c r="AE65" s="118">
        <f t="shared" si="1"/>
        <v>8</v>
      </c>
      <c r="AF65" s="152" t="str">
        <f>IF('BD1'!$AE65=8,"Estable",(IF('BD1'!$AE65=7,"Funcional con observaciones", (IF('BD1'!$AE65=6,"Funcional con observaciones",(IF('BD1'!$AE65=5,"Rendimiento bajo",(IF('BD1'!$AE65=4,"Parcialmente funcional",(IF('BD1'!$AE65=3,"Parcialmente funcional",(IF('BD1'!$AE65=2,"Inoperativo",(IF('BD1'!$AE65=1,"Inoperativo","Crítico")))))))))))))))</f>
        <v>Estable</v>
      </c>
    </row>
    <row r="66" spans="1:32" x14ac:dyDescent="0.2">
      <c r="A66" s="121">
        <v>216</v>
      </c>
      <c r="B66" s="122" t="s">
        <v>956</v>
      </c>
      <c r="C66" s="123" t="s">
        <v>429</v>
      </c>
      <c r="D66" s="123" t="s">
        <v>17</v>
      </c>
      <c r="E66" s="124" t="s">
        <v>38</v>
      </c>
      <c r="F66" s="124" t="s">
        <v>476</v>
      </c>
      <c r="G66" s="124" t="s">
        <v>73</v>
      </c>
      <c r="H66" s="122" t="s">
        <v>8</v>
      </c>
      <c r="I66" s="123">
        <v>21.110849999999999</v>
      </c>
      <c r="J66" s="123">
        <v>-101.63195</v>
      </c>
      <c r="K66" s="122" t="s">
        <v>139</v>
      </c>
      <c r="L66" s="125" t="str">
        <f t="shared" si="0"/>
        <v>Ver en Google Maps</v>
      </c>
      <c r="M66" s="122">
        <v>1</v>
      </c>
      <c r="N66" s="108">
        <v>45934</v>
      </c>
      <c r="O66" s="109">
        <f>DAY('BD1'!$N66)</f>
        <v>4</v>
      </c>
      <c r="P66" s="109">
        <f>MONTH('BD1'!$N66)</f>
        <v>10</v>
      </c>
      <c r="Q66" s="109">
        <f>YEAR('BD1'!$N66)</f>
        <v>2025</v>
      </c>
      <c r="R66" s="109">
        <v>1</v>
      </c>
      <c r="S66" s="109" t="s">
        <v>138</v>
      </c>
      <c r="T66" s="109" t="s">
        <v>138</v>
      </c>
      <c r="U66" s="109" t="s">
        <v>138</v>
      </c>
      <c r="V66" s="109" t="s">
        <v>138</v>
      </c>
      <c r="W66" s="109" t="s">
        <v>138</v>
      </c>
      <c r="X66" s="109" t="s">
        <v>138</v>
      </c>
      <c r="Y66" s="109" t="s">
        <v>138</v>
      </c>
      <c r="Z66" s="109" t="s">
        <v>138</v>
      </c>
      <c r="AA66" s="109">
        <v>18.78</v>
      </c>
      <c r="AB66" s="109">
        <v>32.270000000000003</v>
      </c>
      <c r="AC66" s="110" t="s">
        <v>967</v>
      </c>
      <c r="AD66" s="110" t="s">
        <v>954</v>
      </c>
      <c r="AE66" s="109">
        <f t="shared" si="1"/>
        <v>8</v>
      </c>
      <c r="AF66" s="151" t="str">
        <f>IF('BD1'!$AE66=8,"Estable",(IF('BD1'!$AE66=7,"Funcional con observaciones", (IF('BD1'!$AE66=6,"Funcional con observaciones",(IF('BD1'!$AE66=5,"Rendimiento bajo",(IF('BD1'!$AE66=4,"Parcialmente funcional",(IF('BD1'!$AE66=3,"Parcialmente funcional",(IF('BD1'!$AE66=2,"Inoperativo",(IF('BD1'!$AE66=1,"Inoperativo","Crítico")))))))))))))))</f>
        <v>Estable</v>
      </c>
    </row>
    <row r="67" spans="1:32" x14ac:dyDescent="0.2">
      <c r="A67" s="112">
        <v>217</v>
      </c>
      <c r="B67" s="113" t="s">
        <v>956</v>
      </c>
      <c r="C67" s="114" t="s">
        <v>429</v>
      </c>
      <c r="D67" s="114" t="s">
        <v>17</v>
      </c>
      <c r="E67" s="115" t="s">
        <v>39</v>
      </c>
      <c r="F67" s="115" t="s">
        <v>477</v>
      </c>
      <c r="G67" s="115" t="s">
        <v>1029</v>
      </c>
      <c r="H67" s="113" t="s">
        <v>8</v>
      </c>
      <c r="I67" s="114">
        <v>21.11504</v>
      </c>
      <c r="J67" s="114">
        <v>-101.70041000000001</v>
      </c>
      <c r="K67" s="113" t="s">
        <v>3057</v>
      </c>
      <c r="L67" s="116" t="str">
        <f t="shared" ref="L67:L130" si="2">HYPERLINK("https://www.google.com/maps?q=" &amp; I67 &amp; "," &amp; J67, "Ver en Google Maps")</f>
        <v>Ver en Google Maps</v>
      </c>
      <c r="M67" s="113">
        <v>1</v>
      </c>
      <c r="N67" s="117">
        <v>45940</v>
      </c>
      <c r="O67" s="118">
        <f>DAY('BD1'!$N67)</f>
        <v>10</v>
      </c>
      <c r="P67" s="118">
        <f>MONTH('BD1'!$N67)</f>
        <v>10</v>
      </c>
      <c r="Q67" s="118">
        <f>YEAR('BD1'!$N67)</f>
        <v>2025</v>
      </c>
      <c r="R67" s="118">
        <v>1</v>
      </c>
      <c r="S67" s="118" t="s">
        <v>138</v>
      </c>
      <c r="T67" s="118" t="s">
        <v>138</v>
      </c>
      <c r="U67" s="118" t="s">
        <v>138</v>
      </c>
      <c r="V67" s="118" t="s">
        <v>138</v>
      </c>
      <c r="W67" s="118" t="s">
        <v>138</v>
      </c>
      <c r="X67" s="118" t="s">
        <v>138</v>
      </c>
      <c r="Y67" s="118" t="s">
        <v>138</v>
      </c>
      <c r="Z67" s="118" t="s">
        <v>138</v>
      </c>
      <c r="AA67" s="118">
        <v>35.909999999999997</v>
      </c>
      <c r="AB67" s="118">
        <v>8.89</v>
      </c>
      <c r="AC67" s="119" t="s">
        <v>967</v>
      </c>
      <c r="AD67" s="119" t="s">
        <v>957</v>
      </c>
      <c r="AE67" s="118">
        <f t="shared" ref="AE67:AE130" si="3">COUNTIF(S67:Z67, "si")</f>
        <v>8</v>
      </c>
      <c r="AF67" s="152" t="str">
        <f>IF('BD1'!$AE67=8,"Estable",(IF('BD1'!$AE67=7,"Funcional con observaciones", (IF('BD1'!$AE67=6,"Funcional con observaciones",(IF('BD1'!$AE67=5,"Rendimiento bajo",(IF('BD1'!$AE67=4,"Parcialmente funcional",(IF('BD1'!$AE67=3,"Parcialmente funcional",(IF('BD1'!$AE67=2,"Inoperativo",(IF('BD1'!$AE67=1,"Inoperativo","Crítico")))))))))))))))</f>
        <v>Estable</v>
      </c>
    </row>
    <row r="68" spans="1:32" x14ac:dyDescent="0.2">
      <c r="A68" s="121">
        <v>222</v>
      </c>
      <c r="B68" s="122" t="s">
        <v>956</v>
      </c>
      <c r="C68" s="123" t="s">
        <v>429</v>
      </c>
      <c r="D68" s="123" t="s">
        <v>17</v>
      </c>
      <c r="E68" s="124" t="s">
        <v>178</v>
      </c>
      <c r="F68" s="124" t="s">
        <v>478</v>
      </c>
      <c r="G68" s="124" t="s">
        <v>1030</v>
      </c>
      <c r="H68" s="122" t="s">
        <v>8</v>
      </c>
      <c r="I68" s="123">
        <v>21.143049999999999</v>
      </c>
      <c r="J68" s="123">
        <v>-101.67734</v>
      </c>
      <c r="K68" s="122" t="s">
        <v>139</v>
      </c>
      <c r="L68" s="125" t="str">
        <f t="shared" si="2"/>
        <v>Ver en Google Maps</v>
      </c>
      <c r="M68" s="122">
        <v>1</v>
      </c>
      <c r="N68" s="108">
        <v>45929</v>
      </c>
      <c r="O68" s="109">
        <f>DAY('BD1'!$N68)</f>
        <v>29</v>
      </c>
      <c r="P68" s="109">
        <f>MONTH('BD1'!$N68)</f>
        <v>9</v>
      </c>
      <c r="Q68" s="109">
        <f>YEAR('BD1'!$N68)</f>
        <v>2025</v>
      </c>
      <c r="R68" s="109">
        <v>1</v>
      </c>
      <c r="S68" s="109" t="s">
        <v>138</v>
      </c>
      <c r="T68" s="109" t="s">
        <v>138</v>
      </c>
      <c r="U68" s="109" t="s">
        <v>138</v>
      </c>
      <c r="V68" s="109" t="s">
        <v>138</v>
      </c>
      <c r="W68" s="109" t="s">
        <v>138</v>
      </c>
      <c r="X68" s="109" t="s">
        <v>138</v>
      </c>
      <c r="Y68" s="109" t="s">
        <v>138</v>
      </c>
      <c r="Z68" s="109" t="s">
        <v>138</v>
      </c>
      <c r="AA68" s="109">
        <v>23.36</v>
      </c>
      <c r="AB68" s="109">
        <v>32.07</v>
      </c>
      <c r="AC68" s="110" t="s">
        <v>967</v>
      </c>
      <c r="AD68" s="110" t="s">
        <v>954</v>
      </c>
      <c r="AE68" s="109">
        <f t="shared" si="3"/>
        <v>8</v>
      </c>
      <c r="AF68" s="151" t="str">
        <f>IF('BD1'!$AE68=8,"Estable",(IF('BD1'!$AE68=7,"Funcional con observaciones", (IF('BD1'!$AE68=6,"Funcional con observaciones",(IF('BD1'!$AE68=5,"Rendimiento bajo",(IF('BD1'!$AE68=4,"Parcialmente funcional",(IF('BD1'!$AE68=3,"Parcialmente funcional",(IF('BD1'!$AE68=2,"Inoperativo",(IF('BD1'!$AE68=1,"Inoperativo","Crítico")))))))))))))))</f>
        <v>Estable</v>
      </c>
    </row>
    <row r="69" spans="1:32" x14ac:dyDescent="0.2">
      <c r="A69" s="112">
        <v>224</v>
      </c>
      <c r="B69" s="113" t="s">
        <v>956</v>
      </c>
      <c r="C69" s="114" t="s">
        <v>429</v>
      </c>
      <c r="D69" s="114" t="s">
        <v>17</v>
      </c>
      <c r="E69" s="115" t="s">
        <v>179</v>
      </c>
      <c r="F69" s="115" t="s">
        <v>479</v>
      </c>
      <c r="G69" s="115" t="s">
        <v>1031</v>
      </c>
      <c r="H69" s="113" t="s">
        <v>8</v>
      </c>
      <c r="I69" s="114">
        <v>21.143439999999998</v>
      </c>
      <c r="J69" s="114">
        <v>-101.70083</v>
      </c>
      <c r="K69" s="113" t="s">
        <v>139</v>
      </c>
      <c r="L69" s="116" t="str">
        <f t="shared" si="2"/>
        <v>Ver en Google Maps</v>
      </c>
      <c r="M69" s="113">
        <v>1</v>
      </c>
      <c r="N69" s="117">
        <v>45930</v>
      </c>
      <c r="O69" s="118">
        <f>DAY('BD1'!$N69)</f>
        <v>30</v>
      </c>
      <c r="P69" s="118">
        <f>MONTH('BD1'!$N69)</f>
        <v>9</v>
      </c>
      <c r="Q69" s="118">
        <f>YEAR('BD1'!$N69)</f>
        <v>2025</v>
      </c>
      <c r="R69" s="118">
        <v>1</v>
      </c>
      <c r="S69" s="118" t="s">
        <v>138</v>
      </c>
      <c r="T69" s="118" t="s">
        <v>138</v>
      </c>
      <c r="U69" s="118" t="s">
        <v>138</v>
      </c>
      <c r="V69" s="118" t="s">
        <v>138</v>
      </c>
      <c r="W69" s="118" t="s">
        <v>138</v>
      </c>
      <c r="X69" s="118" t="s">
        <v>138</v>
      </c>
      <c r="Y69" s="118" t="s">
        <v>138</v>
      </c>
      <c r="Z69" s="118" t="s">
        <v>138</v>
      </c>
      <c r="AA69" s="118">
        <v>66.3</v>
      </c>
      <c r="AB69" s="118">
        <v>22.12</v>
      </c>
      <c r="AC69" s="119" t="s">
        <v>967</v>
      </c>
      <c r="AD69" s="119" t="s">
        <v>954</v>
      </c>
      <c r="AE69" s="118">
        <f t="shared" si="3"/>
        <v>8</v>
      </c>
      <c r="AF69" s="152" t="str">
        <f>IF('BD1'!$AE69=8,"Estable",(IF('BD1'!$AE69=7,"Funcional con observaciones", (IF('BD1'!$AE69=6,"Funcional con observaciones",(IF('BD1'!$AE69=5,"Rendimiento bajo",(IF('BD1'!$AE69=4,"Parcialmente funcional",(IF('BD1'!$AE69=3,"Parcialmente funcional",(IF('BD1'!$AE69=2,"Inoperativo",(IF('BD1'!$AE69=1,"Inoperativo","Crítico")))))))))))))))</f>
        <v>Estable</v>
      </c>
    </row>
    <row r="70" spans="1:32" x14ac:dyDescent="0.2">
      <c r="A70" s="121">
        <v>230</v>
      </c>
      <c r="B70" s="122" t="s">
        <v>956</v>
      </c>
      <c r="C70" s="123" t="s">
        <v>429</v>
      </c>
      <c r="D70" s="123" t="s">
        <v>17</v>
      </c>
      <c r="E70" s="124" t="s">
        <v>40</v>
      </c>
      <c r="F70" s="124" t="s">
        <v>480</v>
      </c>
      <c r="G70" s="124" t="s">
        <v>41</v>
      </c>
      <c r="H70" s="122" t="s">
        <v>8</v>
      </c>
      <c r="I70" s="123">
        <v>21.057790000000001</v>
      </c>
      <c r="J70" s="123">
        <v>-101.63623</v>
      </c>
      <c r="K70" s="122"/>
      <c r="L70" s="125" t="str">
        <f t="shared" si="2"/>
        <v>Ver en Google Maps</v>
      </c>
      <c r="M70" s="122">
        <v>1</v>
      </c>
      <c r="N70" s="130"/>
      <c r="O70" s="109"/>
      <c r="P70" s="109"/>
      <c r="Q70" s="109"/>
      <c r="R70" s="109"/>
      <c r="S70" s="109"/>
      <c r="T70" s="109"/>
      <c r="U70" s="109"/>
      <c r="V70" s="109"/>
      <c r="W70" s="109"/>
      <c r="X70" s="109"/>
      <c r="Y70" s="109"/>
      <c r="Z70" s="109"/>
      <c r="AA70" s="109"/>
      <c r="AB70" s="109"/>
      <c r="AC70" s="109"/>
      <c r="AD70" s="110"/>
      <c r="AE70" s="109"/>
      <c r="AF70" s="151"/>
    </row>
    <row r="71" spans="1:32" x14ac:dyDescent="0.2">
      <c r="A71" s="112">
        <v>231</v>
      </c>
      <c r="B71" s="113" t="s">
        <v>956</v>
      </c>
      <c r="C71" s="114" t="s">
        <v>429</v>
      </c>
      <c r="D71" s="114" t="s">
        <v>17</v>
      </c>
      <c r="E71" s="115" t="s">
        <v>180</v>
      </c>
      <c r="F71" s="115" t="s">
        <v>481</v>
      </c>
      <c r="G71" s="115" t="s">
        <v>1032</v>
      </c>
      <c r="H71" s="113" t="s">
        <v>8</v>
      </c>
      <c r="I71" s="114">
        <v>21.140080000000001</v>
      </c>
      <c r="J71" s="114">
        <v>-101.75378000000001</v>
      </c>
      <c r="K71" s="113" t="s">
        <v>139</v>
      </c>
      <c r="L71" s="116" t="str">
        <f t="shared" si="2"/>
        <v>Ver en Google Maps</v>
      </c>
      <c r="M71" s="113">
        <v>1</v>
      </c>
      <c r="N71" s="117">
        <v>45930</v>
      </c>
      <c r="O71" s="118">
        <f>DAY('BD1'!$N71)</f>
        <v>30</v>
      </c>
      <c r="P71" s="118">
        <f>MONTH('BD1'!$N71)</f>
        <v>9</v>
      </c>
      <c r="Q71" s="118">
        <f>YEAR('BD1'!$N71)</f>
        <v>2025</v>
      </c>
      <c r="R71" s="118">
        <v>1</v>
      </c>
      <c r="S71" s="118" t="s">
        <v>138</v>
      </c>
      <c r="T71" s="118" t="s">
        <v>138</v>
      </c>
      <c r="U71" s="118" t="s">
        <v>138</v>
      </c>
      <c r="V71" s="118" t="s">
        <v>138</v>
      </c>
      <c r="W71" s="118" t="s">
        <v>138</v>
      </c>
      <c r="X71" s="118" t="s">
        <v>138</v>
      </c>
      <c r="Y71" s="118" t="s">
        <v>138</v>
      </c>
      <c r="Z71" s="118" t="s">
        <v>934</v>
      </c>
      <c r="AA71" s="118">
        <v>0</v>
      </c>
      <c r="AB71" s="118">
        <v>0</v>
      </c>
      <c r="AC71" s="119" t="s">
        <v>935</v>
      </c>
      <c r="AD71" s="119" t="s">
        <v>957</v>
      </c>
      <c r="AE71" s="118">
        <f t="shared" si="3"/>
        <v>7</v>
      </c>
      <c r="AF71" s="152" t="str">
        <f>IF('BD1'!$AE71=8,"Estable",(IF('BD1'!$AE71=7,"Funcional con observaciones", (IF('BD1'!$AE71=6,"Funcional con observaciones",(IF('BD1'!$AE71=5,"Rendimiento bajo",(IF('BD1'!$AE71=4,"Parcialmente funcional",(IF('BD1'!$AE71=3,"Parcialmente funcional",(IF('BD1'!$AE71=2,"Inoperativo",(IF('BD1'!$AE71=1,"Inoperativo","Crítico")))))))))))))))</f>
        <v>Funcional con observaciones</v>
      </c>
    </row>
    <row r="72" spans="1:32" x14ac:dyDescent="0.2">
      <c r="A72" s="121">
        <v>233</v>
      </c>
      <c r="B72" s="122" t="s">
        <v>956</v>
      </c>
      <c r="C72" s="123" t="s">
        <v>429</v>
      </c>
      <c r="D72" s="123" t="s">
        <v>17</v>
      </c>
      <c r="E72" s="124" t="s">
        <v>181</v>
      </c>
      <c r="F72" s="124" t="s">
        <v>482</v>
      </c>
      <c r="G72" s="124" t="s">
        <v>1033</v>
      </c>
      <c r="H72" s="122" t="s">
        <v>8</v>
      </c>
      <c r="I72" s="123">
        <v>21.142942000000001</v>
      </c>
      <c r="J72" s="123">
        <v>-101.73758599999999</v>
      </c>
      <c r="K72" s="122" t="s">
        <v>139</v>
      </c>
      <c r="L72" s="125" t="str">
        <f t="shared" si="2"/>
        <v>Ver en Google Maps</v>
      </c>
      <c r="M72" s="122">
        <v>1</v>
      </c>
      <c r="N72" s="108">
        <v>45930</v>
      </c>
      <c r="O72" s="109">
        <f>DAY('BD1'!$N72)</f>
        <v>30</v>
      </c>
      <c r="P72" s="109">
        <f>MONTH('BD1'!$N72)</f>
        <v>9</v>
      </c>
      <c r="Q72" s="109">
        <f>YEAR('BD1'!$N72)</f>
        <v>2025</v>
      </c>
      <c r="R72" s="109">
        <v>1</v>
      </c>
      <c r="S72" s="109" t="s">
        <v>138</v>
      </c>
      <c r="T72" s="109" t="s">
        <v>138</v>
      </c>
      <c r="U72" s="109" t="s">
        <v>138</v>
      </c>
      <c r="V72" s="109" t="s">
        <v>138</v>
      </c>
      <c r="W72" s="109" t="s">
        <v>138</v>
      </c>
      <c r="X72" s="109" t="s">
        <v>138</v>
      </c>
      <c r="Y72" s="109" t="s">
        <v>138</v>
      </c>
      <c r="Z72" s="109" t="s">
        <v>138</v>
      </c>
      <c r="AA72" s="109">
        <v>100.28</v>
      </c>
      <c r="AB72" s="109">
        <v>65.040000000000006</v>
      </c>
      <c r="AC72" s="110" t="s">
        <v>967</v>
      </c>
      <c r="AD72" s="110" t="s">
        <v>954</v>
      </c>
      <c r="AE72" s="109">
        <f t="shared" si="3"/>
        <v>8</v>
      </c>
      <c r="AF72" s="151" t="str">
        <f>IF('BD1'!$AE72=8,"Estable",(IF('BD1'!$AE72=7,"Funcional con observaciones", (IF('BD1'!$AE72=6,"Funcional con observaciones",(IF('BD1'!$AE72=5,"Rendimiento bajo",(IF('BD1'!$AE72=4,"Parcialmente funcional",(IF('BD1'!$AE72=3,"Parcialmente funcional",(IF('BD1'!$AE72=2,"Inoperativo",(IF('BD1'!$AE72=1,"Inoperativo","Crítico")))))))))))))))</f>
        <v>Estable</v>
      </c>
    </row>
    <row r="73" spans="1:32" x14ac:dyDescent="0.2">
      <c r="A73" s="112">
        <v>234</v>
      </c>
      <c r="B73" s="113" t="s">
        <v>956</v>
      </c>
      <c r="C73" s="114" t="s">
        <v>429</v>
      </c>
      <c r="D73" s="114" t="s">
        <v>17</v>
      </c>
      <c r="E73" s="115" t="s">
        <v>42</v>
      </c>
      <c r="F73" s="115" t="s">
        <v>483</v>
      </c>
      <c r="G73" s="115" t="s">
        <v>43</v>
      </c>
      <c r="H73" s="113" t="s">
        <v>8</v>
      </c>
      <c r="I73" s="114">
        <v>21.129259999999999</v>
      </c>
      <c r="J73" s="114">
        <v>-101.59872</v>
      </c>
      <c r="K73" s="113" t="s">
        <v>139</v>
      </c>
      <c r="L73" s="116" t="str">
        <f t="shared" si="2"/>
        <v>Ver en Google Maps</v>
      </c>
      <c r="M73" s="113">
        <v>1</v>
      </c>
      <c r="N73" s="117">
        <v>45931</v>
      </c>
      <c r="O73" s="118">
        <f>DAY('BD1'!$N73)</f>
        <v>1</v>
      </c>
      <c r="P73" s="118">
        <f>MONTH('BD1'!$N73)</f>
        <v>10</v>
      </c>
      <c r="Q73" s="118">
        <f>YEAR('BD1'!$N73)</f>
        <v>2025</v>
      </c>
      <c r="R73" s="118">
        <v>1</v>
      </c>
      <c r="S73" s="118" t="s">
        <v>138</v>
      </c>
      <c r="T73" s="118" t="s">
        <v>138</v>
      </c>
      <c r="U73" s="118" t="s">
        <v>138</v>
      </c>
      <c r="V73" s="118" t="s">
        <v>138</v>
      </c>
      <c r="W73" s="118" t="s">
        <v>138</v>
      </c>
      <c r="X73" s="118" t="s">
        <v>138</v>
      </c>
      <c r="Y73" s="118" t="s">
        <v>138</v>
      </c>
      <c r="Z73" s="118" t="s">
        <v>138</v>
      </c>
      <c r="AA73" s="118">
        <v>74.22</v>
      </c>
      <c r="AB73" s="118">
        <v>79.010000000000005</v>
      </c>
      <c r="AC73" s="119" t="s">
        <v>967</v>
      </c>
      <c r="AD73" s="119" t="s">
        <v>954</v>
      </c>
      <c r="AE73" s="118">
        <f t="shared" si="3"/>
        <v>8</v>
      </c>
      <c r="AF73" s="152" t="str">
        <f>IF('BD1'!$AE73=8,"Estable",(IF('BD1'!$AE73=7,"Funcional con observaciones", (IF('BD1'!$AE73=6,"Funcional con observaciones",(IF('BD1'!$AE73=5,"Rendimiento bajo",(IF('BD1'!$AE73=4,"Parcialmente funcional",(IF('BD1'!$AE73=3,"Parcialmente funcional",(IF('BD1'!$AE73=2,"Inoperativo",(IF('BD1'!$AE73=1,"Inoperativo","Crítico")))))))))))))))</f>
        <v>Estable</v>
      </c>
    </row>
    <row r="74" spans="1:32" x14ac:dyDescent="0.2">
      <c r="A74" s="121">
        <v>235</v>
      </c>
      <c r="B74" s="122" t="s">
        <v>956</v>
      </c>
      <c r="C74" s="123" t="s">
        <v>429</v>
      </c>
      <c r="D74" s="123" t="s">
        <v>17</v>
      </c>
      <c r="E74" s="124" t="s">
        <v>44</v>
      </c>
      <c r="F74" s="124" t="s">
        <v>484</v>
      </c>
      <c r="G74" s="124" t="s">
        <v>1034</v>
      </c>
      <c r="H74" s="122" t="s">
        <v>8</v>
      </c>
      <c r="I74" s="123">
        <v>21.092600000000001</v>
      </c>
      <c r="J74" s="123">
        <v>-101.64812999999999</v>
      </c>
      <c r="K74" s="122"/>
      <c r="L74" s="125" t="str">
        <f t="shared" si="2"/>
        <v>Ver en Google Maps</v>
      </c>
      <c r="M74" s="122">
        <v>1</v>
      </c>
      <c r="N74" s="130"/>
      <c r="O74" s="109"/>
      <c r="P74" s="109"/>
      <c r="Q74" s="109"/>
      <c r="R74" s="109"/>
      <c r="S74" s="109"/>
      <c r="T74" s="109"/>
      <c r="U74" s="109"/>
      <c r="V74" s="109"/>
      <c r="W74" s="109"/>
      <c r="X74" s="109"/>
      <c r="Y74" s="109"/>
      <c r="Z74" s="109"/>
      <c r="AA74" s="109"/>
      <c r="AB74" s="109"/>
      <c r="AC74" s="109"/>
      <c r="AD74" s="110"/>
      <c r="AE74" s="109"/>
      <c r="AF74" s="151"/>
    </row>
    <row r="75" spans="1:32" x14ac:dyDescent="0.2">
      <c r="A75" s="112">
        <v>241</v>
      </c>
      <c r="B75" s="113" t="s">
        <v>956</v>
      </c>
      <c r="C75" s="114" t="s">
        <v>429</v>
      </c>
      <c r="D75" s="114" t="s">
        <v>17</v>
      </c>
      <c r="E75" s="115" t="s">
        <v>182</v>
      </c>
      <c r="F75" s="115" t="s">
        <v>485</v>
      </c>
      <c r="G75" s="115" t="s">
        <v>979</v>
      </c>
      <c r="H75" s="113" t="s">
        <v>8</v>
      </c>
      <c r="I75" s="114">
        <v>21.128907000000002</v>
      </c>
      <c r="J75" s="114">
        <v>-101.638987</v>
      </c>
      <c r="K75" s="113" t="s">
        <v>139</v>
      </c>
      <c r="L75" s="116" t="str">
        <f t="shared" si="2"/>
        <v>Ver en Google Maps</v>
      </c>
      <c r="M75" s="113">
        <v>1</v>
      </c>
      <c r="N75" s="117">
        <v>45929</v>
      </c>
      <c r="O75" s="118">
        <f>DAY('BD1'!$N75)</f>
        <v>29</v>
      </c>
      <c r="P75" s="118">
        <f>MONTH('BD1'!$N75)</f>
        <v>9</v>
      </c>
      <c r="Q75" s="118">
        <f>YEAR('BD1'!$N75)</f>
        <v>2025</v>
      </c>
      <c r="R75" s="118">
        <v>1</v>
      </c>
      <c r="S75" s="118" t="s">
        <v>138</v>
      </c>
      <c r="T75" s="118" t="s">
        <v>138</v>
      </c>
      <c r="U75" s="118" t="s">
        <v>138</v>
      </c>
      <c r="V75" s="118" t="s">
        <v>138</v>
      </c>
      <c r="W75" s="118" t="s">
        <v>138</v>
      </c>
      <c r="X75" s="118" t="s">
        <v>138</v>
      </c>
      <c r="Y75" s="118" t="s">
        <v>138</v>
      </c>
      <c r="Z75" s="118" t="s">
        <v>138</v>
      </c>
      <c r="AA75" s="118">
        <v>65.959999999999994</v>
      </c>
      <c r="AB75" s="118">
        <v>83.7</v>
      </c>
      <c r="AC75" s="119" t="s">
        <v>967</v>
      </c>
      <c r="AD75" s="119" t="s">
        <v>954</v>
      </c>
      <c r="AE75" s="118">
        <f t="shared" si="3"/>
        <v>8</v>
      </c>
      <c r="AF75" s="152" t="str">
        <f>IF('BD1'!$AE75=8,"Estable",(IF('BD1'!$AE75=7,"Funcional con observaciones", (IF('BD1'!$AE75=6,"Funcional con observaciones",(IF('BD1'!$AE75=5,"Rendimiento bajo",(IF('BD1'!$AE75=4,"Parcialmente funcional",(IF('BD1'!$AE75=3,"Parcialmente funcional",(IF('BD1'!$AE75=2,"Inoperativo",(IF('BD1'!$AE75=1,"Inoperativo","Crítico")))))))))))))))</f>
        <v>Estable</v>
      </c>
    </row>
    <row r="76" spans="1:32" x14ac:dyDescent="0.2">
      <c r="A76" s="121">
        <v>242</v>
      </c>
      <c r="B76" s="122" t="s">
        <v>956</v>
      </c>
      <c r="C76" s="123" t="s">
        <v>429</v>
      </c>
      <c r="D76" s="123" t="s">
        <v>17</v>
      </c>
      <c r="E76" s="124" t="s">
        <v>183</v>
      </c>
      <c r="F76" s="124" t="s">
        <v>486</v>
      </c>
      <c r="G76" s="124" t="s">
        <v>1035</v>
      </c>
      <c r="H76" s="122" t="s">
        <v>8</v>
      </c>
      <c r="I76" s="123">
        <v>21.147469999999998</v>
      </c>
      <c r="J76" s="123">
        <v>-101.71567</v>
      </c>
      <c r="K76" s="122" t="s">
        <v>139</v>
      </c>
      <c r="L76" s="125" t="str">
        <f t="shared" si="2"/>
        <v>Ver en Google Maps</v>
      </c>
      <c r="M76" s="122">
        <v>1</v>
      </c>
      <c r="N76" s="108">
        <v>45930</v>
      </c>
      <c r="O76" s="109">
        <f>DAY('BD1'!$N76)</f>
        <v>30</v>
      </c>
      <c r="P76" s="109">
        <f>MONTH('BD1'!$N76)</f>
        <v>9</v>
      </c>
      <c r="Q76" s="109">
        <f>YEAR('BD1'!$N76)</f>
        <v>2025</v>
      </c>
      <c r="R76" s="109">
        <v>1</v>
      </c>
      <c r="S76" s="109" t="s">
        <v>138</v>
      </c>
      <c r="T76" s="109" t="s">
        <v>138</v>
      </c>
      <c r="U76" s="109" t="s">
        <v>138</v>
      </c>
      <c r="V76" s="109" t="s">
        <v>138</v>
      </c>
      <c r="W76" s="109" t="s">
        <v>138</v>
      </c>
      <c r="X76" s="109" t="s">
        <v>138</v>
      </c>
      <c r="Y76" s="109" t="s">
        <v>138</v>
      </c>
      <c r="Z76" s="109" t="s">
        <v>138</v>
      </c>
      <c r="AA76" s="109">
        <v>19.670000000000002</v>
      </c>
      <c r="AB76" s="109">
        <v>38.380000000000003</v>
      </c>
      <c r="AC76" s="110" t="s">
        <v>967</v>
      </c>
      <c r="AD76" s="110" t="s">
        <v>954</v>
      </c>
      <c r="AE76" s="109">
        <f t="shared" si="3"/>
        <v>8</v>
      </c>
      <c r="AF76" s="151" t="str">
        <f>IF('BD1'!$AE76=8,"Estable",(IF('BD1'!$AE76=7,"Funcional con observaciones", (IF('BD1'!$AE76=6,"Funcional con observaciones",(IF('BD1'!$AE76=5,"Rendimiento bajo",(IF('BD1'!$AE76=4,"Parcialmente funcional",(IF('BD1'!$AE76=3,"Parcialmente funcional",(IF('BD1'!$AE76=2,"Inoperativo",(IF('BD1'!$AE76=1,"Inoperativo","Crítico")))))))))))))))</f>
        <v>Estable</v>
      </c>
    </row>
    <row r="77" spans="1:32" x14ac:dyDescent="0.2">
      <c r="A77" s="112">
        <v>248</v>
      </c>
      <c r="B77" s="113" t="s">
        <v>956</v>
      </c>
      <c r="C77" s="114" t="s">
        <v>429</v>
      </c>
      <c r="D77" s="114" t="s">
        <v>17</v>
      </c>
      <c r="E77" s="115" t="s">
        <v>45</v>
      </c>
      <c r="F77" s="115" t="s">
        <v>487</v>
      </c>
      <c r="G77" s="115" t="s">
        <v>184</v>
      </c>
      <c r="H77" s="113" t="s">
        <v>8</v>
      </c>
      <c r="I77" s="114">
        <v>21.116330000000001</v>
      </c>
      <c r="J77" s="114">
        <v>-101.6096</v>
      </c>
      <c r="K77" s="113" t="s">
        <v>139</v>
      </c>
      <c r="L77" s="116" t="str">
        <f t="shared" si="2"/>
        <v>Ver en Google Maps</v>
      </c>
      <c r="M77" s="113">
        <v>1</v>
      </c>
      <c r="N77" s="117">
        <v>45931</v>
      </c>
      <c r="O77" s="118">
        <f>DAY('BD1'!$N77)</f>
        <v>1</v>
      </c>
      <c r="P77" s="118">
        <f>MONTH('BD1'!$N77)</f>
        <v>10</v>
      </c>
      <c r="Q77" s="118">
        <f>YEAR('BD1'!$N77)</f>
        <v>2025</v>
      </c>
      <c r="R77" s="118">
        <v>1</v>
      </c>
      <c r="S77" s="118" t="s">
        <v>138</v>
      </c>
      <c r="T77" s="118" t="s">
        <v>138</v>
      </c>
      <c r="U77" s="118" t="s">
        <v>138</v>
      </c>
      <c r="V77" s="118" t="s">
        <v>934</v>
      </c>
      <c r="W77" s="118" t="s">
        <v>138</v>
      </c>
      <c r="X77" s="118" t="s">
        <v>138</v>
      </c>
      <c r="Y77" s="118" t="s">
        <v>138</v>
      </c>
      <c r="Z77" s="118" t="s">
        <v>138</v>
      </c>
      <c r="AA77" s="118">
        <v>43.63</v>
      </c>
      <c r="AB77" s="118">
        <v>16.91</v>
      </c>
      <c r="AC77" s="119" t="s">
        <v>963</v>
      </c>
      <c r="AD77" s="119" t="s">
        <v>954</v>
      </c>
      <c r="AE77" s="118">
        <f t="shared" si="3"/>
        <v>7</v>
      </c>
      <c r="AF77" s="152" t="str">
        <f>IF('BD1'!$AE77=8,"Estable",(IF('BD1'!$AE77=7,"Funcional con observaciones", (IF('BD1'!$AE77=6,"Funcional con observaciones",(IF('BD1'!$AE77=5,"Rendimiento bajo",(IF('BD1'!$AE77=4,"Parcialmente funcional",(IF('BD1'!$AE77=3,"Parcialmente funcional",(IF('BD1'!$AE77=2,"Inoperativo",(IF('BD1'!$AE77=1,"Inoperativo","Crítico")))))))))))))))</f>
        <v>Funcional con observaciones</v>
      </c>
    </row>
    <row r="78" spans="1:32" x14ac:dyDescent="0.2">
      <c r="A78" s="121">
        <v>252</v>
      </c>
      <c r="B78" s="122" t="s">
        <v>956</v>
      </c>
      <c r="C78" s="123" t="s">
        <v>429</v>
      </c>
      <c r="D78" s="123" t="s">
        <v>17</v>
      </c>
      <c r="E78" s="124" t="s">
        <v>46</v>
      </c>
      <c r="F78" s="124" t="s">
        <v>488</v>
      </c>
      <c r="G78" s="124" t="s">
        <v>1036</v>
      </c>
      <c r="H78" s="122" t="s">
        <v>8</v>
      </c>
      <c r="I78" s="123">
        <v>21.129729999999999</v>
      </c>
      <c r="J78" s="123">
        <v>-101.71687</v>
      </c>
      <c r="K78" s="122"/>
      <c r="L78" s="125" t="str">
        <f t="shared" si="2"/>
        <v>Ver en Google Maps</v>
      </c>
      <c r="M78" s="122">
        <v>1</v>
      </c>
      <c r="N78" s="130"/>
      <c r="O78" s="109"/>
      <c r="P78" s="109"/>
      <c r="Q78" s="109"/>
      <c r="R78" s="109"/>
      <c r="S78" s="109"/>
      <c r="T78" s="109"/>
      <c r="U78" s="109"/>
      <c r="V78" s="109"/>
      <c r="W78" s="109"/>
      <c r="X78" s="109"/>
      <c r="Y78" s="109"/>
      <c r="Z78" s="109"/>
      <c r="AA78" s="109"/>
      <c r="AB78" s="109"/>
      <c r="AC78" s="109"/>
      <c r="AD78" s="110"/>
      <c r="AE78" s="109"/>
      <c r="AF78" s="151"/>
    </row>
    <row r="79" spans="1:32" x14ac:dyDescent="0.2">
      <c r="A79" s="112">
        <v>254</v>
      </c>
      <c r="B79" s="113" t="s">
        <v>956</v>
      </c>
      <c r="C79" s="114" t="s">
        <v>429</v>
      </c>
      <c r="D79" s="114" t="s">
        <v>17</v>
      </c>
      <c r="E79" s="115" t="s">
        <v>185</v>
      </c>
      <c r="F79" s="115" t="s">
        <v>489</v>
      </c>
      <c r="G79" s="115" t="s">
        <v>997</v>
      </c>
      <c r="H79" s="113" t="s">
        <v>8</v>
      </c>
      <c r="I79" s="114">
        <v>21.116569999999999</v>
      </c>
      <c r="J79" s="114">
        <v>-101.73038</v>
      </c>
      <c r="K79" s="113" t="s">
        <v>139</v>
      </c>
      <c r="L79" s="116" t="str">
        <f t="shared" si="2"/>
        <v>Ver en Google Maps</v>
      </c>
      <c r="M79" s="113">
        <v>1</v>
      </c>
      <c r="N79" s="117">
        <v>45930</v>
      </c>
      <c r="O79" s="118">
        <f>DAY('BD1'!$N79)</f>
        <v>30</v>
      </c>
      <c r="P79" s="118">
        <f>MONTH('BD1'!$N79)</f>
        <v>9</v>
      </c>
      <c r="Q79" s="118">
        <f>YEAR('BD1'!$N79)</f>
        <v>2025</v>
      </c>
      <c r="R79" s="118">
        <v>1</v>
      </c>
      <c r="S79" s="118" t="s">
        <v>138</v>
      </c>
      <c r="T79" s="118" t="s">
        <v>138</v>
      </c>
      <c r="U79" s="118" t="s">
        <v>138</v>
      </c>
      <c r="V79" s="118" t="s">
        <v>138</v>
      </c>
      <c r="W79" s="118" t="s">
        <v>138</v>
      </c>
      <c r="X79" s="118" t="s">
        <v>138</v>
      </c>
      <c r="Y79" s="118" t="s">
        <v>138</v>
      </c>
      <c r="Z79" s="118" t="s">
        <v>934</v>
      </c>
      <c r="AA79" s="118">
        <v>11.03</v>
      </c>
      <c r="AB79" s="118">
        <v>33.51</v>
      </c>
      <c r="AC79" s="119" t="s">
        <v>969</v>
      </c>
      <c r="AD79" s="119" t="s">
        <v>954</v>
      </c>
      <c r="AE79" s="118">
        <f t="shared" si="3"/>
        <v>7</v>
      </c>
      <c r="AF79" s="152" t="str">
        <f>IF('BD1'!$AE79=8,"Estable",(IF('BD1'!$AE79=7,"Funcional con observaciones", (IF('BD1'!$AE79=6,"Funcional con observaciones",(IF('BD1'!$AE79=5,"Rendimiento bajo",(IF('BD1'!$AE79=4,"Parcialmente funcional",(IF('BD1'!$AE79=3,"Parcialmente funcional",(IF('BD1'!$AE79=2,"Inoperativo",(IF('BD1'!$AE79=1,"Inoperativo","Crítico")))))))))))))))</f>
        <v>Funcional con observaciones</v>
      </c>
    </row>
    <row r="80" spans="1:32" x14ac:dyDescent="0.2">
      <c r="A80" s="121">
        <v>256</v>
      </c>
      <c r="B80" s="122" t="s">
        <v>956</v>
      </c>
      <c r="C80" s="123" t="s">
        <v>429</v>
      </c>
      <c r="D80" s="123" t="s">
        <v>17</v>
      </c>
      <c r="E80" s="124" t="s">
        <v>186</v>
      </c>
      <c r="F80" s="124" t="s">
        <v>490</v>
      </c>
      <c r="G80" s="124" t="s">
        <v>1037</v>
      </c>
      <c r="H80" s="122" t="s">
        <v>8</v>
      </c>
      <c r="I80" s="123">
        <v>21.1526</v>
      </c>
      <c r="J80" s="123">
        <v>-101.75776999999999</v>
      </c>
      <c r="K80" s="122" t="s">
        <v>139</v>
      </c>
      <c r="L80" s="125" t="str">
        <f t="shared" si="2"/>
        <v>Ver en Google Maps</v>
      </c>
      <c r="M80" s="122">
        <v>1</v>
      </c>
      <c r="N80" s="108">
        <v>45930</v>
      </c>
      <c r="O80" s="109">
        <f>DAY('BD1'!$N80)</f>
        <v>30</v>
      </c>
      <c r="P80" s="109">
        <f>MONTH('BD1'!$N80)</f>
        <v>9</v>
      </c>
      <c r="Q80" s="109">
        <f>YEAR('BD1'!$N80)</f>
        <v>2025</v>
      </c>
      <c r="R80" s="109">
        <v>1</v>
      </c>
      <c r="S80" s="109" t="s">
        <v>138</v>
      </c>
      <c r="T80" s="109" t="s">
        <v>138</v>
      </c>
      <c r="U80" s="109" t="s">
        <v>138</v>
      </c>
      <c r="V80" s="109" t="s">
        <v>138</v>
      </c>
      <c r="W80" s="109" t="s">
        <v>138</v>
      </c>
      <c r="X80" s="109" t="s">
        <v>138</v>
      </c>
      <c r="Y80" s="109" t="s">
        <v>138</v>
      </c>
      <c r="Z80" s="109" t="s">
        <v>138</v>
      </c>
      <c r="AA80" s="109">
        <v>14.84</v>
      </c>
      <c r="AB80" s="109">
        <v>36.17</v>
      </c>
      <c r="AC80" s="110" t="s">
        <v>967</v>
      </c>
      <c r="AD80" s="110" t="s">
        <v>954</v>
      </c>
      <c r="AE80" s="109">
        <f t="shared" si="3"/>
        <v>8</v>
      </c>
      <c r="AF80" s="151" t="str">
        <f>IF('BD1'!$AE80=8,"Estable",(IF('BD1'!$AE80=7,"Funcional con observaciones", (IF('BD1'!$AE80=6,"Funcional con observaciones",(IF('BD1'!$AE80=5,"Rendimiento bajo",(IF('BD1'!$AE80=4,"Parcialmente funcional",(IF('BD1'!$AE80=3,"Parcialmente funcional",(IF('BD1'!$AE80=2,"Inoperativo",(IF('BD1'!$AE80=1,"Inoperativo","Crítico")))))))))))))))</f>
        <v>Estable</v>
      </c>
    </row>
    <row r="81" spans="1:32" x14ac:dyDescent="0.2">
      <c r="A81" s="112">
        <v>257</v>
      </c>
      <c r="B81" s="113" t="s">
        <v>956</v>
      </c>
      <c r="C81" s="114" t="s">
        <v>14</v>
      </c>
      <c r="D81" s="114" t="s">
        <v>404</v>
      </c>
      <c r="E81" s="115" t="s">
        <v>187</v>
      </c>
      <c r="F81" s="115" t="s">
        <v>491</v>
      </c>
      <c r="G81" s="115" t="s">
        <v>1038</v>
      </c>
      <c r="H81" s="113" t="s">
        <v>8</v>
      </c>
      <c r="I81" s="114">
        <v>21.122703999999999</v>
      </c>
      <c r="J81" s="114">
        <v>-101.69341900000001</v>
      </c>
      <c r="K81" s="113" t="s">
        <v>139</v>
      </c>
      <c r="L81" s="116" t="str">
        <f t="shared" si="2"/>
        <v>Ver en Google Maps</v>
      </c>
      <c r="M81" s="113">
        <v>2</v>
      </c>
      <c r="N81" s="117">
        <v>45930</v>
      </c>
      <c r="O81" s="118">
        <f>DAY('BD1'!$N81)</f>
        <v>30</v>
      </c>
      <c r="P81" s="118">
        <f>MONTH('BD1'!$N81)</f>
        <v>9</v>
      </c>
      <c r="Q81" s="118">
        <f>YEAR('BD1'!$N81)</f>
        <v>2025</v>
      </c>
      <c r="R81" s="118">
        <v>1</v>
      </c>
      <c r="S81" s="118" t="s">
        <v>138</v>
      </c>
      <c r="T81" s="118" t="s">
        <v>138</v>
      </c>
      <c r="U81" s="118" t="s">
        <v>138</v>
      </c>
      <c r="V81" s="118" t="s">
        <v>138</v>
      </c>
      <c r="W81" s="118" t="s">
        <v>138</v>
      </c>
      <c r="X81" s="118" t="s">
        <v>138</v>
      </c>
      <c r="Y81" s="118" t="s">
        <v>138</v>
      </c>
      <c r="Z81" s="118" t="s">
        <v>138</v>
      </c>
      <c r="AA81" s="118">
        <v>46.21</v>
      </c>
      <c r="AB81" s="118">
        <v>40.369999999999997</v>
      </c>
      <c r="AC81" s="119" t="s">
        <v>967</v>
      </c>
      <c r="AD81" s="119" t="s">
        <v>954</v>
      </c>
      <c r="AE81" s="118">
        <f t="shared" si="3"/>
        <v>8</v>
      </c>
      <c r="AF81" s="152" t="str">
        <f>IF('BD1'!$AE81=8,"Estable",(IF('BD1'!$AE81=7,"Funcional con observaciones", (IF('BD1'!$AE81=6,"Funcional con observaciones",(IF('BD1'!$AE81=5,"Rendimiento bajo",(IF('BD1'!$AE81=4,"Parcialmente funcional",(IF('BD1'!$AE81=3,"Parcialmente funcional",(IF('BD1'!$AE81=2,"Inoperativo",(IF('BD1'!$AE81=1,"Inoperativo","Crítico")))))))))))))))</f>
        <v>Estable</v>
      </c>
    </row>
    <row r="82" spans="1:32" x14ac:dyDescent="0.2">
      <c r="A82" s="121">
        <v>259</v>
      </c>
      <c r="B82" s="122" t="s">
        <v>956</v>
      </c>
      <c r="C82" s="123" t="s">
        <v>429</v>
      </c>
      <c r="D82" s="123" t="s">
        <v>17</v>
      </c>
      <c r="E82" s="124" t="s">
        <v>47</v>
      </c>
      <c r="F82" s="124" t="s">
        <v>492</v>
      </c>
      <c r="G82" s="124" t="s">
        <v>48</v>
      </c>
      <c r="H82" s="122" t="s">
        <v>8</v>
      </c>
      <c r="I82" s="123">
        <v>21.122489999999999</v>
      </c>
      <c r="J82" s="123">
        <v>-101.64601</v>
      </c>
      <c r="K82" s="122" t="s">
        <v>139</v>
      </c>
      <c r="L82" s="125" t="str">
        <f t="shared" si="2"/>
        <v>Ver en Google Maps</v>
      </c>
      <c r="M82" s="122">
        <v>1</v>
      </c>
      <c r="N82" s="108">
        <v>45931</v>
      </c>
      <c r="O82" s="109">
        <f>DAY('BD1'!$N82)</f>
        <v>1</v>
      </c>
      <c r="P82" s="109">
        <f>MONTH('BD1'!$N82)</f>
        <v>10</v>
      </c>
      <c r="Q82" s="109">
        <f>YEAR('BD1'!$N82)</f>
        <v>2025</v>
      </c>
      <c r="R82" s="109">
        <v>1</v>
      </c>
      <c r="S82" s="109" t="s">
        <v>138</v>
      </c>
      <c r="T82" s="109" t="s">
        <v>138</v>
      </c>
      <c r="U82" s="109" t="s">
        <v>138</v>
      </c>
      <c r="V82" s="109" t="s">
        <v>138</v>
      </c>
      <c r="W82" s="109" t="s">
        <v>138</v>
      </c>
      <c r="X82" s="109" t="s">
        <v>138</v>
      </c>
      <c r="Y82" s="109" t="s">
        <v>138</v>
      </c>
      <c r="Z82" s="109" t="s">
        <v>138</v>
      </c>
      <c r="AA82" s="109">
        <v>55.76</v>
      </c>
      <c r="AB82" s="109">
        <v>43.01</v>
      </c>
      <c r="AC82" s="110" t="s">
        <v>967</v>
      </c>
      <c r="AD82" s="110" t="s">
        <v>954</v>
      </c>
      <c r="AE82" s="109">
        <f t="shared" si="3"/>
        <v>8</v>
      </c>
      <c r="AF82" s="151" t="str">
        <f>IF('BD1'!$AE82=8,"Estable",(IF('BD1'!$AE82=7,"Funcional con observaciones", (IF('BD1'!$AE82=6,"Funcional con observaciones",(IF('BD1'!$AE82=5,"Rendimiento bajo",(IF('BD1'!$AE82=4,"Parcialmente funcional",(IF('BD1'!$AE82=3,"Parcialmente funcional",(IF('BD1'!$AE82=2,"Inoperativo",(IF('BD1'!$AE82=1,"Inoperativo","Crítico")))))))))))))))</f>
        <v>Estable</v>
      </c>
    </row>
    <row r="83" spans="1:32" x14ac:dyDescent="0.2">
      <c r="A83" s="112">
        <v>264</v>
      </c>
      <c r="B83" s="113" t="s">
        <v>956</v>
      </c>
      <c r="C83" s="114" t="s">
        <v>429</v>
      </c>
      <c r="D83" s="114" t="s">
        <v>17</v>
      </c>
      <c r="E83" s="115" t="s">
        <v>49</v>
      </c>
      <c r="F83" s="115" t="s">
        <v>493</v>
      </c>
      <c r="G83" s="115" t="s">
        <v>1039</v>
      </c>
      <c r="H83" s="113" t="s">
        <v>8</v>
      </c>
      <c r="I83" s="114">
        <v>21.085650000000001</v>
      </c>
      <c r="J83" s="114">
        <v>-101.62854</v>
      </c>
      <c r="K83" s="113"/>
      <c r="L83" s="116" t="str">
        <f t="shared" si="2"/>
        <v>Ver en Google Maps</v>
      </c>
      <c r="M83" s="113">
        <v>1</v>
      </c>
      <c r="N83" s="129"/>
      <c r="O83" s="118"/>
      <c r="P83" s="118"/>
      <c r="Q83" s="118"/>
      <c r="R83" s="118"/>
      <c r="S83" s="118"/>
      <c r="T83" s="118"/>
      <c r="U83" s="118"/>
      <c r="V83" s="118"/>
      <c r="W83" s="118"/>
      <c r="X83" s="118"/>
      <c r="Y83" s="118"/>
      <c r="Z83" s="118"/>
      <c r="AA83" s="118"/>
      <c r="AB83" s="118"/>
      <c r="AC83" s="118"/>
      <c r="AD83" s="119"/>
      <c r="AE83" s="118"/>
      <c r="AF83" s="152"/>
    </row>
    <row r="84" spans="1:32" x14ac:dyDescent="0.2">
      <c r="A84" s="121">
        <v>265</v>
      </c>
      <c r="B84" s="122" t="s">
        <v>956</v>
      </c>
      <c r="C84" s="123" t="s">
        <v>429</v>
      </c>
      <c r="D84" s="123" t="s">
        <v>17</v>
      </c>
      <c r="E84" s="124" t="s">
        <v>50</v>
      </c>
      <c r="F84" s="124" t="s">
        <v>494</v>
      </c>
      <c r="G84" s="124" t="s">
        <v>1040</v>
      </c>
      <c r="H84" s="122" t="s">
        <v>8</v>
      </c>
      <c r="I84" s="123">
        <v>21.077850000000002</v>
      </c>
      <c r="J84" s="123">
        <v>-101.65033</v>
      </c>
      <c r="K84" s="122"/>
      <c r="L84" s="125" t="str">
        <f t="shared" si="2"/>
        <v>Ver en Google Maps</v>
      </c>
      <c r="M84" s="122">
        <v>1</v>
      </c>
      <c r="N84" s="130"/>
      <c r="O84" s="109"/>
      <c r="P84" s="109"/>
      <c r="Q84" s="109"/>
      <c r="R84" s="109"/>
      <c r="S84" s="109"/>
      <c r="T84" s="109"/>
      <c r="U84" s="109"/>
      <c r="V84" s="109"/>
      <c r="W84" s="109"/>
      <c r="X84" s="109"/>
      <c r="Y84" s="109"/>
      <c r="Z84" s="109"/>
      <c r="AA84" s="109"/>
      <c r="AB84" s="109"/>
      <c r="AC84" s="109"/>
      <c r="AD84" s="110"/>
      <c r="AE84" s="109"/>
      <c r="AF84" s="151"/>
    </row>
    <row r="85" spans="1:32" x14ac:dyDescent="0.2">
      <c r="A85" s="112">
        <v>266</v>
      </c>
      <c r="B85" s="113" t="s">
        <v>956</v>
      </c>
      <c r="C85" s="114" t="s">
        <v>429</v>
      </c>
      <c r="D85" s="114" t="s">
        <v>17</v>
      </c>
      <c r="E85" s="115" t="s">
        <v>188</v>
      </c>
      <c r="F85" s="115" t="s">
        <v>495</v>
      </c>
      <c r="G85" s="115" t="s">
        <v>1041</v>
      </c>
      <c r="H85" s="113" t="s">
        <v>8</v>
      </c>
      <c r="I85" s="114">
        <v>21.150310000000001</v>
      </c>
      <c r="J85" s="114">
        <v>-101.73293</v>
      </c>
      <c r="K85" s="113" t="s">
        <v>139</v>
      </c>
      <c r="L85" s="116" t="str">
        <f t="shared" si="2"/>
        <v>Ver en Google Maps</v>
      </c>
      <c r="M85" s="113">
        <v>1</v>
      </c>
      <c r="N85" s="117">
        <v>45930</v>
      </c>
      <c r="O85" s="118">
        <f>DAY('BD1'!$N85)</f>
        <v>30</v>
      </c>
      <c r="P85" s="118">
        <f>MONTH('BD1'!$N85)</f>
        <v>9</v>
      </c>
      <c r="Q85" s="118">
        <f>YEAR('BD1'!$N85)</f>
        <v>2025</v>
      </c>
      <c r="R85" s="118">
        <v>1</v>
      </c>
      <c r="S85" s="118" t="s">
        <v>138</v>
      </c>
      <c r="T85" s="118" t="s">
        <v>138</v>
      </c>
      <c r="U85" s="118" t="s">
        <v>138</v>
      </c>
      <c r="V85" s="118" t="s">
        <v>138</v>
      </c>
      <c r="W85" s="118" t="s">
        <v>138</v>
      </c>
      <c r="X85" s="118" t="s">
        <v>138</v>
      </c>
      <c r="Y85" s="118" t="s">
        <v>138</v>
      </c>
      <c r="Z85" s="118" t="s">
        <v>138</v>
      </c>
      <c r="AA85" s="118">
        <v>63.86</v>
      </c>
      <c r="AB85" s="118">
        <v>30.63</v>
      </c>
      <c r="AC85" s="119" t="s">
        <v>967</v>
      </c>
      <c r="AD85" s="119" t="s">
        <v>954</v>
      </c>
      <c r="AE85" s="118">
        <f t="shared" si="3"/>
        <v>8</v>
      </c>
      <c r="AF85" s="152" t="str">
        <f>IF('BD1'!$AE85=8,"Estable",(IF('BD1'!$AE85=7,"Funcional con observaciones", (IF('BD1'!$AE85=6,"Funcional con observaciones",(IF('BD1'!$AE85=5,"Rendimiento bajo",(IF('BD1'!$AE85=4,"Parcialmente funcional",(IF('BD1'!$AE85=3,"Parcialmente funcional",(IF('BD1'!$AE85=2,"Inoperativo",(IF('BD1'!$AE85=1,"Inoperativo","Crítico")))))))))))))))</f>
        <v>Estable</v>
      </c>
    </row>
    <row r="86" spans="1:32" x14ac:dyDescent="0.2">
      <c r="A86" s="121">
        <v>267</v>
      </c>
      <c r="B86" s="122" t="s">
        <v>956</v>
      </c>
      <c r="C86" s="123" t="s">
        <v>429</v>
      </c>
      <c r="D86" s="123" t="s">
        <v>17</v>
      </c>
      <c r="E86" s="124" t="s">
        <v>51</v>
      </c>
      <c r="F86" s="124" t="s">
        <v>496</v>
      </c>
      <c r="G86" s="124" t="s">
        <v>1042</v>
      </c>
      <c r="H86" s="122" t="s">
        <v>8</v>
      </c>
      <c r="I86" s="123">
        <v>21.073090000000001</v>
      </c>
      <c r="J86" s="123">
        <v>-101.64436000000001</v>
      </c>
      <c r="K86" s="122"/>
      <c r="L86" s="125" t="str">
        <f t="shared" si="2"/>
        <v>Ver en Google Maps</v>
      </c>
      <c r="M86" s="122">
        <v>1</v>
      </c>
      <c r="N86" s="130"/>
      <c r="O86" s="109"/>
      <c r="P86" s="109"/>
      <c r="Q86" s="109"/>
      <c r="R86" s="109"/>
      <c r="S86" s="109"/>
      <c r="T86" s="109"/>
      <c r="U86" s="109"/>
      <c r="V86" s="109"/>
      <c r="W86" s="109"/>
      <c r="X86" s="109"/>
      <c r="Y86" s="109"/>
      <c r="Z86" s="109"/>
      <c r="AA86" s="109"/>
      <c r="AB86" s="109"/>
      <c r="AC86" s="109"/>
      <c r="AD86" s="110"/>
      <c r="AE86" s="109"/>
      <c r="AF86" s="151"/>
    </row>
    <row r="87" spans="1:32" x14ac:dyDescent="0.2">
      <c r="A87" s="112">
        <v>269</v>
      </c>
      <c r="B87" s="113" t="s">
        <v>956</v>
      </c>
      <c r="C87" s="114" t="s">
        <v>429</v>
      </c>
      <c r="D87" s="114" t="s">
        <v>17</v>
      </c>
      <c r="E87" s="115" t="s">
        <v>52</v>
      </c>
      <c r="F87" s="115" t="s">
        <v>497</v>
      </c>
      <c r="G87" s="115" t="s">
        <v>53</v>
      </c>
      <c r="H87" s="113" t="s">
        <v>8</v>
      </c>
      <c r="I87" s="114">
        <v>21.11683</v>
      </c>
      <c r="J87" s="114">
        <v>-101.6031</v>
      </c>
      <c r="K87" s="113" t="s">
        <v>139</v>
      </c>
      <c r="L87" s="116" t="str">
        <f t="shared" si="2"/>
        <v>Ver en Google Maps</v>
      </c>
      <c r="M87" s="113">
        <v>1</v>
      </c>
      <c r="N87" s="117">
        <v>45931</v>
      </c>
      <c r="O87" s="118">
        <f>DAY('BD1'!$N87)</f>
        <v>1</v>
      </c>
      <c r="P87" s="118">
        <f>MONTH('BD1'!$N87)</f>
        <v>10</v>
      </c>
      <c r="Q87" s="118">
        <f>YEAR('BD1'!$N87)</f>
        <v>2025</v>
      </c>
      <c r="R87" s="118">
        <v>1</v>
      </c>
      <c r="S87" s="118" t="s">
        <v>138</v>
      </c>
      <c r="T87" s="118" t="s">
        <v>138</v>
      </c>
      <c r="U87" s="118" t="s">
        <v>138</v>
      </c>
      <c r="V87" s="118" t="s">
        <v>138</v>
      </c>
      <c r="W87" s="118" t="s">
        <v>138</v>
      </c>
      <c r="X87" s="118" t="s">
        <v>138</v>
      </c>
      <c r="Y87" s="118" t="s">
        <v>138</v>
      </c>
      <c r="Z87" s="118" t="s">
        <v>138</v>
      </c>
      <c r="AA87" s="118">
        <v>99.43</v>
      </c>
      <c r="AB87" s="118">
        <v>73.41</v>
      </c>
      <c r="AC87" s="119" t="s">
        <v>967</v>
      </c>
      <c r="AD87" s="119" t="s">
        <v>957</v>
      </c>
      <c r="AE87" s="118">
        <f t="shared" si="3"/>
        <v>8</v>
      </c>
      <c r="AF87" s="152" t="str">
        <f>IF('BD1'!$AE87=8,"Estable",(IF('BD1'!$AE87=7,"Funcional con observaciones", (IF('BD1'!$AE87=6,"Funcional con observaciones",(IF('BD1'!$AE87=5,"Rendimiento bajo",(IF('BD1'!$AE87=4,"Parcialmente funcional",(IF('BD1'!$AE87=3,"Parcialmente funcional",(IF('BD1'!$AE87=2,"Inoperativo",(IF('BD1'!$AE87=1,"Inoperativo","Crítico")))))))))))))))</f>
        <v>Estable</v>
      </c>
    </row>
    <row r="88" spans="1:32" x14ac:dyDescent="0.2">
      <c r="A88" s="121">
        <v>274</v>
      </c>
      <c r="B88" s="122" t="s">
        <v>956</v>
      </c>
      <c r="C88" s="123" t="s">
        <v>429</v>
      </c>
      <c r="D88" s="123" t="s">
        <v>17</v>
      </c>
      <c r="E88" s="124" t="s">
        <v>54</v>
      </c>
      <c r="F88" s="124" t="s">
        <v>498</v>
      </c>
      <c r="G88" s="124" t="s">
        <v>1043</v>
      </c>
      <c r="H88" s="122" t="s">
        <v>8</v>
      </c>
      <c r="I88" s="123">
        <v>21.096453</v>
      </c>
      <c r="J88" s="123">
        <v>-101.598573</v>
      </c>
      <c r="K88" s="122" t="s">
        <v>139</v>
      </c>
      <c r="L88" s="125" t="str">
        <f t="shared" si="2"/>
        <v>Ver en Google Maps</v>
      </c>
      <c r="M88" s="122">
        <v>1</v>
      </c>
      <c r="N88" s="108">
        <v>45931</v>
      </c>
      <c r="O88" s="109">
        <f>DAY('BD1'!$N88)</f>
        <v>1</v>
      </c>
      <c r="P88" s="109">
        <f>MONTH('BD1'!$N88)</f>
        <v>10</v>
      </c>
      <c r="Q88" s="109">
        <f>YEAR('BD1'!$N88)</f>
        <v>2025</v>
      </c>
      <c r="R88" s="109">
        <v>1</v>
      </c>
      <c r="S88" s="109" t="s">
        <v>138</v>
      </c>
      <c r="T88" s="109" t="s">
        <v>138</v>
      </c>
      <c r="U88" s="109" t="s">
        <v>138</v>
      </c>
      <c r="V88" s="109" t="s">
        <v>138</v>
      </c>
      <c r="W88" s="109" t="s">
        <v>138</v>
      </c>
      <c r="X88" s="109" t="s">
        <v>138</v>
      </c>
      <c r="Y88" s="109" t="s">
        <v>934</v>
      </c>
      <c r="Z88" s="109" t="s">
        <v>138</v>
      </c>
      <c r="AA88" s="109">
        <v>20.2</v>
      </c>
      <c r="AB88" s="109">
        <v>9.1</v>
      </c>
      <c r="AC88" s="110" t="s">
        <v>970</v>
      </c>
      <c r="AD88" s="110" t="s">
        <v>954</v>
      </c>
      <c r="AE88" s="109">
        <f t="shared" si="3"/>
        <v>7</v>
      </c>
      <c r="AF88" s="151" t="str">
        <f>IF('BD1'!$AE88=8,"Estable",(IF('BD1'!$AE88=7,"Funcional con observaciones", (IF('BD1'!$AE88=6,"Funcional con observaciones",(IF('BD1'!$AE88=5,"Rendimiento bajo",(IF('BD1'!$AE88=4,"Parcialmente funcional",(IF('BD1'!$AE88=3,"Parcialmente funcional",(IF('BD1'!$AE88=2,"Inoperativo",(IF('BD1'!$AE88=1,"Inoperativo","Crítico")))))))))))))))</f>
        <v>Funcional con observaciones</v>
      </c>
    </row>
    <row r="89" spans="1:32" x14ac:dyDescent="0.2">
      <c r="A89" s="112">
        <v>275</v>
      </c>
      <c r="B89" s="113" t="s">
        <v>956</v>
      </c>
      <c r="C89" s="114" t="s">
        <v>429</v>
      </c>
      <c r="D89" s="114" t="s">
        <v>17</v>
      </c>
      <c r="E89" s="115" t="s">
        <v>189</v>
      </c>
      <c r="F89" s="115" t="s">
        <v>499</v>
      </c>
      <c r="G89" s="115" t="s">
        <v>1201</v>
      </c>
      <c r="H89" s="113" t="s">
        <v>8</v>
      </c>
      <c r="I89" s="114">
        <v>21.124459999999999</v>
      </c>
      <c r="J89" s="114">
        <v>-101.74466</v>
      </c>
      <c r="K89" s="113" t="s">
        <v>139</v>
      </c>
      <c r="L89" s="116" t="str">
        <f t="shared" si="2"/>
        <v>Ver en Google Maps</v>
      </c>
      <c r="M89" s="113">
        <v>1</v>
      </c>
      <c r="N89" s="117">
        <v>45930</v>
      </c>
      <c r="O89" s="118">
        <f>DAY('BD1'!$N89)</f>
        <v>30</v>
      </c>
      <c r="P89" s="118">
        <f>MONTH('BD1'!$N89)</f>
        <v>9</v>
      </c>
      <c r="Q89" s="118">
        <f>YEAR('BD1'!$N89)</f>
        <v>2025</v>
      </c>
      <c r="R89" s="118">
        <v>1</v>
      </c>
      <c r="S89" s="118" t="s">
        <v>138</v>
      </c>
      <c r="T89" s="118" t="s">
        <v>138</v>
      </c>
      <c r="U89" s="118" t="s">
        <v>138</v>
      </c>
      <c r="V89" s="118" t="s">
        <v>138</v>
      </c>
      <c r="W89" s="118" t="s">
        <v>138</v>
      </c>
      <c r="X89" s="118" t="s">
        <v>138</v>
      </c>
      <c r="Y89" s="118" t="s">
        <v>138</v>
      </c>
      <c r="Z89" s="118" t="s">
        <v>138</v>
      </c>
      <c r="AA89" s="118">
        <v>27.74</v>
      </c>
      <c r="AB89" s="118">
        <v>11.76</v>
      </c>
      <c r="AC89" s="119" t="s">
        <v>967</v>
      </c>
      <c r="AD89" s="119" t="s">
        <v>954</v>
      </c>
      <c r="AE89" s="118">
        <f t="shared" si="3"/>
        <v>8</v>
      </c>
      <c r="AF89" s="152" t="str">
        <f>IF('BD1'!$AE89=8,"Estable",(IF('BD1'!$AE89=7,"Funcional con observaciones", (IF('BD1'!$AE89=6,"Funcional con observaciones",(IF('BD1'!$AE89=5,"Rendimiento bajo",(IF('BD1'!$AE89=4,"Parcialmente funcional",(IF('BD1'!$AE89=3,"Parcialmente funcional",(IF('BD1'!$AE89=2,"Inoperativo",(IF('BD1'!$AE89=1,"Inoperativo","Crítico")))))))))))))))</f>
        <v>Estable</v>
      </c>
    </row>
    <row r="90" spans="1:32" x14ac:dyDescent="0.2">
      <c r="A90" s="121">
        <v>280</v>
      </c>
      <c r="B90" s="122" t="s">
        <v>956</v>
      </c>
      <c r="C90" s="123" t="s">
        <v>429</v>
      </c>
      <c r="D90" s="123" t="s">
        <v>15</v>
      </c>
      <c r="E90" s="124" t="s">
        <v>55</v>
      </c>
      <c r="F90" s="124" t="s">
        <v>500</v>
      </c>
      <c r="G90" s="124" t="s">
        <v>1202</v>
      </c>
      <c r="H90" s="122" t="s">
        <v>8</v>
      </c>
      <c r="I90" s="123">
        <v>21.095533</v>
      </c>
      <c r="J90" s="123">
        <v>-101.671768</v>
      </c>
      <c r="K90" s="122"/>
      <c r="L90" s="125" t="str">
        <f t="shared" si="2"/>
        <v>Ver en Google Maps</v>
      </c>
      <c r="M90" s="122">
        <v>2</v>
      </c>
      <c r="N90" s="130"/>
      <c r="O90" s="109"/>
      <c r="P90" s="109"/>
      <c r="Q90" s="109"/>
      <c r="R90" s="109"/>
      <c r="S90" s="109"/>
      <c r="T90" s="109"/>
      <c r="U90" s="109"/>
      <c r="V90" s="109"/>
      <c r="W90" s="109"/>
      <c r="X90" s="109"/>
      <c r="Y90" s="109"/>
      <c r="Z90" s="109"/>
      <c r="AA90" s="109"/>
      <c r="AB90" s="109"/>
      <c r="AC90" s="109"/>
      <c r="AD90" s="110"/>
      <c r="AE90" s="109"/>
      <c r="AF90" s="151"/>
    </row>
    <row r="91" spans="1:32" x14ac:dyDescent="0.2">
      <c r="A91" s="112">
        <v>281</v>
      </c>
      <c r="B91" s="113" t="s">
        <v>956</v>
      </c>
      <c r="C91" s="114" t="s">
        <v>429</v>
      </c>
      <c r="D91" s="114" t="s">
        <v>17</v>
      </c>
      <c r="E91" s="115" t="s">
        <v>56</v>
      </c>
      <c r="F91" s="115" t="s">
        <v>501</v>
      </c>
      <c r="G91" s="115" t="s">
        <v>1044</v>
      </c>
      <c r="H91" s="113" t="s">
        <v>8</v>
      </c>
      <c r="I91" s="114">
        <v>21.07761</v>
      </c>
      <c r="J91" s="114">
        <v>-101.62772</v>
      </c>
      <c r="K91" s="113"/>
      <c r="L91" s="116" t="str">
        <f t="shared" si="2"/>
        <v>Ver en Google Maps</v>
      </c>
      <c r="M91" s="113">
        <v>1</v>
      </c>
      <c r="N91" s="129"/>
      <c r="O91" s="118"/>
      <c r="P91" s="118"/>
      <c r="Q91" s="118"/>
      <c r="R91" s="118"/>
      <c r="S91" s="118"/>
      <c r="T91" s="118"/>
      <c r="U91" s="118"/>
      <c r="V91" s="118"/>
      <c r="W91" s="118"/>
      <c r="X91" s="118"/>
      <c r="Y91" s="118"/>
      <c r="Z91" s="118"/>
      <c r="AA91" s="118"/>
      <c r="AB91" s="118"/>
      <c r="AC91" s="118"/>
      <c r="AD91" s="119"/>
      <c r="AE91" s="118"/>
      <c r="AF91" s="152"/>
    </row>
    <row r="92" spans="1:32" x14ac:dyDescent="0.2">
      <c r="A92" s="121">
        <v>283</v>
      </c>
      <c r="B92" s="122" t="s">
        <v>956</v>
      </c>
      <c r="C92" s="123" t="s">
        <v>429</v>
      </c>
      <c r="D92" s="123" t="s">
        <v>17</v>
      </c>
      <c r="E92" s="124" t="s">
        <v>57</v>
      </c>
      <c r="F92" s="124" t="s">
        <v>502</v>
      </c>
      <c r="G92" s="124" t="s">
        <v>22</v>
      </c>
      <c r="H92" s="122" t="s">
        <v>8</v>
      </c>
      <c r="I92" s="123">
        <v>21.092449999999999</v>
      </c>
      <c r="J92" s="123">
        <v>-101.59121</v>
      </c>
      <c r="K92" s="122"/>
      <c r="L92" s="125" t="str">
        <f t="shared" si="2"/>
        <v>Ver en Google Maps</v>
      </c>
      <c r="M92" s="122">
        <v>1</v>
      </c>
      <c r="N92" s="130"/>
      <c r="O92" s="109"/>
      <c r="P92" s="109"/>
      <c r="Q92" s="109"/>
      <c r="R92" s="109"/>
      <c r="S92" s="109"/>
      <c r="T92" s="109"/>
      <c r="U92" s="109"/>
      <c r="V92" s="109"/>
      <c r="W92" s="109"/>
      <c r="X92" s="109"/>
      <c r="Y92" s="109"/>
      <c r="Z92" s="109"/>
      <c r="AA92" s="109"/>
      <c r="AB92" s="109"/>
      <c r="AC92" s="109"/>
      <c r="AD92" s="110"/>
      <c r="AE92" s="109"/>
      <c r="AF92" s="151"/>
    </row>
    <row r="93" spans="1:32" x14ac:dyDescent="0.2">
      <c r="A93" s="112">
        <v>285</v>
      </c>
      <c r="B93" s="113" t="s">
        <v>956</v>
      </c>
      <c r="C93" s="114" t="s">
        <v>429</v>
      </c>
      <c r="D93" s="114" t="s">
        <v>16</v>
      </c>
      <c r="E93" s="115" t="s">
        <v>58</v>
      </c>
      <c r="F93" s="115" t="s">
        <v>503</v>
      </c>
      <c r="G93" s="115" t="s">
        <v>59</v>
      </c>
      <c r="H93" s="113" t="s">
        <v>8</v>
      </c>
      <c r="I93" s="114">
        <v>21.08793</v>
      </c>
      <c r="J93" s="114">
        <v>-101.69023</v>
      </c>
      <c r="K93" s="113"/>
      <c r="L93" s="116" t="str">
        <f t="shared" si="2"/>
        <v>Ver en Google Maps</v>
      </c>
      <c r="M93" s="113">
        <v>1</v>
      </c>
      <c r="N93" s="129"/>
      <c r="O93" s="118"/>
      <c r="P93" s="118"/>
      <c r="Q93" s="118"/>
      <c r="R93" s="118"/>
      <c r="S93" s="118"/>
      <c r="T93" s="118"/>
      <c r="U93" s="118"/>
      <c r="V93" s="118"/>
      <c r="W93" s="118"/>
      <c r="X93" s="118"/>
      <c r="Y93" s="118"/>
      <c r="Z93" s="118"/>
      <c r="AA93" s="118"/>
      <c r="AB93" s="118"/>
      <c r="AC93" s="118"/>
      <c r="AD93" s="119"/>
      <c r="AE93" s="118"/>
      <c r="AF93" s="152"/>
    </row>
    <row r="94" spans="1:32" x14ac:dyDescent="0.2">
      <c r="A94" s="121">
        <v>286</v>
      </c>
      <c r="B94" s="122" t="s">
        <v>956</v>
      </c>
      <c r="C94" s="123" t="s">
        <v>429</v>
      </c>
      <c r="D94" s="123" t="s">
        <v>16</v>
      </c>
      <c r="E94" s="124" t="s">
        <v>60</v>
      </c>
      <c r="F94" s="124" t="s">
        <v>504</v>
      </c>
      <c r="G94" s="124" t="s">
        <v>1045</v>
      </c>
      <c r="H94" s="122" t="s">
        <v>8</v>
      </c>
      <c r="I94" s="123">
        <v>21.096219999999999</v>
      </c>
      <c r="J94" s="123">
        <v>-101.63906</v>
      </c>
      <c r="K94" s="122"/>
      <c r="L94" s="125" t="str">
        <f t="shared" si="2"/>
        <v>Ver en Google Maps</v>
      </c>
      <c r="M94" s="122">
        <v>1</v>
      </c>
      <c r="N94" s="130"/>
      <c r="O94" s="109"/>
      <c r="P94" s="109"/>
      <c r="Q94" s="109"/>
      <c r="R94" s="109"/>
      <c r="S94" s="109"/>
      <c r="T94" s="109"/>
      <c r="U94" s="109"/>
      <c r="V94" s="109"/>
      <c r="W94" s="109"/>
      <c r="X94" s="109"/>
      <c r="Y94" s="109"/>
      <c r="Z94" s="109"/>
      <c r="AA94" s="109"/>
      <c r="AB94" s="109"/>
      <c r="AC94" s="109"/>
      <c r="AD94" s="110"/>
      <c r="AE94" s="109"/>
      <c r="AF94" s="151"/>
    </row>
    <row r="95" spans="1:32" x14ac:dyDescent="0.2">
      <c r="A95" s="112">
        <v>287</v>
      </c>
      <c r="B95" s="113" t="s">
        <v>956</v>
      </c>
      <c r="C95" s="114" t="s">
        <v>429</v>
      </c>
      <c r="D95" s="114" t="s">
        <v>16</v>
      </c>
      <c r="E95" s="115" t="s">
        <v>190</v>
      </c>
      <c r="F95" s="115" t="s">
        <v>505</v>
      </c>
      <c r="G95" s="115" t="s">
        <v>1046</v>
      </c>
      <c r="H95" s="113" t="s">
        <v>8</v>
      </c>
      <c r="I95" s="114">
        <v>21.14207</v>
      </c>
      <c r="J95" s="114">
        <v>-101.67757</v>
      </c>
      <c r="K95" s="113" t="s">
        <v>139</v>
      </c>
      <c r="L95" s="116" t="str">
        <f t="shared" si="2"/>
        <v>Ver en Google Maps</v>
      </c>
      <c r="M95" s="113">
        <v>1</v>
      </c>
      <c r="N95" s="117">
        <v>45929</v>
      </c>
      <c r="O95" s="118">
        <f>DAY('BD1'!$N95)</f>
        <v>29</v>
      </c>
      <c r="P95" s="118">
        <f>MONTH('BD1'!$N95)</f>
        <v>9</v>
      </c>
      <c r="Q95" s="118">
        <f>YEAR('BD1'!$N95)</f>
        <v>2025</v>
      </c>
      <c r="R95" s="118">
        <v>1</v>
      </c>
      <c r="S95" s="118" t="s">
        <v>138</v>
      </c>
      <c r="T95" s="118" t="s">
        <v>138</v>
      </c>
      <c r="U95" s="118" t="s">
        <v>138</v>
      </c>
      <c r="V95" s="118" t="s">
        <v>138</v>
      </c>
      <c r="W95" s="118" t="s">
        <v>138</v>
      </c>
      <c r="X95" s="118" t="s">
        <v>138</v>
      </c>
      <c r="Y95" s="118" t="s">
        <v>138</v>
      </c>
      <c r="Z95" s="118" t="s">
        <v>138</v>
      </c>
      <c r="AA95" s="118">
        <v>65.36</v>
      </c>
      <c r="AB95" s="118">
        <v>76.680000000000007</v>
      </c>
      <c r="AC95" s="119" t="s">
        <v>967</v>
      </c>
      <c r="AD95" s="119" t="s">
        <v>954</v>
      </c>
      <c r="AE95" s="118">
        <f t="shared" si="3"/>
        <v>8</v>
      </c>
      <c r="AF95" s="152" t="str">
        <f>IF('BD1'!$AE95=8,"Estable",(IF('BD1'!$AE95=7,"Funcional con observaciones", (IF('BD1'!$AE95=6,"Funcional con observaciones",(IF('BD1'!$AE95=5,"Rendimiento bajo",(IF('BD1'!$AE95=4,"Parcialmente funcional",(IF('BD1'!$AE95=3,"Parcialmente funcional",(IF('BD1'!$AE95=2,"Inoperativo",(IF('BD1'!$AE95=1,"Inoperativo","Crítico")))))))))))))))</f>
        <v>Estable</v>
      </c>
    </row>
    <row r="96" spans="1:32" x14ac:dyDescent="0.2">
      <c r="A96" s="121">
        <v>295</v>
      </c>
      <c r="B96" s="122" t="s">
        <v>956</v>
      </c>
      <c r="C96" s="123" t="s">
        <v>429</v>
      </c>
      <c r="D96" s="123" t="s">
        <v>16</v>
      </c>
      <c r="E96" s="124" t="s">
        <v>61</v>
      </c>
      <c r="F96" s="124" t="s">
        <v>506</v>
      </c>
      <c r="G96" s="124" t="s">
        <v>1047</v>
      </c>
      <c r="H96" s="122" t="s">
        <v>8</v>
      </c>
      <c r="I96" s="123">
        <v>21.144442000000002</v>
      </c>
      <c r="J96" s="123">
        <v>-101.7038</v>
      </c>
      <c r="K96" s="122" t="s">
        <v>139</v>
      </c>
      <c r="L96" s="125" t="str">
        <f t="shared" si="2"/>
        <v>Ver en Google Maps</v>
      </c>
      <c r="M96" s="122">
        <v>1</v>
      </c>
      <c r="N96" s="108">
        <v>45933</v>
      </c>
      <c r="O96" s="109">
        <f>DAY('BD1'!$N96)</f>
        <v>3</v>
      </c>
      <c r="P96" s="109">
        <f>MONTH('BD1'!$N96)</f>
        <v>10</v>
      </c>
      <c r="Q96" s="109">
        <f>YEAR('BD1'!$N96)</f>
        <v>2025</v>
      </c>
      <c r="R96" s="109">
        <v>1</v>
      </c>
      <c r="S96" s="109" t="s">
        <v>138</v>
      </c>
      <c r="T96" s="109" t="s">
        <v>138</v>
      </c>
      <c r="U96" s="109" t="s">
        <v>138</v>
      </c>
      <c r="V96" s="109" t="s">
        <v>138</v>
      </c>
      <c r="W96" s="109" t="s">
        <v>138</v>
      </c>
      <c r="X96" s="109" t="s">
        <v>138</v>
      </c>
      <c r="Y96" s="109" t="s">
        <v>138</v>
      </c>
      <c r="Z96" s="109" t="s">
        <v>138</v>
      </c>
      <c r="AA96" s="109">
        <v>16.989999999999998</v>
      </c>
      <c r="AB96" s="109">
        <v>33.479999999999997</v>
      </c>
      <c r="AC96" s="110" t="s">
        <v>967</v>
      </c>
      <c r="AD96" s="110" t="s">
        <v>957</v>
      </c>
      <c r="AE96" s="109">
        <f t="shared" si="3"/>
        <v>8</v>
      </c>
      <c r="AF96" s="151" t="str">
        <f>IF('BD1'!$AE96=8,"Estable",(IF('BD1'!$AE96=7,"Funcional con observaciones", (IF('BD1'!$AE96=6,"Funcional con observaciones",(IF('BD1'!$AE96=5,"Rendimiento bajo",(IF('BD1'!$AE96=4,"Parcialmente funcional",(IF('BD1'!$AE96=3,"Parcialmente funcional",(IF('BD1'!$AE96=2,"Inoperativo",(IF('BD1'!$AE96=1,"Inoperativo","Crítico")))))))))))))))</f>
        <v>Estable</v>
      </c>
    </row>
    <row r="97" spans="1:32" x14ac:dyDescent="0.2">
      <c r="A97" s="112">
        <v>296</v>
      </c>
      <c r="B97" s="113" t="s">
        <v>956</v>
      </c>
      <c r="C97" s="114" t="s">
        <v>429</v>
      </c>
      <c r="D97" s="114" t="s">
        <v>16</v>
      </c>
      <c r="E97" s="115" t="s">
        <v>191</v>
      </c>
      <c r="F97" s="115" t="s">
        <v>507</v>
      </c>
      <c r="G97" s="115" t="s">
        <v>23</v>
      </c>
      <c r="H97" s="113" t="s">
        <v>8</v>
      </c>
      <c r="I97" s="114">
        <v>21.09517</v>
      </c>
      <c r="J97" s="114">
        <v>-101.71593</v>
      </c>
      <c r="K97" s="113"/>
      <c r="L97" s="116" t="str">
        <f t="shared" si="2"/>
        <v>Ver en Google Maps</v>
      </c>
      <c r="M97" s="113">
        <v>1</v>
      </c>
      <c r="N97" s="129"/>
      <c r="O97" s="118"/>
      <c r="P97" s="118"/>
      <c r="Q97" s="118"/>
      <c r="R97" s="118"/>
      <c r="S97" s="118"/>
      <c r="T97" s="118"/>
      <c r="U97" s="118"/>
      <c r="V97" s="118"/>
      <c r="W97" s="118"/>
      <c r="X97" s="118"/>
      <c r="Y97" s="118"/>
      <c r="Z97" s="118"/>
      <c r="AA97" s="118"/>
      <c r="AB97" s="118"/>
      <c r="AC97" s="118"/>
      <c r="AD97" s="119"/>
      <c r="AE97" s="118"/>
      <c r="AF97" s="152"/>
    </row>
    <row r="98" spans="1:32" x14ac:dyDescent="0.2">
      <c r="A98" s="121">
        <v>298</v>
      </c>
      <c r="B98" s="122" t="s">
        <v>956</v>
      </c>
      <c r="C98" s="123" t="s">
        <v>429</v>
      </c>
      <c r="D98" s="123" t="s">
        <v>16</v>
      </c>
      <c r="E98" s="124" t="s">
        <v>192</v>
      </c>
      <c r="F98" s="124" t="s">
        <v>508</v>
      </c>
      <c r="G98" s="124" t="s">
        <v>1048</v>
      </c>
      <c r="H98" s="122" t="s">
        <v>8</v>
      </c>
      <c r="I98" s="123">
        <v>21.100899999999999</v>
      </c>
      <c r="J98" s="123">
        <v>-101.69466</v>
      </c>
      <c r="K98" s="122" t="s">
        <v>139</v>
      </c>
      <c r="L98" s="125" t="str">
        <f t="shared" si="2"/>
        <v>Ver en Google Maps</v>
      </c>
      <c r="M98" s="122">
        <v>2</v>
      </c>
      <c r="N98" s="108">
        <v>45932</v>
      </c>
      <c r="O98" s="109">
        <f>DAY('BD1'!$N98)</f>
        <v>2</v>
      </c>
      <c r="P98" s="109">
        <f>MONTH('BD1'!$N98)</f>
        <v>10</v>
      </c>
      <c r="Q98" s="109">
        <f>YEAR('BD1'!$N98)</f>
        <v>2025</v>
      </c>
      <c r="R98" s="109">
        <v>1</v>
      </c>
      <c r="S98" s="109" t="s">
        <v>138</v>
      </c>
      <c r="T98" s="109" t="s">
        <v>138</v>
      </c>
      <c r="U98" s="109" t="s">
        <v>138</v>
      </c>
      <c r="V98" s="109" t="s">
        <v>138</v>
      </c>
      <c r="W98" s="109" t="s">
        <v>138</v>
      </c>
      <c r="X98" s="109" t="s">
        <v>138</v>
      </c>
      <c r="Y98" s="109" t="s">
        <v>138</v>
      </c>
      <c r="Z98" s="109" t="s">
        <v>138</v>
      </c>
      <c r="AA98" s="109">
        <v>101.82</v>
      </c>
      <c r="AB98" s="109">
        <v>69.64</v>
      </c>
      <c r="AC98" s="110" t="s">
        <v>967</v>
      </c>
      <c r="AD98" s="110" t="s">
        <v>954</v>
      </c>
      <c r="AE98" s="109">
        <f t="shared" si="3"/>
        <v>8</v>
      </c>
      <c r="AF98" s="151" t="str">
        <f>IF('BD1'!$AE98=8,"Estable",(IF('BD1'!$AE98=7,"Funcional con observaciones", (IF('BD1'!$AE98=6,"Funcional con observaciones",(IF('BD1'!$AE98=5,"Rendimiento bajo",(IF('BD1'!$AE98=4,"Parcialmente funcional",(IF('BD1'!$AE98=3,"Parcialmente funcional",(IF('BD1'!$AE98=2,"Inoperativo",(IF('BD1'!$AE98=1,"Inoperativo","Crítico")))))))))))))))</f>
        <v>Estable</v>
      </c>
    </row>
    <row r="99" spans="1:32" x14ac:dyDescent="0.2">
      <c r="A99" s="112">
        <v>305</v>
      </c>
      <c r="B99" s="113" t="s">
        <v>956</v>
      </c>
      <c r="C99" s="114" t="s">
        <v>429</v>
      </c>
      <c r="D99" s="114" t="s">
        <v>16</v>
      </c>
      <c r="E99" s="115" t="s">
        <v>193</v>
      </c>
      <c r="F99" s="115" t="s">
        <v>509</v>
      </c>
      <c r="G99" s="115" t="s">
        <v>194</v>
      </c>
      <c r="H99" s="113" t="s">
        <v>8</v>
      </c>
      <c r="I99" s="114">
        <v>21.155850000000001</v>
      </c>
      <c r="J99" s="114">
        <v>-101.69033</v>
      </c>
      <c r="K99" s="113" t="s">
        <v>139</v>
      </c>
      <c r="L99" s="116" t="str">
        <f t="shared" si="2"/>
        <v>Ver en Google Maps</v>
      </c>
      <c r="M99" s="113">
        <v>1</v>
      </c>
      <c r="N99" s="117">
        <v>45929</v>
      </c>
      <c r="O99" s="118">
        <f>DAY('BD1'!$N99)</f>
        <v>29</v>
      </c>
      <c r="P99" s="118">
        <f>MONTH('BD1'!$N99)</f>
        <v>9</v>
      </c>
      <c r="Q99" s="118">
        <f>YEAR('BD1'!$N99)</f>
        <v>2025</v>
      </c>
      <c r="R99" s="118">
        <v>1</v>
      </c>
      <c r="S99" s="118" t="s">
        <v>138</v>
      </c>
      <c r="T99" s="118" t="s">
        <v>138</v>
      </c>
      <c r="U99" s="118" t="s">
        <v>138</v>
      </c>
      <c r="V99" s="118" t="s">
        <v>934</v>
      </c>
      <c r="W99" s="118" t="s">
        <v>138</v>
      </c>
      <c r="X99" s="118" t="s">
        <v>138</v>
      </c>
      <c r="Y99" s="118" t="s">
        <v>934</v>
      </c>
      <c r="Z99" s="118" t="s">
        <v>138</v>
      </c>
      <c r="AA99" s="118">
        <v>18.329999999999998</v>
      </c>
      <c r="AB99" s="118">
        <v>24.28</v>
      </c>
      <c r="AC99" s="119" t="s">
        <v>936</v>
      </c>
      <c r="AD99" s="119" t="s">
        <v>954</v>
      </c>
      <c r="AE99" s="118">
        <f t="shared" si="3"/>
        <v>6</v>
      </c>
      <c r="AF99" s="152" t="str">
        <f>IF('BD1'!$AE99=8,"Estable",(IF('BD1'!$AE99=7,"Funcional con observaciones", (IF('BD1'!$AE99=6,"Funcional con observaciones",(IF('BD1'!$AE99=5,"Rendimiento bajo",(IF('BD1'!$AE99=4,"Parcialmente funcional",(IF('BD1'!$AE99=3,"Parcialmente funcional",(IF('BD1'!$AE99=2,"Inoperativo",(IF('BD1'!$AE99=1,"Inoperativo","Crítico")))))))))))))))</f>
        <v>Funcional con observaciones</v>
      </c>
    </row>
    <row r="100" spans="1:32" x14ac:dyDescent="0.2">
      <c r="A100" s="121">
        <v>307</v>
      </c>
      <c r="B100" s="122" t="s">
        <v>956</v>
      </c>
      <c r="C100" s="123" t="s">
        <v>429</v>
      </c>
      <c r="D100" s="123" t="s">
        <v>16</v>
      </c>
      <c r="E100" s="124" t="s">
        <v>62</v>
      </c>
      <c r="F100" s="124" t="s">
        <v>510</v>
      </c>
      <c r="G100" s="124" t="s">
        <v>1049</v>
      </c>
      <c r="H100" s="122" t="s">
        <v>8</v>
      </c>
      <c r="I100" s="123">
        <v>21.103490000000001</v>
      </c>
      <c r="J100" s="123">
        <v>-101.66767</v>
      </c>
      <c r="K100" s="122" t="s">
        <v>139</v>
      </c>
      <c r="L100" s="125" t="str">
        <f t="shared" si="2"/>
        <v>Ver en Google Maps</v>
      </c>
      <c r="M100" s="122">
        <v>1</v>
      </c>
      <c r="N100" s="108">
        <v>45934</v>
      </c>
      <c r="O100" s="109">
        <f>DAY('BD1'!$N100)</f>
        <v>4</v>
      </c>
      <c r="P100" s="109">
        <f>MONTH('BD1'!$N100)</f>
        <v>10</v>
      </c>
      <c r="Q100" s="109">
        <f>YEAR('BD1'!$N100)</f>
        <v>2025</v>
      </c>
      <c r="R100" s="109">
        <v>1</v>
      </c>
      <c r="S100" s="109" t="s">
        <v>138</v>
      </c>
      <c r="T100" s="109" t="s">
        <v>138</v>
      </c>
      <c r="U100" s="109" t="s">
        <v>138</v>
      </c>
      <c r="V100" s="109" t="s">
        <v>138</v>
      </c>
      <c r="W100" s="109" t="s">
        <v>138</v>
      </c>
      <c r="X100" s="109" t="s">
        <v>138</v>
      </c>
      <c r="Y100" s="109" t="s">
        <v>138</v>
      </c>
      <c r="Z100" s="109" t="s">
        <v>138</v>
      </c>
      <c r="AA100" s="109">
        <v>66.58</v>
      </c>
      <c r="AB100" s="109">
        <v>25.95</v>
      </c>
      <c r="AC100" s="110" t="s">
        <v>967</v>
      </c>
      <c r="AD100" s="110" t="s">
        <v>954</v>
      </c>
      <c r="AE100" s="109">
        <f t="shared" si="3"/>
        <v>8</v>
      </c>
      <c r="AF100" s="151" t="str">
        <f>IF('BD1'!$AE100=8,"Estable",(IF('BD1'!$AE100=7,"Funcional con observaciones", (IF('BD1'!$AE100=6,"Funcional con observaciones",(IF('BD1'!$AE100=5,"Rendimiento bajo",(IF('BD1'!$AE100=4,"Parcialmente funcional",(IF('BD1'!$AE100=3,"Parcialmente funcional",(IF('BD1'!$AE100=2,"Inoperativo",(IF('BD1'!$AE100=1,"Inoperativo","Crítico")))))))))))))))</f>
        <v>Estable</v>
      </c>
    </row>
    <row r="101" spans="1:32" x14ac:dyDescent="0.2">
      <c r="A101" s="112">
        <v>312</v>
      </c>
      <c r="B101" s="113" t="s">
        <v>956</v>
      </c>
      <c r="C101" s="114" t="s">
        <v>429</v>
      </c>
      <c r="D101" s="114" t="s">
        <v>16</v>
      </c>
      <c r="E101" s="115" t="s">
        <v>63</v>
      </c>
      <c r="F101" s="115" t="s">
        <v>511</v>
      </c>
      <c r="G101" s="115" t="s">
        <v>1050</v>
      </c>
      <c r="H101" s="113" t="s">
        <v>8</v>
      </c>
      <c r="I101" s="114">
        <v>21.12172</v>
      </c>
      <c r="J101" s="114">
        <v>-101.70778</v>
      </c>
      <c r="K101" s="113" t="s">
        <v>139</v>
      </c>
      <c r="L101" s="116" t="str">
        <f t="shared" si="2"/>
        <v>Ver en Google Maps</v>
      </c>
      <c r="M101" s="113">
        <v>2</v>
      </c>
      <c r="N101" s="117">
        <v>45933</v>
      </c>
      <c r="O101" s="118">
        <f>DAY('BD1'!$N101)</f>
        <v>3</v>
      </c>
      <c r="P101" s="118">
        <f>MONTH('BD1'!$N101)</f>
        <v>10</v>
      </c>
      <c r="Q101" s="118">
        <f>YEAR('BD1'!$N101)</f>
        <v>2025</v>
      </c>
      <c r="R101" s="118">
        <v>1</v>
      </c>
      <c r="S101" s="118" t="s">
        <v>138</v>
      </c>
      <c r="T101" s="118" t="s">
        <v>138</v>
      </c>
      <c r="U101" s="118" t="s">
        <v>138</v>
      </c>
      <c r="V101" s="118" t="s">
        <v>138</v>
      </c>
      <c r="W101" s="118" t="s">
        <v>138</v>
      </c>
      <c r="X101" s="118" t="s">
        <v>138</v>
      </c>
      <c r="Y101" s="118" t="s">
        <v>138</v>
      </c>
      <c r="Z101" s="118" t="s">
        <v>934</v>
      </c>
      <c r="AA101" s="118">
        <v>0</v>
      </c>
      <c r="AB101" s="118">
        <v>0</v>
      </c>
      <c r="AC101" s="119" t="s">
        <v>935</v>
      </c>
      <c r="AD101" s="119" t="s">
        <v>954</v>
      </c>
      <c r="AE101" s="118">
        <f t="shared" si="3"/>
        <v>7</v>
      </c>
      <c r="AF101" s="152" t="str">
        <f>IF('BD1'!$AE101=8,"Estable",(IF('BD1'!$AE101=7,"Funcional con observaciones", (IF('BD1'!$AE101=6,"Funcional con observaciones",(IF('BD1'!$AE101=5,"Rendimiento bajo",(IF('BD1'!$AE101=4,"Parcialmente funcional",(IF('BD1'!$AE101=3,"Parcialmente funcional",(IF('BD1'!$AE101=2,"Inoperativo",(IF('BD1'!$AE101=1,"Inoperativo","Crítico")))))))))))))))</f>
        <v>Funcional con observaciones</v>
      </c>
    </row>
    <row r="102" spans="1:32" x14ac:dyDescent="0.2">
      <c r="A102" s="121">
        <v>313</v>
      </c>
      <c r="B102" s="122" t="s">
        <v>956</v>
      </c>
      <c r="C102" s="123" t="s">
        <v>429</v>
      </c>
      <c r="D102" s="123" t="s">
        <v>16</v>
      </c>
      <c r="E102" s="124" t="s">
        <v>64</v>
      </c>
      <c r="F102" s="124" t="s">
        <v>512</v>
      </c>
      <c r="G102" s="124" t="s">
        <v>1051</v>
      </c>
      <c r="H102" s="122" t="s">
        <v>8</v>
      </c>
      <c r="I102" s="123">
        <v>21.119</v>
      </c>
      <c r="J102" s="123">
        <v>-101.65036000000001</v>
      </c>
      <c r="K102" s="122" t="s">
        <v>139</v>
      </c>
      <c r="L102" s="125" t="str">
        <f t="shared" si="2"/>
        <v>Ver en Google Maps</v>
      </c>
      <c r="M102" s="122">
        <v>1</v>
      </c>
      <c r="N102" s="108">
        <v>45931</v>
      </c>
      <c r="O102" s="109">
        <f>DAY('BD1'!$N102)</f>
        <v>1</v>
      </c>
      <c r="P102" s="109">
        <f>MONTH('BD1'!$N102)</f>
        <v>10</v>
      </c>
      <c r="Q102" s="109">
        <f>YEAR('BD1'!$N102)</f>
        <v>2025</v>
      </c>
      <c r="R102" s="109">
        <v>1</v>
      </c>
      <c r="S102" s="109" t="s">
        <v>138</v>
      </c>
      <c r="T102" s="109" t="s">
        <v>138</v>
      </c>
      <c r="U102" s="109" t="s">
        <v>138</v>
      </c>
      <c r="V102" s="109" t="s">
        <v>138</v>
      </c>
      <c r="W102" s="109" t="s">
        <v>138</v>
      </c>
      <c r="X102" s="109" t="s">
        <v>138</v>
      </c>
      <c r="Y102" s="109" t="s">
        <v>138</v>
      </c>
      <c r="Z102" s="109" t="s">
        <v>138</v>
      </c>
      <c r="AA102" s="109">
        <v>115.42</v>
      </c>
      <c r="AB102" s="109">
        <v>31.85</v>
      </c>
      <c r="AC102" s="110" t="s">
        <v>967</v>
      </c>
      <c r="AD102" s="110" t="s">
        <v>954</v>
      </c>
      <c r="AE102" s="109">
        <f t="shared" si="3"/>
        <v>8</v>
      </c>
      <c r="AF102" s="151" t="str">
        <f>IF('BD1'!$AE102=8,"Estable",(IF('BD1'!$AE102=7,"Funcional con observaciones", (IF('BD1'!$AE102=6,"Funcional con observaciones",(IF('BD1'!$AE102=5,"Rendimiento bajo",(IF('BD1'!$AE102=4,"Parcialmente funcional",(IF('BD1'!$AE102=3,"Parcialmente funcional",(IF('BD1'!$AE102=2,"Inoperativo",(IF('BD1'!$AE102=1,"Inoperativo","Crítico")))))))))))))))</f>
        <v>Estable</v>
      </c>
    </row>
    <row r="103" spans="1:32" x14ac:dyDescent="0.2">
      <c r="A103" s="112">
        <v>314</v>
      </c>
      <c r="B103" s="113" t="s">
        <v>956</v>
      </c>
      <c r="C103" s="114" t="s">
        <v>429</v>
      </c>
      <c r="D103" s="114" t="s">
        <v>16</v>
      </c>
      <c r="E103" s="115" t="s">
        <v>195</v>
      </c>
      <c r="F103" s="115" t="s">
        <v>513</v>
      </c>
      <c r="G103" s="115" t="s">
        <v>1052</v>
      </c>
      <c r="H103" s="113" t="s">
        <v>8</v>
      </c>
      <c r="I103" s="114">
        <v>21.112760000000002</v>
      </c>
      <c r="J103" s="114">
        <v>-101.70654</v>
      </c>
      <c r="K103" s="113" t="s">
        <v>139</v>
      </c>
      <c r="L103" s="116" t="str">
        <f t="shared" si="2"/>
        <v>Ver en Google Maps</v>
      </c>
      <c r="M103" s="113">
        <v>1</v>
      </c>
      <c r="N103" s="117">
        <v>45940</v>
      </c>
      <c r="O103" s="118">
        <f>DAY('BD1'!$N103)</f>
        <v>10</v>
      </c>
      <c r="P103" s="118">
        <f>MONTH('BD1'!$N103)</f>
        <v>10</v>
      </c>
      <c r="Q103" s="118">
        <f>YEAR('BD1'!$N103)</f>
        <v>2025</v>
      </c>
      <c r="R103" s="118">
        <v>1</v>
      </c>
      <c r="S103" s="118" t="s">
        <v>138</v>
      </c>
      <c r="T103" s="118" t="s">
        <v>138</v>
      </c>
      <c r="U103" s="118" t="s">
        <v>138</v>
      </c>
      <c r="V103" s="118" t="s">
        <v>138</v>
      </c>
      <c r="W103" s="118" t="s">
        <v>138</v>
      </c>
      <c r="X103" s="118" t="s">
        <v>934</v>
      </c>
      <c r="Y103" s="118" t="s">
        <v>138</v>
      </c>
      <c r="Z103" s="118" t="s">
        <v>934</v>
      </c>
      <c r="AA103" s="118">
        <v>8.15</v>
      </c>
      <c r="AB103" s="118">
        <v>30.61</v>
      </c>
      <c r="AC103" s="119" t="s">
        <v>1420</v>
      </c>
      <c r="AD103" s="119" t="s">
        <v>957</v>
      </c>
      <c r="AE103" s="118">
        <f t="shared" si="3"/>
        <v>6</v>
      </c>
      <c r="AF103" s="152" t="str">
        <f>IF('BD1'!$AE103=8,"Estable",(IF('BD1'!$AE103=7,"Funcional con observaciones", (IF('BD1'!$AE103=6,"Funcional con observaciones",(IF('BD1'!$AE103=5,"Rendimiento bajo",(IF('BD1'!$AE103=4,"Parcialmente funcional",(IF('BD1'!$AE103=3,"Parcialmente funcional",(IF('BD1'!$AE103=2,"Inoperativo",(IF('BD1'!$AE103=1,"Inoperativo","Crítico")))))))))))))))</f>
        <v>Funcional con observaciones</v>
      </c>
    </row>
    <row r="104" spans="1:32" x14ac:dyDescent="0.2">
      <c r="A104" s="121">
        <v>315</v>
      </c>
      <c r="B104" s="122" t="s">
        <v>956</v>
      </c>
      <c r="C104" s="123" t="s">
        <v>429</v>
      </c>
      <c r="D104" s="123" t="s">
        <v>16</v>
      </c>
      <c r="E104" s="124" t="s">
        <v>196</v>
      </c>
      <c r="F104" s="124" t="s">
        <v>514</v>
      </c>
      <c r="G104" s="124" t="s">
        <v>1053</v>
      </c>
      <c r="H104" s="122" t="s">
        <v>8</v>
      </c>
      <c r="I104" s="123">
        <v>21.094304999999999</v>
      </c>
      <c r="J104" s="123">
        <v>-101.695171</v>
      </c>
      <c r="K104" s="122"/>
      <c r="L104" s="125" t="str">
        <f t="shared" si="2"/>
        <v>Ver en Google Maps</v>
      </c>
      <c r="M104" s="122">
        <v>1</v>
      </c>
      <c r="N104" s="130"/>
      <c r="O104" s="109"/>
      <c r="P104" s="109"/>
      <c r="Q104" s="109"/>
      <c r="R104" s="109"/>
      <c r="S104" s="109"/>
      <c r="T104" s="109"/>
      <c r="U104" s="109"/>
      <c r="V104" s="109"/>
      <c r="W104" s="109"/>
      <c r="X104" s="109"/>
      <c r="Y104" s="109"/>
      <c r="Z104" s="109"/>
      <c r="AA104" s="109"/>
      <c r="AB104" s="109"/>
      <c r="AC104" s="109"/>
      <c r="AD104" s="110"/>
      <c r="AE104" s="109"/>
      <c r="AF104" s="151"/>
    </row>
    <row r="105" spans="1:32" x14ac:dyDescent="0.2">
      <c r="A105" s="112">
        <v>322</v>
      </c>
      <c r="B105" s="113" t="s">
        <v>956</v>
      </c>
      <c r="C105" s="114" t="s">
        <v>429</v>
      </c>
      <c r="D105" s="114" t="s">
        <v>16</v>
      </c>
      <c r="E105" s="115" t="s">
        <v>65</v>
      </c>
      <c r="F105" s="115" t="s">
        <v>515</v>
      </c>
      <c r="G105" s="115" t="s">
        <v>1054</v>
      </c>
      <c r="H105" s="113" t="s">
        <v>8</v>
      </c>
      <c r="I105" s="114">
        <v>21.109000000000002</v>
      </c>
      <c r="J105" s="114">
        <v>-101.64915000000001</v>
      </c>
      <c r="K105" s="113" t="s">
        <v>139</v>
      </c>
      <c r="L105" s="116" t="str">
        <f t="shared" si="2"/>
        <v>Ver en Google Maps</v>
      </c>
      <c r="M105" s="113">
        <v>2</v>
      </c>
      <c r="N105" s="117">
        <v>45934</v>
      </c>
      <c r="O105" s="118">
        <f>DAY('BD1'!$N105)</f>
        <v>4</v>
      </c>
      <c r="P105" s="118">
        <f>MONTH('BD1'!$N105)</f>
        <v>10</v>
      </c>
      <c r="Q105" s="118">
        <f>YEAR('BD1'!$N105)</f>
        <v>2025</v>
      </c>
      <c r="R105" s="118">
        <v>1</v>
      </c>
      <c r="S105" s="118" t="s">
        <v>138</v>
      </c>
      <c r="T105" s="118" t="s">
        <v>138</v>
      </c>
      <c r="U105" s="118" t="s">
        <v>138</v>
      </c>
      <c r="V105" s="118" t="s">
        <v>138</v>
      </c>
      <c r="W105" s="118" t="s">
        <v>138</v>
      </c>
      <c r="X105" s="118" t="s">
        <v>138</v>
      </c>
      <c r="Y105" s="118" t="s">
        <v>138</v>
      </c>
      <c r="Z105" s="118" t="s">
        <v>934</v>
      </c>
      <c r="AA105" s="118">
        <v>9.9700000000000006</v>
      </c>
      <c r="AB105" s="118">
        <v>11.94</v>
      </c>
      <c r="AC105" s="119" t="s">
        <v>969</v>
      </c>
      <c r="AD105" s="119" t="s">
        <v>954</v>
      </c>
      <c r="AE105" s="118">
        <f t="shared" si="3"/>
        <v>7</v>
      </c>
      <c r="AF105" s="152" t="str">
        <f>IF('BD1'!$AE105=8,"Estable",(IF('BD1'!$AE105=7,"Funcional con observaciones", (IF('BD1'!$AE105=6,"Funcional con observaciones",(IF('BD1'!$AE105=5,"Rendimiento bajo",(IF('BD1'!$AE105=4,"Parcialmente funcional",(IF('BD1'!$AE105=3,"Parcialmente funcional",(IF('BD1'!$AE105=2,"Inoperativo",(IF('BD1'!$AE105=1,"Inoperativo","Crítico")))))))))))))))</f>
        <v>Funcional con observaciones</v>
      </c>
    </row>
    <row r="106" spans="1:32" x14ac:dyDescent="0.2">
      <c r="A106" s="121">
        <v>323</v>
      </c>
      <c r="B106" s="122" t="s">
        <v>956</v>
      </c>
      <c r="C106" s="123" t="s">
        <v>429</v>
      </c>
      <c r="D106" s="123" t="s">
        <v>16</v>
      </c>
      <c r="E106" s="124" t="s">
        <v>197</v>
      </c>
      <c r="F106" s="124" t="s">
        <v>516</v>
      </c>
      <c r="G106" s="124" t="s">
        <v>29</v>
      </c>
      <c r="H106" s="122" t="s">
        <v>8</v>
      </c>
      <c r="I106" s="123">
        <v>21.093509999999998</v>
      </c>
      <c r="J106" s="123">
        <v>-101.65509</v>
      </c>
      <c r="K106" s="122"/>
      <c r="L106" s="125" t="str">
        <f t="shared" si="2"/>
        <v>Ver en Google Maps</v>
      </c>
      <c r="M106" s="122">
        <v>2</v>
      </c>
      <c r="N106" s="130"/>
      <c r="O106" s="109"/>
      <c r="P106" s="109"/>
      <c r="Q106" s="109"/>
      <c r="R106" s="109"/>
      <c r="S106" s="109"/>
      <c r="T106" s="109"/>
      <c r="U106" s="109"/>
      <c r="V106" s="109"/>
      <c r="W106" s="109"/>
      <c r="X106" s="109"/>
      <c r="Y106" s="109"/>
      <c r="Z106" s="109"/>
      <c r="AA106" s="109"/>
      <c r="AB106" s="109"/>
      <c r="AC106" s="109"/>
      <c r="AD106" s="110"/>
      <c r="AE106" s="109"/>
      <c r="AF106" s="151"/>
    </row>
    <row r="107" spans="1:32" x14ac:dyDescent="0.2">
      <c r="A107" s="112">
        <v>333</v>
      </c>
      <c r="B107" s="113" t="s">
        <v>956</v>
      </c>
      <c r="C107" s="114" t="s">
        <v>429</v>
      </c>
      <c r="D107" s="114" t="s">
        <v>16</v>
      </c>
      <c r="E107" s="115" t="s">
        <v>198</v>
      </c>
      <c r="F107" s="115" t="s">
        <v>517</v>
      </c>
      <c r="G107" s="115" t="s">
        <v>993</v>
      </c>
      <c r="H107" s="113" t="s">
        <v>8</v>
      </c>
      <c r="I107" s="114">
        <v>21.126930000000002</v>
      </c>
      <c r="J107" s="114">
        <v>-101.70362</v>
      </c>
      <c r="K107" s="113" t="s">
        <v>139</v>
      </c>
      <c r="L107" s="116" t="str">
        <f t="shared" si="2"/>
        <v>Ver en Google Maps</v>
      </c>
      <c r="M107" s="113">
        <v>1</v>
      </c>
      <c r="N107" s="117">
        <v>45933</v>
      </c>
      <c r="O107" s="118">
        <f>DAY('BD1'!$N107)</f>
        <v>3</v>
      </c>
      <c r="P107" s="118">
        <f>MONTH('BD1'!$N107)</f>
        <v>10</v>
      </c>
      <c r="Q107" s="118">
        <f>YEAR('BD1'!$N107)</f>
        <v>2025</v>
      </c>
      <c r="R107" s="118">
        <v>1</v>
      </c>
      <c r="S107" s="118" t="s">
        <v>138</v>
      </c>
      <c r="T107" s="118" t="s">
        <v>138</v>
      </c>
      <c r="U107" s="118" t="s">
        <v>138</v>
      </c>
      <c r="V107" s="118" t="s">
        <v>138</v>
      </c>
      <c r="W107" s="118" t="s">
        <v>138</v>
      </c>
      <c r="X107" s="118" t="s">
        <v>138</v>
      </c>
      <c r="Y107" s="118" t="s">
        <v>138</v>
      </c>
      <c r="Z107" s="118" t="s">
        <v>934</v>
      </c>
      <c r="AA107" s="118">
        <v>7.59</v>
      </c>
      <c r="AB107" s="118">
        <v>10.02</v>
      </c>
      <c r="AC107" s="119" t="s">
        <v>969</v>
      </c>
      <c r="AD107" s="119" t="s">
        <v>954</v>
      </c>
      <c r="AE107" s="118">
        <f t="shared" si="3"/>
        <v>7</v>
      </c>
      <c r="AF107" s="152" t="str">
        <f>IF('BD1'!$AE107=8,"Estable",(IF('BD1'!$AE107=7,"Funcional con observaciones", (IF('BD1'!$AE107=6,"Funcional con observaciones",(IF('BD1'!$AE107=5,"Rendimiento bajo",(IF('BD1'!$AE107=4,"Parcialmente funcional",(IF('BD1'!$AE107=3,"Parcialmente funcional",(IF('BD1'!$AE107=2,"Inoperativo",(IF('BD1'!$AE107=1,"Inoperativo","Crítico")))))))))))))))</f>
        <v>Funcional con observaciones</v>
      </c>
    </row>
    <row r="108" spans="1:32" x14ac:dyDescent="0.2">
      <c r="A108" s="121">
        <v>334</v>
      </c>
      <c r="B108" s="122" t="s">
        <v>956</v>
      </c>
      <c r="C108" s="123" t="s">
        <v>429</v>
      </c>
      <c r="D108" s="123" t="s">
        <v>16</v>
      </c>
      <c r="E108" s="124" t="s">
        <v>199</v>
      </c>
      <c r="F108" s="124" t="s">
        <v>518</v>
      </c>
      <c r="G108" s="124" t="s">
        <v>1012</v>
      </c>
      <c r="H108" s="122" t="s">
        <v>8</v>
      </c>
      <c r="I108" s="123">
        <v>21.141580000000001</v>
      </c>
      <c r="J108" s="123">
        <v>-101.69583</v>
      </c>
      <c r="K108" s="122"/>
      <c r="L108" s="125" t="str">
        <f t="shared" si="2"/>
        <v>Ver en Google Maps</v>
      </c>
      <c r="M108" s="122">
        <v>2</v>
      </c>
      <c r="N108" s="130"/>
      <c r="O108" s="109"/>
      <c r="P108" s="109"/>
      <c r="Q108" s="109"/>
      <c r="R108" s="109"/>
      <c r="S108" s="109"/>
      <c r="T108" s="109"/>
      <c r="U108" s="109"/>
      <c r="V108" s="109"/>
      <c r="W108" s="109"/>
      <c r="X108" s="109"/>
      <c r="Y108" s="109"/>
      <c r="Z108" s="109"/>
      <c r="AA108" s="109"/>
      <c r="AB108" s="109"/>
      <c r="AC108" s="109"/>
      <c r="AD108" s="110"/>
      <c r="AE108" s="109"/>
      <c r="AF108" s="151"/>
    </row>
    <row r="109" spans="1:32" x14ac:dyDescent="0.2">
      <c r="A109" s="112">
        <v>335</v>
      </c>
      <c r="B109" s="113" t="s">
        <v>956</v>
      </c>
      <c r="C109" s="114" t="s">
        <v>429</v>
      </c>
      <c r="D109" s="114" t="s">
        <v>16</v>
      </c>
      <c r="E109" s="115" t="s">
        <v>66</v>
      </c>
      <c r="F109" s="115" t="s">
        <v>519</v>
      </c>
      <c r="G109" s="115" t="s">
        <v>1055</v>
      </c>
      <c r="H109" s="113" t="s">
        <v>8</v>
      </c>
      <c r="I109" s="114">
        <v>21.115880000000001</v>
      </c>
      <c r="J109" s="114">
        <v>-101.69379000000001</v>
      </c>
      <c r="K109" s="113" t="s">
        <v>139</v>
      </c>
      <c r="L109" s="116" t="str">
        <f t="shared" si="2"/>
        <v>Ver en Google Maps</v>
      </c>
      <c r="M109" s="113">
        <v>1</v>
      </c>
      <c r="N109" s="117">
        <v>45940</v>
      </c>
      <c r="O109" s="118">
        <f>DAY('BD1'!$N109)</f>
        <v>10</v>
      </c>
      <c r="P109" s="118">
        <f>MONTH('BD1'!$N109)</f>
        <v>10</v>
      </c>
      <c r="Q109" s="118">
        <f>YEAR('BD1'!$N109)</f>
        <v>2025</v>
      </c>
      <c r="R109" s="118">
        <v>1</v>
      </c>
      <c r="S109" s="118" t="s">
        <v>934</v>
      </c>
      <c r="T109" s="118" t="s">
        <v>934</v>
      </c>
      <c r="U109" s="118" t="s">
        <v>934</v>
      </c>
      <c r="V109" s="118" t="s">
        <v>934</v>
      </c>
      <c r="W109" s="118" t="s">
        <v>934</v>
      </c>
      <c r="X109" s="118" t="s">
        <v>934</v>
      </c>
      <c r="Y109" s="118" t="s">
        <v>934</v>
      </c>
      <c r="Z109" s="118" t="s">
        <v>934</v>
      </c>
      <c r="AA109" s="118">
        <v>0</v>
      </c>
      <c r="AB109" s="118">
        <v>0</v>
      </c>
      <c r="AC109" s="119" t="s">
        <v>1421</v>
      </c>
      <c r="AD109" s="119" t="s">
        <v>957</v>
      </c>
      <c r="AE109" s="118">
        <f t="shared" si="3"/>
        <v>0</v>
      </c>
      <c r="AF109" s="152" t="str">
        <f>IF('BD1'!$AE109=8,"Estable",(IF('BD1'!$AE109=7,"Funcional con observaciones", (IF('BD1'!$AE109=6,"Funcional con observaciones",(IF('BD1'!$AE109=5,"Rendimiento bajo",(IF('BD1'!$AE109=4,"Parcialmente funcional",(IF('BD1'!$AE109=3,"Parcialmente funcional",(IF('BD1'!$AE109=2,"Inoperativo",(IF('BD1'!$AE109=1,"Inoperativo","Crítico")))))))))))))))</f>
        <v>Crítico</v>
      </c>
    </row>
    <row r="110" spans="1:32" x14ac:dyDescent="0.2">
      <c r="A110" s="121">
        <v>337</v>
      </c>
      <c r="B110" s="122" t="s">
        <v>956</v>
      </c>
      <c r="C110" s="123" t="s">
        <v>429</v>
      </c>
      <c r="D110" s="123" t="s">
        <v>16</v>
      </c>
      <c r="E110" s="124" t="s">
        <v>67</v>
      </c>
      <c r="F110" s="124" t="s">
        <v>520</v>
      </c>
      <c r="G110" s="124" t="s">
        <v>1056</v>
      </c>
      <c r="H110" s="122" t="s">
        <v>8</v>
      </c>
      <c r="I110" s="123">
        <v>21.1296</v>
      </c>
      <c r="J110" s="123">
        <v>-101.70950000000001</v>
      </c>
      <c r="K110" s="122"/>
      <c r="L110" s="125" t="str">
        <f t="shared" si="2"/>
        <v>Ver en Google Maps</v>
      </c>
      <c r="M110" s="122">
        <v>1</v>
      </c>
      <c r="N110" s="130"/>
      <c r="O110" s="109"/>
      <c r="P110" s="109"/>
      <c r="Q110" s="109"/>
      <c r="R110" s="109"/>
      <c r="S110" s="109"/>
      <c r="T110" s="109"/>
      <c r="U110" s="109"/>
      <c r="V110" s="109"/>
      <c r="W110" s="109"/>
      <c r="X110" s="109"/>
      <c r="Y110" s="109"/>
      <c r="Z110" s="109"/>
      <c r="AA110" s="109"/>
      <c r="AB110" s="109"/>
      <c r="AC110" s="109"/>
      <c r="AD110" s="110"/>
      <c r="AE110" s="109"/>
      <c r="AF110" s="151"/>
    </row>
    <row r="111" spans="1:32" x14ac:dyDescent="0.2">
      <c r="A111" s="112">
        <v>339</v>
      </c>
      <c r="B111" s="113" t="s">
        <v>956</v>
      </c>
      <c r="C111" s="114" t="s">
        <v>429</v>
      </c>
      <c r="D111" s="114" t="s">
        <v>16</v>
      </c>
      <c r="E111" s="115" t="s">
        <v>68</v>
      </c>
      <c r="F111" s="115" t="s">
        <v>521</v>
      </c>
      <c r="G111" s="115" t="s">
        <v>1003</v>
      </c>
      <c r="H111" s="113" t="s">
        <v>8</v>
      </c>
      <c r="I111" s="114">
        <v>21.098794000000002</v>
      </c>
      <c r="J111" s="114">
        <v>-101.65069</v>
      </c>
      <c r="K111" s="113" t="s">
        <v>139</v>
      </c>
      <c r="L111" s="116" t="str">
        <f t="shared" si="2"/>
        <v>Ver en Google Maps</v>
      </c>
      <c r="M111" s="113">
        <v>2</v>
      </c>
      <c r="N111" s="117">
        <v>45934</v>
      </c>
      <c r="O111" s="118">
        <f>DAY('BD1'!$N111)</f>
        <v>4</v>
      </c>
      <c r="P111" s="118">
        <f>MONTH('BD1'!$N111)</f>
        <v>10</v>
      </c>
      <c r="Q111" s="118">
        <f>YEAR('BD1'!$N111)</f>
        <v>2025</v>
      </c>
      <c r="R111" s="118">
        <v>1</v>
      </c>
      <c r="S111" s="118" t="s">
        <v>934</v>
      </c>
      <c r="T111" s="118" t="s">
        <v>138</v>
      </c>
      <c r="U111" s="118" t="s">
        <v>138</v>
      </c>
      <c r="V111" s="118" t="s">
        <v>138</v>
      </c>
      <c r="W111" s="118" t="s">
        <v>138</v>
      </c>
      <c r="X111" s="118" t="s">
        <v>138</v>
      </c>
      <c r="Y111" s="118" t="s">
        <v>934</v>
      </c>
      <c r="Z111" s="118" t="s">
        <v>138</v>
      </c>
      <c r="AA111" s="118">
        <v>60.04</v>
      </c>
      <c r="AB111" s="118">
        <v>13.2</v>
      </c>
      <c r="AC111" s="119" t="s">
        <v>945</v>
      </c>
      <c r="AD111" s="119" t="s">
        <v>954</v>
      </c>
      <c r="AE111" s="118">
        <f t="shared" si="3"/>
        <v>6</v>
      </c>
      <c r="AF111" s="152" t="str">
        <f>IF('BD1'!$AE111=8,"Estable",(IF('BD1'!$AE111=7,"Funcional con observaciones", (IF('BD1'!$AE111=6,"Funcional con observaciones",(IF('BD1'!$AE111=5,"Rendimiento bajo",(IF('BD1'!$AE111=4,"Parcialmente funcional",(IF('BD1'!$AE111=3,"Parcialmente funcional",(IF('BD1'!$AE111=2,"Inoperativo",(IF('BD1'!$AE111=1,"Inoperativo","Crítico")))))))))))))))</f>
        <v>Funcional con observaciones</v>
      </c>
    </row>
    <row r="112" spans="1:32" x14ac:dyDescent="0.2">
      <c r="A112" s="121">
        <v>340</v>
      </c>
      <c r="B112" s="122" t="s">
        <v>956</v>
      </c>
      <c r="C112" s="123" t="s">
        <v>429</v>
      </c>
      <c r="D112" s="123" t="s">
        <v>16</v>
      </c>
      <c r="E112" s="124" t="s">
        <v>200</v>
      </c>
      <c r="F112" s="124" t="s">
        <v>522</v>
      </c>
      <c r="G112" s="124" t="s">
        <v>1057</v>
      </c>
      <c r="H112" s="122" t="s">
        <v>8</v>
      </c>
      <c r="I112" s="123">
        <v>21.098649999999999</v>
      </c>
      <c r="J112" s="123">
        <v>-101.72927</v>
      </c>
      <c r="K112" s="122"/>
      <c r="L112" s="125" t="str">
        <f t="shared" si="2"/>
        <v>Ver en Google Maps</v>
      </c>
      <c r="M112" s="122">
        <v>1</v>
      </c>
      <c r="N112" s="130"/>
      <c r="O112" s="109"/>
      <c r="P112" s="109"/>
      <c r="Q112" s="109"/>
      <c r="R112" s="109"/>
      <c r="S112" s="109"/>
      <c r="T112" s="109"/>
      <c r="U112" s="109"/>
      <c r="V112" s="109"/>
      <c r="W112" s="109"/>
      <c r="X112" s="109"/>
      <c r="Y112" s="109"/>
      <c r="Z112" s="109"/>
      <c r="AA112" s="109"/>
      <c r="AB112" s="109"/>
      <c r="AC112" s="109"/>
      <c r="AD112" s="110"/>
      <c r="AE112" s="109"/>
      <c r="AF112" s="151"/>
    </row>
    <row r="113" spans="1:32" x14ac:dyDescent="0.2">
      <c r="A113" s="112">
        <v>342</v>
      </c>
      <c r="B113" s="113" t="s">
        <v>956</v>
      </c>
      <c r="C113" s="114" t="s">
        <v>429</v>
      </c>
      <c r="D113" s="114" t="s">
        <v>16</v>
      </c>
      <c r="E113" s="115" t="s">
        <v>201</v>
      </c>
      <c r="F113" s="115" t="s">
        <v>523</v>
      </c>
      <c r="G113" s="115" t="s">
        <v>984</v>
      </c>
      <c r="H113" s="113" t="s">
        <v>8</v>
      </c>
      <c r="I113" s="114">
        <v>21.14124</v>
      </c>
      <c r="J113" s="114">
        <v>-101.67006000000001</v>
      </c>
      <c r="K113" s="113" t="s">
        <v>139</v>
      </c>
      <c r="L113" s="116" t="str">
        <f t="shared" si="2"/>
        <v>Ver en Google Maps</v>
      </c>
      <c r="M113" s="113">
        <v>1</v>
      </c>
      <c r="N113" s="117">
        <v>45929</v>
      </c>
      <c r="O113" s="118">
        <f>DAY('BD1'!$N113)</f>
        <v>29</v>
      </c>
      <c r="P113" s="118">
        <f>MONTH('BD1'!$N113)</f>
        <v>9</v>
      </c>
      <c r="Q113" s="118">
        <f>YEAR('BD1'!$N113)</f>
        <v>2025</v>
      </c>
      <c r="R113" s="118">
        <v>1</v>
      </c>
      <c r="S113" s="118" t="s">
        <v>138</v>
      </c>
      <c r="T113" s="118" t="s">
        <v>138</v>
      </c>
      <c r="U113" s="118" t="s">
        <v>138</v>
      </c>
      <c r="V113" s="118" t="s">
        <v>138</v>
      </c>
      <c r="W113" s="118" t="s">
        <v>138</v>
      </c>
      <c r="X113" s="118" t="s">
        <v>138</v>
      </c>
      <c r="Y113" s="118" t="s">
        <v>138</v>
      </c>
      <c r="Z113" s="118" t="s">
        <v>138</v>
      </c>
      <c r="AA113" s="118">
        <v>50.32</v>
      </c>
      <c r="AB113" s="118">
        <v>46.21</v>
      </c>
      <c r="AC113" s="119" t="s">
        <v>967</v>
      </c>
      <c r="AD113" s="119" t="s">
        <v>954</v>
      </c>
      <c r="AE113" s="118">
        <f t="shared" si="3"/>
        <v>8</v>
      </c>
      <c r="AF113" s="152" t="str">
        <f>IF('BD1'!$AE113=8,"Estable",(IF('BD1'!$AE113=7,"Funcional con observaciones", (IF('BD1'!$AE113=6,"Funcional con observaciones",(IF('BD1'!$AE113=5,"Rendimiento bajo",(IF('BD1'!$AE113=4,"Parcialmente funcional",(IF('BD1'!$AE113=3,"Parcialmente funcional",(IF('BD1'!$AE113=2,"Inoperativo",(IF('BD1'!$AE113=1,"Inoperativo","Crítico")))))))))))))))</f>
        <v>Estable</v>
      </c>
    </row>
    <row r="114" spans="1:32" x14ac:dyDescent="0.2">
      <c r="A114" s="121">
        <v>345</v>
      </c>
      <c r="B114" s="122" t="s">
        <v>956</v>
      </c>
      <c r="C114" s="123" t="s">
        <v>429</v>
      </c>
      <c r="D114" s="123" t="s">
        <v>16</v>
      </c>
      <c r="E114" s="124" t="s">
        <v>202</v>
      </c>
      <c r="F114" s="124" t="s">
        <v>524</v>
      </c>
      <c r="G114" s="124" t="s">
        <v>1058</v>
      </c>
      <c r="H114" s="122" t="s">
        <v>8</v>
      </c>
      <c r="I114" s="123">
        <v>21.144580000000001</v>
      </c>
      <c r="J114" s="123">
        <v>-101.68037</v>
      </c>
      <c r="K114" s="122" t="s">
        <v>139</v>
      </c>
      <c r="L114" s="125" t="str">
        <f t="shared" si="2"/>
        <v>Ver en Google Maps</v>
      </c>
      <c r="M114" s="122">
        <v>1</v>
      </c>
      <c r="N114" s="108">
        <v>45939</v>
      </c>
      <c r="O114" s="109">
        <f>DAY('BD1'!$N114)</f>
        <v>9</v>
      </c>
      <c r="P114" s="109">
        <f>MONTH('BD1'!$N114)</f>
        <v>10</v>
      </c>
      <c r="Q114" s="109">
        <f>YEAR('BD1'!$N114)</f>
        <v>2025</v>
      </c>
      <c r="R114" s="109">
        <v>1</v>
      </c>
      <c r="S114" s="109" t="s">
        <v>138</v>
      </c>
      <c r="T114" s="109" t="s">
        <v>138</v>
      </c>
      <c r="U114" s="109" t="s">
        <v>138</v>
      </c>
      <c r="V114" s="109" t="s">
        <v>138</v>
      </c>
      <c r="W114" s="109" t="s">
        <v>138</v>
      </c>
      <c r="X114" s="109" t="s">
        <v>138</v>
      </c>
      <c r="Y114" s="109" t="s">
        <v>138</v>
      </c>
      <c r="Z114" s="109" t="s">
        <v>934</v>
      </c>
      <c r="AA114" s="109">
        <v>9.91</v>
      </c>
      <c r="AB114" s="109">
        <v>16.73</v>
      </c>
      <c r="AC114" s="110" t="s">
        <v>1412</v>
      </c>
      <c r="AD114" s="110" t="s">
        <v>957</v>
      </c>
      <c r="AE114" s="109">
        <f t="shared" si="3"/>
        <v>7</v>
      </c>
      <c r="AF114" s="151" t="str">
        <f>IF('BD1'!$AE114=8,"Estable",(IF('BD1'!$AE114=7,"Funcional con observaciones", (IF('BD1'!$AE114=6,"Funcional con observaciones",(IF('BD1'!$AE114=5,"Rendimiento bajo",(IF('BD1'!$AE114=4,"Parcialmente funcional",(IF('BD1'!$AE114=3,"Parcialmente funcional",(IF('BD1'!$AE114=2,"Inoperativo",(IF('BD1'!$AE114=1,"Inoperativo","Crítico")))))))))))))))</f>
        <v>Funcional con observaciones</v>
      </c>
    </row>
    <row r="115" spans="1:32" x14ac:dyDescent="0.2">
      <c r="A115" s="112">
        <v>346</v>
      </c>
      <c r="B115" s="113" t="s">
        <v>956</v>
      </c>
      <c r="C115" s="114" t="s">
        <v>429</v>
      </c>
      <c r="D115" s="114" t="s">
        <v>16</v>
      </c>
      <c r="E115" s="115" t="s">
        <v>203</v>
      </c>
      <c r="F115" s="115" t="s">
        <v>525</v>
      </c>
      <c r="G115" s="115" t="s">
        <v>1056</v>
      </c>
      <c r="H115" s="113" t="s">
        <v>8</v>
      </c>
      <c r="I115" s="114">
        <v>21.130379999999999</v>
      </c>
      <c r="J115" s="114">
        <v>-101.70565999999999</v>
      </c>
      <c r="K115" s="113"/>
      <c r="L115" s="116" t="str">
        <f t="shared" si="2"/>
        <v>Ver en Google Maps</v>
      </c>
      <c r="M115" s="113">
        <v>1</v>
      </c>
      <c r="N115" s="129"/>
      <c r="O115" s="118"/>
      <c r="P115" s="118"/>
      <c r="Q115" s="118"/>
      <c r="R115" s="118"/>
      <c r="S115" s="118"/>
      <c r="T115" s="118"/>
      <c r="U115" s="118"/>
      <c r="V115" s="118"/>
      <c r="W115" s="118"/>
      <c r="X115" s="118"/>
      <c r="Y115" s="118"/>
      <c r="Z115" s="118"/>
      <c r="AA115" s="118"/>
      <c r="AB115" s="118"/>
      <c r="AC115" s="118"/>
      <c r="AD115" s="119"/>
      <c r="AE115" s="118"/>
      <c r="AF115" s="152"/>
    </row>
    <row r="116" spans="1:32" x14ac:dyDescent="0.2">
      <c r="A116" s="121">
        <v>350</v>
      </c>
      <c r="B116" s="122" t="s">
        <v>956</v>
      </c>
      <c r="C116" s="123" t="s">
        <v>429</v>
      </c>
      <c r="D116" s="123" t="s">
        <v>16</v>
      </c>
      <c r="E116" s="124" t="s">
        <v>204</v>
      </c>
      <c r="F116" s="124" t="s">
        <v>526</v>
      </c>
      <c r="G116" s="124" t="s">
        <v>1059</v>
      </c>
      <c r="H116" s="122" t="s">
        <v>8</v>
      </c>
      <c r="I116" s="123">
        <v>21.115872</v>
      </c>
      <c r="J116" s="123">
        <v>-101.713961</v>
      </c>
      <c r="K116" s="122"/>
      <c r="L116" s="125" t="str">
        <f t="shared" si="2"/>
        <v>Ver en Google Maps</v>
      </c>
      <c r="M116" s="122">
        <v>1</v>
      </c>
      <c r="N116" s="130"/>
      <c r="O116" s="109"/>
      <c r="P116" s="109"/>
      <c r="Q116" s="109"/>
      <c r="R116" s="109"/>
      <c r="S116" s="109"/>
      <c r="T116" s="109"/>
      <c r="U116" s="109"/>
      <c r="V116" s="109"/>
      <c r="W116" s="109"/>
      <c r="X116" s="109"/>
      <c r="Y116" s="109"/>
      <c r="Z116" s="109"/>
      <c r="AA116" s="109"/>
      <c r="AB116" s="109"/>
      <c r="AC116" s="109"/>
      <c r="AD116" s="110"/>
      <c r="AE116" s="109"/>
      <c r="AF116" s="151"/>
    </row>
    <row r="117" spans="1:32" x14ac:dyDescent="0.2">
      <c r="A117" s="112">
        <v>352</v>
      </c>
      <c r="B117" s="113" t="s">
        <v>956</v>
      </c>
      <c r="C117" s="114" t="s">
        <v>429</v>
      </c>
      <c r="D117" s="114" t="s">
        <v>16</v>
      </c>
      <c r="E117" s="115" t="s">
        <v>69</v>
      </c>
      <c r="F117" s="115" t="s">
        <v>527</v>
      </c>
      <c r="G117" s="115" t="s">
        <v>70</v>
      </c>
      <c r="H117" s="113" t="s">
        <v>8</v>
      </c>
      <c r="I117" s="114">
        <v>21.105709999999998</v>
      </c>
      <c r="J117" s="114">
        <v>-101.68573000000001</v>
      </c>
      <c r="K117" s="113" t="s">
        <v>139</v>
      </c>
      <c r="L117" s="116" t="str">
        <f t="shared" si="2"/>
        <v>Ver en Google Maps</v>
      </c>
      <c r="M117" s="113">
        <v>1</v>
      </c>
      <c r="N117" s="117">
        <v>45932</v>
      </c>
      <c r="O117" s="118">
        <f>DAY('BD1'!$N117)</f>
        <v>2</v>
      </c>
      <c r="P117" s="118">
        <f>MONTH('BD1'!$N117)</f>
        <v>10</v>
      </c>
      <c r="Q117" s="118">
        <f>YEAR('BD1'!$N117)</f>
        <v>2025</v>
      </c>
      <c r="R117" s="118">
        <v>1</v>
      </c>
      <c r="S117" s="118" t="s">
        <v>138</v>
      </c>
      <c r="T117" s="118" t="s">
        <v>138</v>
      </c>
      <c r="U117" s="118" t="s">
        <v>138</v>
      </c>
      <c r="V117" s="118" t="s">
        <v>138</v>
      </c>
      <c r="W117" s="118" t="s">
        <v>138</v>
      </c>
      <c r="X117" s="118" t="s">
        <v>138</v>
      </c>
      <c r="Y117" s="118" t="s">
        <v>138</v>
      </c>
      <c r="Z117" s="118" t="s">
        <v>138</v>
      </c>
      <c r="AA117" s="118">
        <v>40.53</v>
      </c>
      <c r="AB117" s="118">
        <v>39.67</v>
      </c>
      <c r="AC117" s="119" t="s">
        <v>967</v>
      </c>
      <c r="AD117" s="119" t="s">
        <v>957</v>
      </c>
      <c r="AE117" s="118">
        <f t="shared" si="3"/>
        <v>8</v>
      </c>
      <c r="AF117" s="152" t="str">
        <f>IF('BD1'!$AE117=8,"Estable",(IF('BD1'!$AE117=7,"Funcional con observaciones", (IF('BD1'!$AE117=6,"Funcional con observaciones",(IF('BD1'!$AE117=5,"Rendimiento bajo",(IF('BD1'!$AE117=4,"Parcialmente funcional",(IF('BD1'!$AE117=3,"Parcialmente funcional",(IF('BD1'!$AE117=2,"Inoperativo",(IF('BD1'!$AE117=1,"Inoperativo","Crítico")))))))))))))))</f>
        <v>Estable</v>
      </c>
    </row>
    <row r="118" spans="1:32" x14ac:dyDescent="0.2">
      <c r="A118" s="121">
        <v>353</v>
      </c>
      <c r="B118" s="122" t="s">
        <v>956</v>
      </c>
      <c r="C118" s="123" t="s">
        <v>429</v>
      </c>
      <c r="D118" s="123" t="s">
        <v>16</v>
      </c>
      <c r="E118" s="124" t="s">
        <v>71</v>
      </c>
      <c r="F118" s="124" t="s">
        <v>528</v>
      </c>
      <c r="G118" s="124" t="s">
        <v>1016</v>
      </c>
      <c r="H118" s="122" t="s">
        <v>8</v>
      </c>
      <c r="I118" s="123">
        <v>21.089120000000001</v>
      </c>
      <c r="J118" s="123">
        <v>-101.631255</v>
      </c>
      <c r="K118" s="122"/>
      <c r="L118" s="125" t="str">
        <f t="shared" si="2"/>
        <v>Ver en Google Maps</v>
      </c>
      <c r="M118" s="122">
        <v>1</v>
      </c>
      <c r="N118" s="130"/>
      <c r="O118" s="109"/>
      <c r="P118" s="109"/>
      <c r="Q118" s="109"/>
      <c r="R118" s="109"/>
      <c r="S118" s="109"/>
      <c r="T118" s="109"/>
      <c r="U118" s="109"/>
      <c r="V118" s="109"/>
      <c r="W118" s="109"/>
      <c r="X118" s="109"/>
      <c r="Y118" s="109"/>
      <c r="Z118" s="109"/>
      <c r="AA118" s="109"/>
      <c r="AB118" s="109"/>
      <c r="AC118" s="109"/>
      <c r="AD118" s="110"/>
      <c r="AE118" s="109"/>
      <c r="AF118" s="151"/>
    </row>
    <row r="119" spans="1:32" x14ac:dyDescent="0.2">
      <c r="A119" s="112">
        <v>354</v>
      </c>
      <c r="B119" s="113" t="s">
        <v>956</v>
      </c>
      <c r="C119" s="114" t="s">
        <v>429</v>
      </c>
      <c r="D119" s="114" t="s">
        <v>16</v>
      </c>
      <c r="E119" s="115" t="s">
        <v>205</v>
      </c>
      <c r="F119" s="115" t="s">
        <v>529</v>
      </c>
      <c r="G119" s="115" t="s">
        <v>1060</v>
      </c>
      <c r="H119" s="113" t="s">
        <v>8</v>
      </c>
      <c r="I119" s="114">
        <v>21.138490000000001</v>
      </c>
      <c r="J119" s="114">
        <v>-101.70775999999999</v>
      </c>
      <c r="K119" s="113" t="s">
        <v>139</v>
      </c>
      <c r="L119" s="116" t="str">
        <f t="shared" si="2"/>
        <v>Ver en Google Maps</v>
      </c>
      <c r="M119" s="113">
        <v>1</v>
      </c>
      <c r="N119" s="117">
        <v>45933</v>
      </c>
      <c r="O119" s="118">
        <f>DAY('BD1'!$N119)</f>
        <v>3</v>
      </c>
      <c r="P119" s="118">
        <f>MONTH('BD1'!$N119)</f>
        <v>10</v>
      </c>
      <c r="Q119" s="118">
        <f>YEAR('BD1'!$N119)</f>
        <v>2025</v>
      </c>
      <c r="R119" s="118">
        <v>1</v>
      </c>
      <c r="S119" s="118" t="s">
        <v>138</v>
      </c>
      <c r="T119" s="118" t="s">
        <v>138</v>
      </c>
      <c r="U119" s="118" t="s">
        <v>138</v>
      </c>
      <c r="V119" s="118" t="s">
        <v>138</v>
      </c>
      <c r="W119" s="118" t="s">
        <v>138</v>
      </c>
      <c r="X119" s="118" t="s">
        <v>138</v>
      </c>
      <c r="Y119" s="118" t="s">
        <v>138</v>
      </c>
      <c r="Z119" s="118" t="s">
        <v>934</v>
      </c>
      <c r="AA119" s="118">
        <v>10.62</v>
      </c>
      <c r="AB119" s="118">
        <v>12.26</v>
      </c>
      <c r="AC119" s="119" t="s">
        <v>969</v>
      </c>
      <c r="AD119" s="119" t="s">
        <v>957</v>
      </c>
      <c r="AE119" s="118">
        <f t="shared" si="3"/>
        <v>7</v>
      </c>
      <c r="AF119" s="152" t="str">
        <f>IF('BD1'!$AE119=8,"Estable",(IF('BD1'!$AE119=7,"Funcional con observaciones", (IF('BD1'!$AE119=6,"Funcional con observaciones",(IF('BD1'!$AE119=5,"Rendimiento bajo",(IF('BD1'!$AE119=4,"Parcialmente funcional",(IF('BD1'!$AE119=3,"Parcialmente funcional",(IF('BD1'!$AE119=2,"Inoperativo",(IF('BD1'!$AE119=1,"Inoperativo","Crítico")))))))))))))))</f>
        <v>Funcional con observaciones</v>
      </c>
    </row>
    <row r="120" spans="1:32" x14ac:dyDescent="0.2">
      <c r="A120" s="121">
        <v>355</v>
      </c>
      <c r="B120" s="122" t="s">
        <v>956</v>
      </c>
      <c r="C120" s="123" t="s">
        <v>429</v>
      </c>
      <c r="D120" s="123" t="s">
        <v>16</v>
      </c>
      <c r="E120" s="124" t="s">
        <v>206</v>
      </c>
      <c r="F120" s="124" t="s">
        <v>530</v>
      </c>
      <c r="G120" s="124" t="s">
        <v>1060</v>
      </c>
      <c r="H120" s="122" t="s">
        <v>8</v>
      </c>
      <c r="I120" s="123">
        <v>21.13888</v>
      </c>
      <c r="J120" s="123">
        <v>-101.69905</v>
      </c>
      <c r="K120" s="122" t="s">
        <v>139</v>
      </c>
      <c r="L120" s="125" t="str">
        <f t="shared" si="2"/>
        <v>Ver en Google Maps</v>
      </c>
      <c r="M120" s="122">
        <v>2</v>
      </c>
      <c r="N120" s="108">
        <v>45933</v>
      </c>
      <c r="O120" s="109">
        <f>DAY('BD1'!$N120)</f>
        <v>3</v>
      </c>
      <c r="P120" s="109">
        <f>MONTH('BD1'!$N120)</f>
        <v>10</v>
      </c>
      <c r="Q120" s="109">
        <f>YEAR('BD1'!$N120)</f>
        <v>2025</v>
      </c>
      <c r="R120" s="109">
        <v>1</v>
      </c>
      <c r="S120" s="109" t="s">
        <v>138</v>
      </c>
      <c r="T120" s="109" t="s">
        <v>138</v>
      </c>
      <c r="U120" s="109" t="s">
        <v>138</v>
      </c>
      <c r="V120" s="109" t="s">
        <v>138</v>
      </c>
      <c r="W120" s="109" t="s">
        <v>138</v>
      </c>
      <c r="X120" s="109" t="s">
        <v>138</v>
      </c>
      <c r="Y120" s="109" t="s">
        <v>934</v>
      </c>
      <c r="Z120" s="109" t="s">
        <v>934</v>
      </c>
      <c r="AA120" s="109">
        <v>10.46</v>
      </c>
      <c r="AB120" s="109">
        <v>19.350000000000001</v>
      </c>
      <c r="AC120" s="110" t="s">
        <v>959</v>
      </c>
      <c r="AD120" s="110" t="s">
        <v>954</v>
      </c>
      <c r="AE120" s="109">
        <f t="shared" si="3"/>
        <v>6</v>
      </c>
      <c r="AF120" s="151" t="str">
        <f>IF('BD1'!$AE120=8,"Estable",(IF('BD1'!$AE120=7,"Funcional con observaciones", (IF('BD1'!$AE120=6,"Funcional con observaciones",(IF('BD1'!$AE120=5,"Rendimiento bajo",(IF('BD1'!$AE120=4,"Parcialmente funcional",(IF('BD1'!$AE120=3,"Parcialmente funcional",(IF('BD1'!$AE120=2,"Inoperativo",(IF('BD1'!$AE120=1,"Inoperativo","Crítico")))))))))))))))</f>
        <v>Funcional con observaciones</v>
      </c>
    </row>
    <row r="121" spans="1:32" x14ac:dyDescent="0.2">
      <c r="A121" s="112">
        <v>357</v>
      </c>
      <c r="B121" s="113" t="s">
        <v>956</v>
      </c>
      <c r="C121" s="114" t="s">
        <v>429</v>
      </c>
      <c r="D121" s="114" t="s">
        <v>16</v>
      </c>
      <c r="E121" s="115" t="s">
        <v>207</v>
      </c>
      <c r="F121" s="115" t="s">
        <v>531</v>
      </c>
      <c r="G121" s="115" t="s">
        <v>1061</v>
      </c>
      <c r="H121" s="113" t="s">
        <v>8</v>
      </c>
      <c r="I121" s="114">
        <v>21.137371000000002</v>
      </c>
      <c r="J121" s="114">
        <v>-101.695953</v>
      </c>
      <c r="K121" s="113"/>
      <c r="L121" s="116" t="str">
        <f t="shared" si="2"/>
        <v>Ver en Google Maps</v>
      </c>
      <c r="M121" s="113">
        <v>1</v>
      </c>
      <c r="N121" s="129"/>
      <c r="O121" s="118"/>
      <c r="P121" s="118"/>
      <c r="Q121" s="118"/>
      <c r="R121" s="118"/>
      <c r="S121" s="118"/>
      <c r="T121" s="118"/>
      <c r="U121" s="118"/>
      <c r="V121" s="118"/>
      <c r="W121" s="118"/>
      <c r="X121" s="118"/>
      <c r="Y121" s="118"/>
      <c r="Z121" s="118"/>
      <c r="AA121" s="118"/>
      <c r="AB121" s="118"/>
      <c r="AC121" s="118"/>
      <c r="AD121" s="119"/>
      <c r="AE121" s="118"/>
      <c r="AF121" s="152"/>
    </row>
    <row r="122" spans="1:32" x14ac:dyDescent="0.2">
      <c r="A122" s="121">
        <v>358</v>
      </c>
      <c r="B122" s="122" t="s">
        <v>956</v>
      </c>
      <c r="C122" s="123" t="s">
        <v>429</v>
      </c>
      <c r="D122" s="123" t="s">
        <v>16</v>
      </c>
      <c r="E122" s="124" t="s">
        <v>208</v>
      </c>
      <c r="F122" s="124" t="s">
        <v>532</v>
      </c>
      <c r="G122" s="124" t="s">
        <v>1062</v>
      </c>
      <c r="H122" s="122" t="s">
        <v>8</v>
      </c>
      <c r="I122" s="123">
        <v>21.127739999999999</v>
      </c>
      <c r="J122" s="123">
        <v>-101.64878</v>
      </c>
      <c r="K122" s="122" t="s">
        <v>139</v>
      </c>
      <c r="L122" s="125" t="str">
        <f t="shared" si="2"/>
        <v>Ver en Google Maps</v>
      </c>
      <c r="M122" s="122">
        <v>1</v>
      </c>
      <c r="N122" s="108">
        <v>45931</v>
      </c>
      <c r="O122" s="109">
        <f>DAY('BD1'!$N122)</f>
        <v>1</v>
      </c>
      <c r="P122" s="109">
        <f>MONTH('BD1'!$N122)</f>
        <v>10</v>
      </c>
      <c r="Q122" s="109">
        <f>YEAR('BD1'!$N122)</f>
        <v>2025</v>
      </c>
      <c r="R122" s="109">
        <v>1</v>
      </c>
      <c r="S122" s="109" t="s">
        <v>138</v>
      </c>
      <c r="T122" s="109" t="s">
        <v>138</v>
      </c>
      <c r="U122" s="109" t="s">
        <v>138</v>
      </c>
      <c r="V122" s="109" t="s">
        <v>138</v>
      </c>
      <c r="W122" s="109" t="s">
        <v>138</v>
      </c>
      <c r="X122" s="109" t="s">
        <v>138</v>
      </c>
      <c r="Y122" s="109" t="s">
        <v>138</v>
      </c>
      <c r="Z122" s="109" t="s">
        <v>138</v>
      </c>
      <c r="AA122" s="109">
        <v>67.900000000000006</v>
      </c>
      <c r="AB122" s="109">
        <v>48.03</v>
      </c>
      <c r="AC122" s="110" t="s">
        <v>969</v>
      </c>
      <c r="AD122" s="110" t="s">
        <v>954</v>
      </c>
      <c r="AE122" s="109">
        <f t="shared" si="3"/>
        <v>8</v>
      </c>
      <c r="AF122" s="151" t="str">
        <f>IF('BD1'!$AE122=8,"Estable",(IF('BD1'!$AE122=7,"Funcional con observaciones", (IF('BD1'!$AE122=6,"Funcional con observaciones",(IF('BD1'!$AE122=5,"Rendimiento bajo",(IF('BD1'!$AE122=4,"Parcialmente funcional",(IF('BD1'!$AE122=3,"Parcialmente funcional",(IF('BD1'!$AE122=2,"Inoperativo",(IF('BD1'!$AE122=1,"Inoperativo","Crítico")))))))))))))))</f>
        <v>Estable</v>
      </c>
    </row>
    <row r="123" spans="1:32" x14ac:dyDescent="0.2">
      <c r="A123" s="112">
        <v>359</v>
      </c>
      <c r="B123" s="113" t="s">
        <v>956</v>
      </c>
      <c r="C123" s="114" t="s">
        <v>429</v>
      </c>
      <c r="D123" s="114" t="s">
        <v>16</v>
      </c>
      <c r="E123" s="115" t="s">
        <v>209</v>
      </c>
      <c r="F123" s="115" t="s">
        <v>533</v>
      </c>
      <c r="G123" s="115" t="s">
        <v>1049</v>
      </c>
      <c r="H123" s="113" t="s">
        <v>8</v>
      </c>
      <c r="I123" s="114">
        <v>21.102599999999999</v>
      </c>
      <c r="J123" s="114">
        <v>-101.66695</v>
      </c>
      <c r="K123" s="113" t="s">
        <v>139</v>
      </c>
      <c r="L123" s="116" t="str">
        <f t="shared" si="2"/>
        <v>Ver en Google Maps</v>
      </c>
      <c r="M123" s="113">
        <v>1</v>
      </c>
      <c r="N123" s="117">
        <v>45934</v>
      </c>
      <c r="O123" s="118">
        <f>DAY('BD1'!$N123)</f>
        <v>4</v>
      </c>
      <c r="P123" s="118">
        <f>MONTH('BD1'!$N123)</f>
        <v>10</v>
      </c>
      <c r="Q123" s="118">
        <f>YEAR('BD1'!$N123)</f>
        <v>2025</v>
      </c>
      <c r="R123" s="118">
        <v>1</v>
      </c>
      <c r="S123" s="118" t="s">
        <v>138</v>
      </c>
      <c r="T123" s="118" t="s">
        <v>138</v>
      </c>
      <c r="U123" s="118" t="s">
        <v>138</v>
      </c>
      <c r="V123" s="118" t="s">
        <v>138</v>
      </c>
      <c r="W123" s="118" t="s">
        <v>138</v>
      </c>
      <c r="X123" s="118" t="s">
        <v>138</v>
      </c>
      <c r="Y123" s="118" t="s">
        <v>138</v>
      </c>
      <c r="Z123" s="118" t="s">
        <v>934</v>
      </c>
      <c r="AA123" s="118">
        <v>9.5500000000000007</v>
      </c>
      <c r="AB123" s="118">
        <v>20.18</v>
      </c>
      <c r="AC123" s="119" t="s">
        <v>969</v>
      </c>
      <c r="AD123" s="119" t="s">
        <v>954</v>
      </c>
      <c r="AE123" s="118">
        <f t="shared" si="3"/>
        <v>7</v>
      </c>
      <c r="AF123" s="152" t="str">
        <f>IF('BD1'!$AE123=8,"Estable",(IF('BD1'!$AE123=7,"Funcional con observaciones", (IF('BD1'!$AE123=6,"Funcional con observaciones",(IF('BD1'!$AE123=5,"Rendimiento bajo",(IF('BD1'!$AE123=4,"Parcialmente funcional",(IF('BD1'!$AE123=3,"Parcialmente funcional",(IF('BD1'!$AE123=2,"Inoperativo",(IF('BD1'!$AE123=1,"Inoperativo","Crítico")))))))))))))))</f>
        <v>Funcional con observaciones</v>
      </c>
    </row>
    <row r="124" spans="1:32" x14ac:dyDescent="0.2">
      <c r="A124" s="121">
        <v>360</v>
      </c>
      <c r="B124" s="122" t="s">
        <v>956</v>
      </c>
      <c r="C124" s="123" t="s">
        <v>429</v>
      </c>
      <c r="D124" s="123" t="s">
        <v>16</v>
      </c>
      <c r="E124" s="124" t="s">
        <v>210</v>
      </c>
      <c r="F124" s="124" t="s">
        <v>534</v>
      </c>
      <c r="G124" s="124" t="s">
        <v>1063</v>
      </c>
      <c r="H124" s="122" t="s">
        <v>8</v>
      </c>
      <c r="I124" s="123">
        <v>21.131623999999999</v>
      </c>
      <c r="J124" s="123">
        <v>-101.67470299999999</v>
      </c>
      <c r="K124" s="122" t="s">
        <v>139</v>
      </c>
      <c r="L124" s="125" t="str">
        <f t="shared" si="2"/>
        <v>Ver en Google Maps</v>
      </c>
      <c r="M124" s="122">
        <v>1</v>
      </c>
      <c r="N124" s="108">
        <v>45939</v>
      </c>
      <c r="O124" s="109">
        <f>DAY('BD1'!$N124)</f>
        <v>9</v>
      </c>
      <c r="P124" s="109">
        <f>MONTH('BD1'!$N124)</f>
        <v>10</v>
      </c>
      <c r="Q124" s="109">
        <f>YEAR('BD1'!$N124)</f>
        <v>2025</v>
      </c>
      <c r="R124" s="109">
        <v>1</v>
      </c>
      <c r="S124" s="109" t="s">
        <v>138</v>
      </c>
      <c r="T124" s="109" t="s">
        <v>138</v>
      </c>
      <c r="U124" s="109" t="s">
        <v>138</v>
      </c>
      <c r="V124" s="109" t="s">
        <v>138</v>
      </c>
      <c r="W124" s="109" t="s">
        <v>138</v>
      </c>
      <c r="X124" s="109" t="s">
        <v>138</v>
      </c>
      <c r="Y124" s="109" t="s">
        <v>138</v>
      </c>
      <c r="Z124" s="109" t="s">
        <v>138</v>
      </c>
      <c r="AA124" s="109">
        <v>40.78</v>
      </c>
      <c r="AB124" s="109">
        <v>39.94</v>
      </c>
      <c r="AC124" s="110" t="s">
        <v>967</v>
      </c>
      <c r="AD124" s="110" t="s">
        <v>957</v>
      </c>
      <c r="AE124" s="109">
        <f t="shared" si="3"/>
        <v>8</v>
      </c>
      <c r="AF124" s="151" t="str">
        <f>IF('BD1'!$AE124=8,"Estable",(IF('BD1'!$AE124=7,"Funcional con observaciones", (IF('BD1'!$AE124=6,"Funcional con observaciones",(IF('BD1'!$AE124=5,"Rendimiento bajo",(IF('BD1'!$AE124=4,"Parcialmente funcional",(IF('BD1'!$AE124=3,"Parcialmente funcional",(IF('BD1'!$AE124=2,"Inoperativo",(IF('BD1'!$AE124=1,"Inoperativo","Crítico")))))))))))))))</f>
        <v>Estable</v>
      </c>
    </row>
    <row r="125" spans="1:32" x14ac:dyDescent="0.2">
      <c r="A125" s="112">
        <v>361</v>
      </c>
      <c r="B125" s="113" t="s">
        <v>956</v>
      </c>
      <c r="C125" s="114" t="s">
        <v>429</v>
      </c>
      <c r="D125" s="114" t="s">
        <v>16</v>
      </c>
      <c r="E125" s="115" t="s">
        <v>211</v>
      </c>
      <c r="F125" s="115" t="s">
        <v>535</v>
      </c>
      <c r="G125" s="115" t="s">
        <v>1004</v>
      </c>
      <c r="H125" s="113" t="s">
        <v>8</v>
      </c>
      <c r="I125" s="114">
        <v>21.117650000000001</v>
      </c>
      <c r="J125" s="114">
        <v>-101.70480000000001</v>
      </c>
      <c r="K125" s="113" t="s">
        <v>139</v>
      </c>
      <c r="L125" s="116" t="str">
        <f t="shared" si="2"/>
        <v>Ver en Google Maps</v>
      </c>
      <c r="M125" s="113">
        <v>1</v>
      </c>
      <c r="N125" s="117">
        <v>45940</v>
      </c>
      <c r="O125" s="118">
        <f>DAY('BD1'!$N125)</f>
        <v>10</v>
      </c>
      <c r="P125" s="118">
        <f>MONTH('BD1'!$N125)</f>
        <v>10</v>
      </c>
      <c r="Q125" s="118">
        <f>YEAR('BD1'!$N125)</f>
        <v>2025</v>
      </c>
      <c r="R125" s="118">
        <v>1</v>
      </c>
      <c r="S125" s="118" t="s">
        <v>138</v>
      </c>
      <c r="T125" s="118" t="s">
        <v>138</v>
      </c>
      <c r="U125" s="118" t="s">
        <v>138</v>
      </c>
      <c r="V125" s="118" t="s">
        <v>138</v>
      </c>
      <c r="W125" s="118" t="s">
        <v>138</v>
      </c>
      <c r="X125" s="118" t="s">
        <v>138</v>
      </c>
      <c r="Y125" s="118" t="s">
        <v>138</v>
      </c>
      <c r="Z125" s="118" t="s">
        <v>138</v>
      </c>
      <c r="AA125" s="118">
        <v>26.86</v>
      </c>
      <c r="AB125" s="118">
        <v>6.89</v>
      </c>
      <c r="AC125" s="119" t="s">
        <v>967</v>
      </c>
      <c r="AD125" s="119" t="s">
        <v>957</v>
      </c>
      <c r="AE125" s="118">
        <f t="shared" si="3"/>
        <v>8</v>
      </c>
      <c r="AF125" s="152" t="str">
        <f>IF('BD1'!$AE125=8,"Estable",(IF('BD1'!$AE125=7,"Funcional con observaciones", (IF('BD1'!$AE125=6,"Funcional con observaciones",(IF('BD1'!$AE125=5,"Rendimiento bajo",(IF('BD1'!$AE125=4,"Parcialmente funcional",(IF('BD1'!$AE125=3,"Parcialmente funcional",(IF('BD1'!$AE125=2,"Inoperativo",(IF('BD1'!$AE125=1,"Inoperativo","Crítico")))))))))))))))</f>
        <v>Estable</v>
      </c>
    </row>
    <row r="126" spans="1:32" x14ac:dyDescent="0.2">
      <c r="A126" s="121">
        <v>365</v>
      </c>
      <c r="B126" s="122" t="s">
        <v>956</v>
      </c>
      <c r="C126" s="123" t="s">
        <v>429</v>
      </c>
      <c r="D126" s="123" t="s">
        <v>16</v>
      </c>
      <c r="E126" s="124" t="s">
        <v>212</v>
      </c>
      <c r="F126" s="124" t="s">
        <v>536</v>
      </c>
      <c r="G126" s="124" t="s">
        <v>1064</v>
      </c>
      <c r="H126" s="122" t="s">
        <v>8</v>
      </c>
      <c r="I126" s="123">
        <v>21.099387</v>
      </c>
      <c r="J126" s="123">
        <v>-101.577066</v>
      </c>
      <c r="K126" s="122"/>
      <c r="L126" s="125" t="str">
        <f t="shared" si="2"/>
        <v>Ver en Google Maps</v>
      </c>
      <c r="M126" s="122">
        <v>1</v>
      </c>
      <c r="N126" s="130"/>
      <c r="O126" s="109"/>
      <c r="P126" s="109"/>
      <c r="Q126" s="109"/>
      <c r="R126" s="109"/>
      <c r="S126" s="109"/>
      <c r="T126" s="109"/>
      <c r="U126" s="109"/>
      <c r="V126" s="109"/>
      <c r="W126" s="109"/>
      <c r="X126" s="109"/>
      <c r="Y126" s="109"/>
      <c r="Z126" s="109"/>
      <c r="AA126" s="109"/>
      <c r="AB126" s="109"/>
      <c r="AC126" s="109"/>
      <c r="AD126" s="110"/>
      <c r="AE126" s="109"/>
      <c r="AF126" s="151"/>
    </row>
    <row r="127" spans="1:32" x14ac:dyDescent="0.2">
      <c r="A127" s="112">
        <v>366</v>
      </c>
      <c r="B127" s="113" t="s">
        <v>956</v>
      </c>
      <c r="C127" s="114" t="s">
        <v>429</v>
      </c>
      <c r="D127" s="114" t="s">
        <v>16</v>
      </c>
      <c r="E127" s="115" t="s">
        <v>213</v>
      </c>
      <c r="F127" s="115" t="s">
        <v>537</v>
      </c>
      <c r="G127" s="115" t="s">
        <v>1065</v>
      </c>
      <c r="H127" s="113" t="s">
        <v>8</v>
      </c>
      <c r="I127" s="114">
        <v>21.132390000000001</v>
      </c>
      <c r="J127" s="114">
        <v>-101.69441</v>
      </c>
      <c r="K127" s="113"/>
      <c r="L127" s="116" t="str">
        <f t="shared" si="2"/>
        <v>Ver en Google Maps</v>
      </c>
      <c r="M127" s="113">
        <v>1</v>
      </c>
      <c r="N127" s="129"/>
      <c r="O127" s="118"/>
      <c r="P127" s="118"/>
      <c r="Q127" s="118"/>
      <c r="R127" s="118"/>
      <c r="S127" s="118"/>
      <c r="T127" s="118"/>
      <c r="U127" s="118"/>
      <c r="V127" s="118"/>
      <c r="W127" s="118"/>
      <c r="X127" s="118"/>
      <c r="Y127" s="118"/>
      <c r="Z127" s="118"/>
      <c r="AA127" s="118"/>
      <c r="AB127" s="118"/>
      <c r="AC127" s="118"/>
      <c r="AD127" s="119"/>
      <c r="AE127" s="118"/>
      <c r="AF127" s="152"/>
    </row>
    <row r="128" spans="1:32" x14ac:dyDescent="0.2">
      <c r="A128" s="121">
        <v>369</v>
      </c>
      <c r="B128" s="122" t="s">
        <v>956</v>
      </c>
      <c r="C128" s="123" t="s">
        <v>429</v>
      </c>
      <c r="D128" s="123" t="s">
        <v>16</v>
      </c>
      <c r="E128" s="124" t="s">
        <v>72</v>
      </c>
      <c r="F128" s="124" t="s">
        <v>538</v>
      </c>
      <c r="G128" s="124" t="s">
        <v>73</v>
      </c>
      <c r="H128" s="122" t="s">
        <v>8</v>
      </c>
      <c r="I128" s="123">
        <v>21.110810000000001</v>
      </c>
      <c r="J128" s="123">
        <v>-101.63275</v>
      </c>
      <c r="K128" s="122" t="s">
        <v>139</v>
      </c>
      <c r="L128" s="125" t="str">
        <f t="shared" si="2"/>
        <v>Ver en Google Maps</v>
      </c>
      <c r="M128" s="122">
        <v>1</v>
      </c>
      <c r="N128" s="108">
        <v>45934</v>
      </c>
      <c r="O128" s="109">
        <f>DAY('BD1'!$N128)</f>
        <v>4</v>
      </c>
      <c r="P128" s="109">
        <f>MONTH('BD1'!$N128)</f>
        <v>10</v>
      </c>
      <c r="Q128" s="109">
        <f>YEAR('BD1'!$N128)</f>
        <v>2025</v>
      </c>
      <c r="R128" s="109">
        <v>1</v>
      </c>
      <c r="S128" s="109" t="s">
        <v>138</v>
      </c>
      <c r="T128" s="109" t="s">
        <v>138</v>
      </c>
      <c r="U128" s="109" t="s">
        <v>138</v>
      </c>
      <c r="V128" s="109" t="s">
        <v>138</v>
      </c>
      <c r="W128" s="109" t="s">
        <v>138</v>
      </c>
      <c r="X128" s="109" t="s">
        <v>138</v>
      </c>
      <c r="Y128" s="109" t="s">
        <v>934</v>
      </c>
      <c r="Z128" s="109" t="s">
        <v>934</v>
      </c>
      <c r="AA128" s="109">
        <v>9.15</v>
      </c>
      <c r="AB128" s="109">
        <v>6.01</v>
      </c>
      <c r="AC128" s="110" t="s">
        <v>944</v>
      </c>
      <c r="AD128" s="110" t="s">
        <v>954</v>
      </c>
      <c r="AE128" s="109">
        <f t="shared" si="3"/>
        <v>6</v>
      </c>
      <c r="AF128" s="151" t="str">
        <f>IF(AE128=8,"Estable",(IF(AE128=7,"Funcional con observaciones", (IF(AE128=6,"Funcional con observaciones",(IF(AE128=5,"Rendimiento bajo",(IF(AE128=4,"Parcialmente funcional",(IF(AE128=3,"Parcialmente funcional",(IF(AE128=2,"Inoperativo",(IF(AE128=1,"Inoperativo","Crítico")))))))))))))))</f>
        <v>Funcional con observaciones</v>
      </c>
    </row>
    <row r="129" spans="1:32" x14ac:dyDescent="0.2">
      <c r="A129" s="112">
        <v>371</v>
      </c>
      <c r="B129" s="113" t="s">
        <v>956</v>
      </c>
      <c r="C129" s="114" t="s">
        <v>429</v>
      </c>
      <c r="D129" s="114" t="s">
        <v>16</v>
      </c>
      <c r="E129" s="115" t="s">
        <v>74</v>
      </c>
      <c r="F129" s="115" t="s">
        <v>539</v>
      </c>
      <c r="G129" s="115" t="s">
        <v>1066</v>
      </c>
      <c r="H129" s="113" t="s">
        <v>8</v>
      </c>
      <c r="I129" s="114">
        <v>21.058284</v>
      </c>
      <c r="J129" s="114">
        <v>-101.637996</v>
      </c>
      <c r="K129" s="113"/>
      <c r="L129" s="116" t="str">
        <f t="shared" si="2"/>
        <v>Ver en Google Maps</v>
      </c>
      <c r="M129" s="113">
        <v>1</v>
      </c>
      <c r="N129" s="129"/>
      <c r="O129" s="118"/>
      <c r="P129" s="118"/>
      <c r="Q129" s="118"/>
      <c r="R129" s="118"/>
      <c r="S129" s="118"/>
      <c r="T129" s="118"/>
      <c r="U129" s="118"/>
      <c r="V129" s="118"/>
      <c r="W129" s="118"/>
      <c r="X129" s="118"/>
      <c r="Y129" s="118"/>
      <c r="Z129" s="118"/>
      <c r="AA129" s="118"/>
      <c r="AB129" s="118"/>
      <c r="AC129" s="118"/>
      <c r="AD129" s="119"/>
      <c r="AE129" s="118"/>
      <c r="AF129" s="152"/>
    </row>
    <row r="130" spans="1:32" x14ac:dyDescent="0.2">
      <c r="A130" s="121">
        <v>372</v>
      </c>
      <c r="B130" s="122" t="s">
        <v>956</v>
      </c>
      <c r="C130" s="123" t="s">
        <v>429</v>
      </c>
      <c r="D130" s="123" t="s">
        <v>16</v>
      </c>
      <c r="E130" s="124" t="s">
        <v>214</v>
      </c>
      <c r="F130" s="124" t="s">
        <v>540</v>
      </c>
      <c r="G130" s="124" t="s">
        <v>1067</v>
      </c>
      <c r="H130" s="122" t="s">
        <v>8</v>
      </c>
      <c r="I130" s="123">
        <v>21.145489999999999</v>
      </c>
      <c r="J130" s="123">
        <v>-101.68668</v>
      </c>
      <c r="K130" s="122" t="s">
        <v>139</v>
      </c>
      <c r="L130" s="125" t="str">
        <f t="shared" si="2"/>
        <v>Ver en Google Maps</v>
      </c>
      <c r="M130" s="122">
        <v>1</v>
      </c>
      <c r="N130" s="108">
        <v>45930</v>
      </c>
      <c r="O130" s="109">
        <f>DAY('BD1'!$N130)</f>
        <v>30</v>
      </c>
      <c r="P130" s="109">
        <f>MONTH('BD1'!$N130)</f>
        <v>9</v>
      </c>
      <c r="Q130" s="109">
        <f>YEAR('BD1'!$N130)</f>
        <v>2025</v>
      </c>
      <c r="R130" s="109">
        <v>1</v>
      </c>
      <c r="S130" s="109" t="s">
        <v>138</v>
      </c>
      <c r="T130" s="109" t="s">
        <v>138</v>
      </c>
      <c r="U130" s="109" t="s">
        <v>138</v>
      </c>
      <c r="V130" s="109" t="s">
        <v>138</v>
      </c>
      <c r="W130" s="109" t="s">
        <v>138</v>
      </c>
      <c r="X130" s="109" t="s">
        <v>138</v>
      </c>
      <c r="Y130" s="109" t="s">
        <v>138</v>
      </c>
      <c r="Z130" s="109" t="s">
        <v>138</v>
      </c>
      <c r="AA130" s="109">
        <v>58.82</v>
      </c>
      <c r="AB130" s="109">
        <v>50.21</v>
      </c>
      <c r="AC130" s="110" t="s">
        <v>967</v>
      </c>
      <c r="AD130" s="110" t="s">
        <v>957</v>
      </c>
      <c r="AE130" s="109">
        <f t="shared" si="3"/>
        <v>8</v>
      </c>
      <c r="AF130" s="151" t="str">
        <f t="shared" ref="AF130:AF193" si="4">IF(AE130=8,"Estable",(IF(AE130=7,"Funcional con observaciones", (IF(AE130=6,"Funcional con observaciones",(IF(AE130=5,"Rendimiento bajo",(IF(AE130=4,"Parcialmente funcional",(IF(AE130=3,"Parcialmente funcional",(IF(AE130=2,"Inoperativo",(IF(AE130=1,"Inoperativo","Crítico")))))))))))))))</f>
        <v>Estable</v>
      </c>
    </row>
    <row r="131" spans="1:32" x14ac:dyDescent="0.2">
      <c r="A131" s="112">
        <v>380</v>
      </c>
      <c r="B131" s="113" t="s">
        <v>956</v>
      </c>
      <c r="C131" s="114" t="s">
        <v>429</v>
      </c>
      <c r="D131" s="114" t="s">
        <v>16</v>
      </c>
      <c r="E131" s="115" t="s">
        <v>75</v>
      </c>
      <c r="F131" s="115" t="s">
        <v>541</v>
      </c>
      <c r="G131" s="115" t="s">
        <v>1068</v>
      </c>
      <c r="H131" s="113" t="s">
        <v>8</v>
      </c>
      <c r="I131" s="114">
        <v>21.103639999999999</v>
      </c>
      <c r="J131" s="114">
        <v>-101.70253</v>
      </c>
      <c r="K131" s="113" t="s">
        <v>139</v>
      </c>
      <c r="L131" s="116" t="str">
        <f t="shared" ref="L131:L194" si="5">HYPERLINK("https://www.google.com/maps?q=" &amp; I131 &amp; "," &amp; J131, "Ver en Google Maps")</f>
        <v>Ver en Google Maps</v>
      </c>
      <c r="M131" s="113">
        <v>2</v>
      </c>
      <c r="N131" s="117">
        <v>45932</v>
      </c>
      <c r="O131" s="118">
        <f>DAY('BD1'!$N131)</f>
        <v>2</v>
      </c>
      <c r="P131" s="118">
        <f>MONTH('BD1'!$N131)</f>
        <v>10</v>
      </c>
      <c r="Q131" s="118">
        <f>YEAR('BD1'!$N131)</f>
        <v>2025</v>
      </c>
      <c r="R131" s="118">
        <v>1</v>
      </c>
      <c r="S131" s="118" t="s">
        <v>138</v>
      </c>
      <c r="T131" s="118" t="s">
        <v>138</v>
      </c>
      <c r="U131" s="118" t="s">
        <v>138</v>
      </c>
      <c r="V131" s="118" t="s">
        <v>138</v>
      </c>
      <c r="W131" s="118" t="s">
        <v>138</v>
      </c>
      <c r="X131" s="118" t="s">
        <v>138</v>
      </c>
      <c r="Y131" s="118" t="s">
        <v>138</v>
      </c>
      <c r="Z131" s="118" t="s">
        <v>138</v>
      </c>
      <c r="AA131" s="118">
        <v>36.58</v>
      </c>
      <c r="AB131" s="118">
        <v>21.15</v>
      </c>
      <c r="AC131" s="119" t="s">
        <v>967</v>
      </c>
      <c r="AD131" s="119" t="s">
        <v>954</v>
      </c>
      <c r="AE131" s="118">
        <f t="shared" ref="AE131:AE192" si="6">COUNTIF(S131:Z131, "si")</f>
        <v>8</v>
      </c>
      <c r="AF131" s="152" t="str">
        <f t="shared" si="4"/>
        <v>Estable</v>
      </c>
    </row>
    <row r="132" spans="1:32" x14ac:dyDescent="0.2">
      <c r="A132" s="121">
        <v>381</v>
      </c>
      <c r="B132" s="122" t="s">
        <v>956</v>
      </c>
      <c r="C132" s="123" t="s">
        <v>429</v>
      </c>
      <c r="D132" s="123" t="s">
        <v>16</v>
      </c>
      <c r="E132" s="124" t="s">
        <v>215</v>
      </c>
      <c r="F132" s="124" t="s">
        <v>542</v>
      </c>
      <c r="G132" s="124" t="s">
        <v>1069</v>
      </c>
      <c r="H132" s="122" t="s">
        <v>8</v>
      </c>
      <c r="I132" s="123">
        <v>21.144100000000002</v>
      </c>
      <c r="J132" s="123">
        <v>-101.73332600000001</v>
      </c>
      <c r="K132" s="122" t="s">
        <v>139</v>
      </c>
      <c r="L132" s="125" t="str">
        <f t="shared" si="5"/>
        <v>Ver en Google Maps</v>
      </c>
      <c r="M132" s="122">
        <v>1</v>
      </c>
      <c r="N132" s="108">
        <v>45930</v>
      </c>
      <c r="O132" s="109">
        <f>DAY('BD1'!$N132)</f>
        <v>30</v>
      </c>
      <c r="P132" s="109">
        <f>MONTH('BD1'!$N132)</f>
        <v>9</v>
      </c>
      <c r="Q132" s="109">
        <f>YEAR('BD1'!$N132)</f>
        <v>2025</v>
      </c>
      <c r="R132" s="109">
        <v>1</v>
      </c>
      <c r="S132" s="109" t="s">
        <v>138</v>
      </c>
      <c r="T132" s="109" t="s">
        <v>138</v>
      </c>
      <c r="U132" s="109" t="s">
        <v>138</v>
      </c>
      <c r="V132" s="109" t="s">
        <v>138</v>
      </c>
      <c r="W132" s="109" t="s">
        <v>138</v>
      </c>
      <c r="X132" s="109" t="s">
        <v>138</v>
      </c>
      <c r="Y132" s="109" t="s">
        <v>138</v>
      </c>
      <c r="Z132" s="109" t="s">
        <v>138</v>
      </c>
      <c r="AA132" s="109">
        <v>30.01</v>
      </c>
      <c r="AB132" s="109">
        <v>10.75</v>
      </c>
      <c r="AC132" s="110" t="s">
        <v>967</v>
      </c>
      <c r="AD132" s="110" t="s">
        <v>954</v>
      </c>
      <c r="AE132" s="109">
        <f t="shared" si="6"/>
        <v>8</v>
      </c>
      <c r="AF132" s="151" t="str">
        <f t="shared" si="4"/>
        <v>Estable</v>
      </c>
    </row>
    <row r="133" spans="1:32" x14ac:dyDescent="0.2">
      <c r="A133" s="112">
        <v>382</v>
      </c>
      <c r="B133" s="113" t="s">
        <v>956</v>
      </c>
      <c r="C133" s="114" t="s">
        <v>429</v>
      </c>
      <c r="D133" s="114" t="s">
        <v>16</v>
      </c>
      <c r="E133" s="115" t="s">
        <v>216</v>
      </c>
      <c r="F133" s="115" t="s">
        <v>543</v>
      </c>
      <c r="G133" s="115" t="s">
        <v>1070</v>
      </c>
      <c r="H133" s="113" t="s">
        <v>8</v>
      </c>
      <c r="I133" s="114">
        <v>21.129940000000001</v>
      </c>
      <c r="J133" s="114">
        <v>-101.68953999999999</v>
      </c>
      <c r="K133" s="113" t="s">
        <v>139</v>
      </c>
      <c r="L133" s="116" t="str">
        <f t="shared" si="5"/>
        <v>Ver en Google Maps</v>
      </c>
      <c r="M133" s="113">
        <v>1</v>
      </c>
      <c r="N133" s="117">
        <v>45930</v>
      </c>
      <c r="O133" s="118">
        <f>DAY('BD1'!$N133)</f>
        <v>30</v>
      </c>
      <c r="P133" s="118">
        <f>MONTH('BD1'!$N133)</f>
        <v>9</v>
      </c>
      <c r="Q133" s="118">
        <f>YEAR('BD1'!$N133)</f>
        <v>2025</v>
      </c>
      <c r="R133" s="118">
        <v>1</v>
      </c>
      <c r="S133" s="118" t="s">
        <v>138</v>
      </c>
      <c r="T133" s="118" t="s">
        <v>138</v>
      </c>
      <c r="U133" s="118" t="s">
        <v>138</v>
      </c>
      <c r="V133" s="118" t="s">
        <v>138</v>
      </c>
      <c r="W133" s="118" t="s">
        <v>138</v>
      </c>
      <c r="X133" s="118" t="s">
        <v>138</v>
      </c>
      <c r="Y133" s="118" t="s">
        <v>138</v>
      </c>
      <c r="Z133" s="118" t="s">
        <v>138</v>
      </c>
      <c r="AA133" s="118">
        <v>71.209999999999994</v>
      </c>
      <c r="AB133" s="118">
        <v>72.77</v>
      </c>
      <c r="AC133" s="119" t="s">
        <v>967</v>
      </c>
      <c r="AD133" s="119" t="s">
        <v>957</v>
      </c>
      <c r="AE133" s="118">
        <f t="shared" si="6"/>
        <v>8</v>
      </c>
      <c r="AF133" s="152" t="str">
        <f t="shared" si="4"/>
        <v>Estable</v>
      </c>
    </row>
    <row r="134" spans="1:32" x14ac:dyDescent="0.2">
      <c r="A134" s="121">
        <v>383</v>
      </c>
      <c r="B134" s="122" t="s">
        <v>956</v>
      </c>
      <c r="C134" s="123" t="s">
        <v>429</v>
      </c>
      <c r="D134" s="123" t="s">
        <v>16</v>
      </c>
      <c r="E134" s="124" t="s">
        <v>76</v>
      </c>
      <c r="F134" s="124" t="s">
        <v>544</v>
      </c>
      <c r="G134" s="124" t="s">
        <v>1071</v>
      </c>
      <c r="H134" s="122" t="s">
        <v>8</v>
      </c>
      <c r="I134" s="123">
        <v>21.075700000000001</v>
      </c>
      <c r="J134" s="123">
        <v>-101.64856</v>
      </c>
      <c r="K134" s="122"/>
      <c r="L134" s="125" t="str">
        <f t="shared" si="5"/>
        <v>Ver en Google Maps</v>
      </c>
      <c r="M134" s="122">
        <v>2</v>
      </c>
      <c r="N134" s="130"/>
      <c r="O134" s="109"/>
      <c r="P134" s="109"/>
      <c r="Q134" s="109"/>
      <c r="R134" s="109"/>
      <c r="S134" s="109"/>
      <c r="T134" s="109"/>
      <c r="U134" s="109"/>
      <c r="V134" s="109"/>
      <c r="W134" s="109"/>
      <c r="X134" s="109"/>
      <c r="Y134" s="109"/>
      <c r="Z134" s="109"/>
      <c r="AA134" s="109"/>
      <c r="AB134" s="109"/>
      <c r="AC134" s="109"/>
      <c r="AD134" s="110"/>
      <c r="AE134" s="109"/>
      <c r="AF134" s="151"/>
    </row>
    <row r="135" spans="1:32" x14ac:dyDescent="0.2">
      <c r="A135" s="112">
        <v>384</v>
      </c>
      <c r="B135" s="113" t="s">
        <v>956</v>
      </c>
      <c r="C135" s="114" t="s">
        <v>429</v>
      </c>
      <c r="D135" s="114" t="s">
        <v>16</v>
      </c>
      <c r="E135" s="115" t="s">
        <v>217</v>
      </c>
      <c r="F135" s="115" t="s">
        <v>545</v>
      </c>
      <c r="G135" s="115" t="s">
        <v>1063</v>
      </c>
      <c r="H135" s="113" t="s">
        <v>8</v>
      </c>
      <c r="I135" s="114">
        <v>21.132909999999999</v>
      </c>
      <c r="J135" s="114">
        <v>-101.67433</v>
      </c>
      <c r="K135" s="113" t="s">
        <v>139</v>
      </c>
      <c r="L135" s="116" t="str">
        <f t="shared" si="5"/>
        <v>Ver en Google Maps</v>
      </c>
      <c r="M135" s="113">
        <v>1</v>
      </c>
      <c r="N135" s="117">
        <v>45929</v>
      </c>
      <c r="O135" s="118">
        <f>DAY('BD1'!$N135)</f>
        <v>29</v>
      </c>
      <c r="P135" s="118">
        <f>MONTH('BD1'!$N135)</f>
        <v>9</v>
      </c>
      <c r="Q135" s="118">
        <f>YEAR('BD1'!$N135)</f>
        <v>2025</v>
      </c>
      <c r="R135" s="118">
        <v>1</v>
      </c>
      <c r="S135" s="118" t="s">
        <v>138</v>
      </c>
      <c r="T135" s="118" t="s">
        <v>138</v>
      </c>
      <c r="U135" s="118" t="s">
        <v>138</v>
      </c>
      <c r="V135" s="118" t="s">
        <v>138</v>
      </c>
      <c r="W135" s="118" t="s">
        <v>138</v>
      </c>
      <c r="X135" s="118" t="s">
        <v>138</v>
      </c>
      <c r="Y135" s="118" t="s">
        <v>138</v>
      </c>
      <c r="Z135" s="118" t="s">
        <v>138</v>
      </c>
      <c r="AA135" s="118">
        <v>52.2</v>
      </c>
      <c r="AB135" s="118">
        <v>103</v>
      </c>
      <c r="AC135" s="119" t="s">
        <v>967</v>
      </c>
      <c r="AD135" s="119" t="s">
        <v>954</v>
      </c>
      <c r="AE135" s="118">
        <f t="shared" si="6"/>
        <v>8</v>
      </c>
      <c r="AF135" s="152" t="str">
        <f t="shared" si="4"/>
        <v>Estable</v>
      </c>
    </row>
    <row r="136" spans="1:32" x14ac:dyDescent="0.2">
      <c r="A136" s="121">
        <v>385</v>
      </c>
      <c r="B136" s="122" t="s">
        <v>956</v>
      </c>
      <c r="C136" s="123" t="s">
        <v>429</v>
      </c>
      <c r="D136" s="123" t="s">
        <v>16</v>
      </c>
      <c r="E136" s="124" t="s">
        <v>77</v>
      </c>
      <c r="F136" s="124" t="s">
        <v>546</v>
      </c>
      <c r="G136" s="124" t="s">
        <v>1052</v>
      </c>
      <c r="H136" s="122" t="s">
        <v>8</v>
      </c>
      <c r="I136" s="123">
        <v>21.112580000000001</v>
      </c>
      <c r="J136" s="123">
        <v>-101.69814</v>
      </c>
      <c r="K136" s="122" t="s">
        <v>139</v>
      </c>
      <c r="L136" s="125" t="str">
        <f t="shared" si="5"/>
        <v>Ver en Google Maps</v>
      </c>
      <c r="M136" s="122">
        <v>1</v>
      </c>
      <c r="N136" s="108">
        <v>45940</v>
      </c>
      <c r="O136" s="109">
        <f>DAY('BD1'!$N136)</f>
        <v>10</v>
      </c>
      <c r="P136" s="109">
        <f>MONTH('BD1'!$N136)</f>
        <v>10</v>
      </c>
      <c r="Q136" s="109">
        <f>YEAR('BD1'!$N136)</f>
        <v>2025</v>
      </c>
      <c r="R136" s="109">
        <v>1</v>
      </c>
      <c r="S136" s="109" t="s">
        <v>138</v>
      </c>
      <c r="T136" s="109" t="s">
        <v>138</v>
      </c>
      <c r="U136" s="109" t="s">
        <v>138</v>
      </c>
      <c r="V136" s="109" t="s">
        <v>138</v>
      </c>
      <c r="W136" s="109" t="s">
        <v>138</v>
      </c>
      <c r="X136" s="109" t="s">
        <v>138</v>
      </c>
      <c r="Y136" s="109" t="s">
        <v>138</v>
      </c>
      <c r="Z136" s="109" t="s">
        <v>138</v>
      </c>
      <c r="AA136" s="109">
        <v>56.09</v>
      </c>
      <c r="AB136" s="109">
        <v>7.8</v>
      </c>
      <c r="AC136" s="110" t="s">
        <v>967</v>
      </c>
      <c r="AD136" s="110" t="s">
        <v>957</v>
      </c>
      <c r="AE136" s="109">
        <f t="shared" si="6"/>
        <v>8</v>
      </c>
      <c r="AF136" s="151" t="str">
        <f t="shared" si="4"/>
        <v>Estable</v>
      </c>
    </row>
    <row r="137" spans="1:32" x14ac:dyDescent="0.2">
      <c r="A137" s="112">
        <v>386</v>
      </c>
      <c r="B137" s="113" t="s">
        <v>956</v>
      </c>
      <c r="C137" s="114" t="s">
        <v>429</v>
      </c>
      <c r="D137" s="114" t="s">
        <v>16</v>
      </c>
      <c r="E137" s="115" t="s">
        <v>218</v>
      </c>
      <c r="F137" s="115" t="s">
        <v>547</v>
      </c>
      <c r="G137" s="115" t="s">
        <v>1072</v>
      </c>
      <c r="H137" s="113" t="s">
        <v>8</v>
      </c>
      <c r="I137" s="114">
        <v>21.165479999999999</v>
      </c>
      <c r="J137" s="114">
        <v>-101.69022</v>
      </c>
      <c r="K137" s="113" t="s">
        <v>139</v>
      </c>
      <c r="L137" s="116" t="str">
        <f t="shared" si="5"/>
        <v>Ver en Google Maps</v>
      </c>
      <c r="M137" s="113">
        <v>1</v>
      </c>
      <c r="N137" s="117">
        <v>45929</v>
      </c>
      <c r="O137" s="118">
        <f>DAY('BD1'!$N137)</f>
        <v>29</v>
      </c>
      <c r="P137" s="118">
        <f>MONTH('BD1'!$N137)</f>
        <v>9</v>
      </c>
      <c r="Q137" s="118">
        <f>YEAR('BD1'!$N137)</f>
        <v>2025</v>
      </c>
      <c r="R137" s="118">
        <v>1</v>
      </c>
      <c r="S137" s="118" t="s">
        <v>138</v>
      </c>
      <c r="T137" s="118" t="s">
        <v>138</v>
      </c>
      <c r="U137" s="118" t="s">
        <v>138</v>
      </c>
      <c r="V137" s="118" t="s">
        <v>138</v>
      </c>
      <c r="W137" s="118" t="s">
        <v>138</v>
      </c>
      <c r="X137" s="118" t="s">
        <v>934</v>
      </c>
      <c r="Y137" s="118" t="s">
        <v>934</v>
      </c>
      <c r="Z137" s="118" t="s">
        <v>934</v>
      </c>
      <c r="AA137" s="118">
        <v>0</v>
      </c>
      <c r="AB137" s="118">
        <v>0</v>
      </c>
      <c r="AC137" s="119" t="s">
        <v>935</v>
      </c>
      <c r="AD137" s="119" t="s">
        <v>954</v>
      </c>
      <c r="AE137" s="118">
        <f t="shared" si="6"/>
        <v>5</v>
      </c>
      <c r="AF137" s="152" t="str">
        <f t="shared" si="4"/>
        <v>Rendimiento bajo</v>
      </c>
    </row>
    <row r="138" spans="1:32" x14ac:dyDescent="0.2">
      <c r="A138" s="121">
        <v>387</v>
      </c>
      <c r="B138" s="122" t="s">
        <v>956</v>
      </c>
      <c r="C138" s="123" t="s">
        <v>14</v>
      </c>
      <c r="D138" s="123" t="s">
        <v>404</v>
      </c>
      <c r="E138" s="124" t="s">
        <v>219</v>
      </c>
      <c r="F138" s="124" t="s">
        <v>548</v>
      </c>
      <c r="G138" s="124" t="s">
        <v>1073</v>
      </c>
      <c r="H138" s="122" t="s">
        <v>8</v>
      </c>
      <c r="I138" s="123">
        <v>21.134588000000001</v>
      </c>
      <c r="J138" s="123">
        <v>-101.651968</v>
      </c>
      <c r="K138" s="122" t="s">
        <v>139</v>
      </c>
      <c r="L138" s="125" t="str">
        <f t="shared" si="5"/>
        <v>Ver en Google Maps</v>
      </c>
      <c r="M138" s="122">
        <v>2</v>
      </c>
      <c r="N138" s="108">
        <v>45929</v>
      </c>
      <c r="O138" s="109">
        <f>DAY('BD1'!$N138)</f>
        <v>29</v>
      </c>
      <c r="P138" s="109">
        <f>MONTH('BD1'!$N138)</f>
        <v>9</v>
      </c>
      <c r="Q138" s="109">
        <f>YEAR('BD1'!$N138)</f>
        <v>2025</v>
      </c>
      <c r="R138" s="109">
        <v>1</v>
      </c>
      <c r="S138" s="109" t="s">
        <v>138</v>
      </c>
      <c r="T138" s="109" t="s">
        <v>138</v>
      </c>
      <c r="U138" s="109" t="s">
        <v>138</v>
      </c>
      <c r="V138" s="109" t="s">
        <v>138</v>
      </c>
      <c r="W138" s="109" t="s">
        <v>138</v>
      </c>
      <c r="X138" s="109" t="s">
        <v>138</v>
      </c>
      <c r="Y138" s="109" t="s">
        <v>138</v>
      </c>
      <c r="Z138" s="109" t="s">
        <v>138</v>
      </c>
      <c r="AA138" s="109">
        <v>70.67</v>
      </c>
      <c r="AB138" s="109">
        <v>108.31</v>
      </c>
      <c r="AC138" s="153" t="s">
        <v>939</v>
      </c>
      <c r="AD138" s="110" t="s">
        <v>954</v>
      </c>
      <c r="AE138" s="109">
        <f t="shared" si="6"/>
        <v>8</v>
      </c>
      <c r="AF138" s="151" t="str">
        <f t="shared" si="4"/>
        <v>Estable</v>
      </c>
    </row>
    <row r="139" spans="1:32" x14ac:dyDescent="0.2">
      <c r="A139" s="112">
        <v>388</v>
      </c>
      <c r="B139" s="113" t="s">
        <v>956</v>
      </c>
      <c r="C139" s="114" t="s">
        <v>429</v>
      </c>
      <c r="D139" s="114" t="s">
        <v>16</v>
      </c>
      <c r="E139" s="115" t="s">
        <v>78</v>
      </c>
      <c r="F139" s="115" t="s">
        <v>549</v>
      </c>
      <c r="G139" s="115" t="s">
        <v>1074</v>
      </c>
      <c r="H139" s="113" t="s">
        <v>8</v>
      </c>
      <c r="I139" s="114">
        <v>21.108550000000001</v>
      </c>
      <c r="J139" s="114">
        <v>-101.70041000000001</v>
      </c>
      <c r="K139" s="113" t="s">
        <v>139</v>
      </c>
      <c r="L139" s="116" t="str">
        <f t="shared" si="5"/>
        <v>Ver en Google Maps</v>
      </c>
      <c r="M139" s="113">
        <v>1</v>
      </c>
      <c r="N139" s="117">
        <v>45932</v>
      </c>
      <c r="O139" s="118">
        <f>DAY('BD1'!$N139)</f>
        <v>2</v>
      </c>
      <c r="P139" s="118">
        <f>MONTH('BD1'!$N139)</f>
        <v>10</v>
      </c>
      <c r="Q139" s="118">
        <f>YEAR('BD1'!$N139)</f>
        <v>2025</v>
      </c>
      <c r="R139" s="118">
        <v>1</v>
      </c>
      <c r="S139" s="118" t="s">
        <v>138</v>
      </c>
      <c r="T139" s="118" t="s">
        <v>138</v>
      </c>
      <c r="U139" s="118" t="s">
        <v>138</v>
      </c>
      <c r="V139" s="118" t="s">
        <v>138</v>
      </c>
      <c r="W139" s="118" t="s">
        <v>138</v>
      </c>
      <c r="X139" s="118" t="s">
        <v>138</v>
      </c>
      <c r="Y139" s="118" t="s">
        <v>138</v>
      </c>
      <c r="Z139" s="118" t="s">
        <v>138</v>
      </c>
      <c r="AA139" s="118">
        <v>50.02</v>
      </c>
      <c r="AB139" s="118">
        <v>28.5</v>
      </c>
      <c r="AC139" s="119" t="s">
        <v>967</v>
      </c>
      <c r="AD139" s="119" t="s">
        <v>954</v>
      </c>
      <c r="AE139" s="118">
        <f t="shared" si="6"/>
        <v>8</v>
      </c>
      <c r="AF139" s="152" t="str">
        <f t="shared" si="4"/>
        <v>Estable</v>
      </c>
    </row>
    <row r="140" spans="1:32" x14ac:dyDescent="0.2">
      <c r="A140" s="121">
        <v>389</v>
      </c>
      <c r="B140" s="122" t="s">
        <v>956</v>
      </c>
      <c r="C140" s="123" t="s">
        <v>429</v>
      </c>
      <c r="D140" s="123" t="s">
        <v>16</v>
      </c>
      <c r="E140" s="124" t="s">
        <v>220</v>
      </c>
      <c r="F140" s="124" t="s">
        <v>550</v>
      </c>
      <c r="G140" s="124" t="s">
        <v>1075</v>
      </c>
      <c r="H140" s="122" t="s">
        <v>8</v>
      </c>
      <c r="I140" s="123">
        <v>21.150790000000001</v>
      </c>
      <c r="J140" s="123">
        <v>-101.67958</v>
      </c>
      <c r="K140" s="122" t="s">
        <v>139</v>
      </c>
      <c r="L140" s="125" t="str">
        <f t="shared" si="5"/>
        <v>Ver en Google Maps</v>
      </c>
      <c r="M140" s="122">
        <v>1</v>
      </c>
      <c r="N140" s="108">
        <v>45929</v>
      </c>
      <c r="O140" s="109">
        <f>DAY('BD1'!$N140)</f>
        <v>29</v>
      </c>
      <c r="P140" s="109">
        <f>MONTH('BD1'!$N140)</f>
        <v>9</v>
      </c>
      <c r="Q140" s="109">
        <f>YEAR('BD1'!$N140)</f>
        <v>2025</v>
      </c>
      <c r="R140" s="109">
        <v>1</v>
      </c>
      <c r="S140" s="109" t="s">
        <v>138</v>
      </c>
      <c r="T140" s="109" t="s">
        <v>138</v>
      </c>
      <c r="U140" s="109" t="s">
        <v>138</v>
      </c>
      <c r="V140" s="109" t="s">
        <v>138</v>
      </c>
      <c r="W140" s="109" t="s">
        <v>138</v>
      </c>
      <c r="X140" s="109" t="s">
        <v>138</v>
      </c>
      <c r="Y140" s="109" t="s">
        <v>138</v>
      </c>
      <c r="Z140" s="109" t="s">
        <v>138</v>
      </c>
      <c r="AA140" s="109">
        <v>16.91</v>
      </c>
      <c r="AB140" s="109">
        <v>24.58</v>
      </c>
      <c r="AC140" s="110" t="s">
        <v>967</v>
      </c>
      <c r="AD140" s="110" t="s">
        <v>954</v>
      </c>
      <c r="AE140" s="109">
        <f t="shared" si="6"/>
        <v>8</v>
      </c>
      <c r="AF140" s="151" t="str">
        <f t="shared" si="4"/>
        <v>Estable</v>
      </c>
    </row>
    <row r="141" spans="1:32" x14ac:dyDescent="0.2">
      <c r="A141" s="112">
        <v>396</v>
      </c>
      <c r="B141" s="113" t="s">
        <v>956</v>
      </c>
      <c r="C141" s="114" t="s">
        <v>429</v>
      </c>
      <c r="D141" s="114" t="s">
        <v>16</v>
      </c>
      <c r="E141" s="115" t="s">
        <v>221</v>
      </c>
      <c r="F141" s="115" t="s">
        <v>551</v>
      </c>
      <c r="G141" s="115" t="s">
        <v>1076</v>
      </c>
      <c r="H141" s="113" t="s">
        <v>8</v>
      </c>
      <c r="I141" s="114">
        <v>21.133600000000001</v>
      </c>
      <c r="J141" s="114">
        <v>-101.69745</v>
      </c>
      <c r="K141" s="113" t="s">
        <v>139</v>
      </c>
      <c r="L141" s="116" t="str">
        <f t="shared" si="5"/>
        <v>Ver en Google Maps</v>
      </c>
      <c r="M141" s="113">
        <v>1</v>
      </c>
      <c r="N141" s="117">
        <v>45930</v>
      </c>
      <c r="O141" s="118">
        <f>DAY('BD1'!$N141)</f>
        <v>30</v>
      </c>
      <c r="P141" s="118">
        <f>MONTH('BD1'!$N141)</f>
        <v>9</v>
      </c>
      <c r="Q141" s="118">
        <f>YEAR('BD1'!$N141)</f>
        <v>2025</v>
      </c>
      <c r="R141" s="118">
        <v>1</v>
      </c>
      <c r="S141" s="118" t="s">
        <v>138</v>
      </c>
      <c r="T141" s="118" t="s">
        <v>138</v>
      </c>
      <c r="U141" s="118" t="s">
        <v>138</v>
      </c>
      <c r="V141" s="118" t="s">
        <v>138</v>
      </c>
      <c r="W141" s="118" t="s">
        <v>138</v>
      </c>
      <c r="X141" s="118" t="s">
        <v>138</v>
      </c>
      <c r="Y141" s="118" t="s">
        <v>138</v>
      </c>
      <c r="Z141" s="118" t="s">
        <v>138</v>
      </c>
      <c r="AA141" s="118">
        <v>14.1</v>
      </c>
      <c r="AB141" s="118">
        <v>32.47</v>
      </c>
      <c r="AC141" s="119" t="s">
        <v>967</v>
      </c>
      <c r="AD141" s="119" t="s">
        <v>954</v>
      </c>
      <c r="AE141" s="118">
        <f t="shared" si="6"/>
        <v>8</v>
      </c>
      <c r="AF141" s="152" t="str">
        <f t="shared" si="4"/>
        <v>Estable</v>
      </c>
    </row>
    <row r="142" spans="1:32" x14ac:dyDescent="0.2">
      <c r="A142" s="121">
        <v>398</v>
      </c>
      <c r="B142" s="122" t="s">
        <v>956</v>
      </c>
      <c r="C142" s="123" t="s">
        <v>429</v>
      </c>
      <c r="D142" s="123" t="s">
        <v>17</v>
      </c>
      <c r="E142" s="124" t="s">
        <v>79</v>
      </c>
      <c r="F142" s="124" t="s">
        <v>552</v>
      </c>
      <c r="G142" s="124" t="s">
        <v>1077</v>
      </c>
      <c r="H142" s="122" t="s">
        <v>8</v>
      </c>
      <c r="I142" s="123">
        <v>21.08475</v>
      </c>
      <c r="J142" s="123">
        <v>-101.749072</v>
      </c>
      <c r="K142" s="122"/>
      <c r="L142" s="125" t="str">
        <f t="shared" si="5"/>
        <v>Ver en Google Maps</v>
      </c>
      <c r="M142" s="122">
        <v>1</v>
      </c>
      <c r="N142" s="130"/>
      <c r="O142" s="109"/>
      <c r="P142" s="109"/>
      <c r="Q142" s="109"/>
      <c r="R142" s="109"/>
      <c r="S142" s="109"/>
      <c r="T142" s="109"/>
      <c r="U142" s="109"/>
      <c r="V142" s="109"/>
      <c r="W142" s="109"/>
      <c r="X142" s="109"/>
      <c r="Y142" s="109"/>
      <c r="Z142" s="109"/>
      <c r="AA142" s="109"/>
      <c r="AB142" s="109"/>
      <c r="AC142" s="109"/>
      <c r="AD142" s="110"/>
      <c r="AE142" s="109"/>
      <c r="AF142" s="151"/>
    </row>
    <row r="143" spans="1:32" x14ac:dyDescent="0.2">
      <c r="A143" s="112">
        <v>399</v>
      </c>
      <c r="B143" s="113" t="s">
        <v>956</v>
      </c>
      <c r="C143" s="114" t="s">
        <v>429</v>
      </c>
      <c r="D143" s="114" t="s">
        <v>16</v>
      </c>
      <c r="E143" s="115" t="s">
        <v>80</v>
      </c>
      <c r="F143" s="115" t="s">
        <v>553</v>
      </c>
      <c r="G143" s="115" t="s">
        <v>1078</v>
      </c>
      <c r="H143" s="113" t="s">
        <v>8</v>
      </c>
      <c r="I143" s="114">
        <v>21.065529999999999</v>
      </c>
      <c r="J143" s="114">
        <v>-101.58925000000001</v>
      </c>
      <c r="K143" s="113"/>
      <c r="L143" s="116" t="str">
        <f t="shared" si="5"/>
        <v>Ver en Google Maps</v>
      </c>
      <c r="M143" s="113">
        <v>1</v>
      </c>
      <c r="N143" s="129"/>
      <c r="O143" s="118"/>
      <c r="P143" s="118"/>
      <c r="Q143" s="118"/>
      <c r="R143" s="118"/>
      <c r="S143" s="118"/>
      <c r="T143" s="118"/>
      <c r="U143" s="118"/>
      <c r="V143" s="118"/>
      <c r="W143" s="118"/>
      <c r="X143" s="118"/>
      <c r="Y143" s="118"/>
      <c r="Z143" s="118"/>
      <c r="AA143" s="118"/>
      <c r="AB143" s="118"/>
      <c r="AC143" s="118"/>
      <c r="AD143" s="119"/>
      <c r="AE143" s="118"/>
      <c r="AF143" s="152"/>
    </row>
    <row r="144" spans="1:32" x14ac:dyDescent="0.2">
      <c r="A144" s="121">
        <v>400</v>
      </c>
      <c r="B144" s="122" t="s">
        <v>956</v>
      </c>
      <c r="C144" s="123" t="s">
        <v>429</v>
      </c>
      <c r="D144" s="123" t="s">
        <v>16</v>
      </c>
      <c r="E144" s="124" t="s">
        <v>81</v>
      </c>
      <c r="F144" s="124" t="s">
        <v>554</v>
      </c>
      <c r="G144" s="124" t="s">
        <v>1079</v>
      </c>
      <c r="H144" s="122" t="s">
        <v>8</v>
      </c>
      <c r="I144" s="123">
        <v>21.13786</v>
      </c>
      <c r="J144" s="123">
        <v>-101.70823</v>
      </c>
      <c r="K144" s="122" t="s">
        <v>139</v>
      </c>
      <c r="L144" s="125" t="str">
        <f t="shared" si="5"/>
        <v>Ver en Google Maps</v>
      </c>
      <c r="M144" s="122">
        <v>1</v>
      </c>
      <c r="N144" s="108">
        <v>45933</v>
      </c>
      <c r="O144" s="109">
        <f>DAY('BD1'!$N144)</f>
        <v>3</v>
      </c>
      <c r="P144" s="109">
        <f>MONTH('BD1'!$N144)</f>
        <v>10</v>
      </c>
      <c r="Q144" s="109">
        <f>YEAR('BD1'!$N144)</f>
        <v>2025</v>
      </c>
      <c r="R144" s="109">
        <v>1</v>
      </c>
      <c r="S144" s="109" t="s">
        <v>138</v>
      </c>
      <c r="T144" s="109" t="s">
        <v>138</v>
      </c>
      <c r="U144" s="109" t="s">
        <v>138</v>
      </c>
      <c r="V144" s="109" t="s">
        <v>138</v>
      </c>
      <c r="W144" s="109" t="s">
        <v>138</v>
      </c>
      <c r="X144" s="109" t="s">
        <v>138</v>
      </c>
      <c r="Y144" s="109" t="s">
        <v>138</v>
      </c>
      <c r="Z144" s="109" t="s">
        <v>138</v>
      </c>
      <c r="AA144" s="109">
        <v>15.31</v>
      </c>
      <c r="AB144" s="109">
        <v>33.409999999999997</v>
      </c>
      <c r="AC144" s="110" t="s">
        <v>967</v>
      </c>
      <c r="AD144" s="110" t="s">
        <v>954</v>
      </c>
      <c r="AE144" s="109">
        <f t="shared" si="6"/>
        <v>8</v>
      </c>
      <c r="AF144" s="151" t="str">
        <f t="shared" si="4"/>
        <v>Estable</v>
      </c>
    </row>
    <row r="145" spans="1:32" x14ac:dyDescent="0.2">
      <c r="A145" s="112">
        <v>401</v>
      </c>
      <c r="B145" s="113" t="s">
        <v>956</v>
      </c>
      <c r="C145" s="114" t="s">
        <v>429</v>
      </c>
      <c r="D145" s="114" t="s">
        <v>16</v>
      </c>
      <c r="E145" s="115" t="s">
        <v>82</v>
      </c>
      <c r="F145" s="115" t="s">
        <v>555</v>
      </c>
      <c r="G145" s="115" t="s">
        <v>83</v>
      </c>
      <c r="H145" s="113" t="s">
        <v>8</v>
      </c>
      <c r="I145" s="114">
        <v>21.111719999999998</v>
      </c>
      <c r="J145" s="114">
        <v>-101.69311999999999</v>
      </c>
      <c r="K145" s="113" t="s">
        <v>139</v>
      </c>
      <c r="L145" s="116" t="str">
        <f t="shared" si="5"/>
        <v>Ver en Google Maps</v>
      </c>
      <c r="M145" s="113">
        <v>1</v>
      </c>
      <c r="N145" s="117">
        <v>45932</v>
      </c>
      <c r="O145" s="118">
        <f>DAY('BD1'!$N145)</f>
        <v>2</v>
      </c>
      <c r="P145" s="118">
        <f>MONTH('BD1'!$N145)</f>
        <v>10</v>
      </c>
      <c r="Q145" s="118">
        <f>YEAR('BD1'!$N145)</f>
        <v>2025</v>
      </c>
      <c r="R145" s="118">
        <v>1</v>
      </c>
      <c r="S145" s="118" t="s">
        <v>138</v>
      </c>
      <c r="T145" s="118" t="s">
        <v>138</v>
      </c>
      <c r="U145" s="118" t="s">
        <v>138</v>
      </c>
      <c r="V145" s="118" t="s">
        <v>138</v>
      </c>
      <c r="W145" s="118" t="s">
        <v>138</v>
      </c>
      <c r="X145" s="118" t="s">
        <v>138</v>
      </c>
      <c r="Y145" s="118" t="s">
        <v>138</v>
      </c>
      <c r="Z145" s="118" t="s">
        <v>138</v>
      </c>
      <c r="AA145" s="118">
        <v>14.04</v>
      </c>
      <c r="AB145" s="118">
        <v>54.83</v>
      </c>
      <c r="AC145" s="119" t="s">
        <v>967</v>
      </c>
      <c r="AD145" s="119" t="s">
        <v>954</v>
      </c>
      <c r="AE145" s="118">
        <f t="shared" si="6"/>
        <v>8</v>
      </c>
      <c r="AF145" s="152" t="str">
        <f t="shared" si="4"/>
        <v>Estable</v>
      </c>
    </row>
    <row r="146" spans="1:32" x14ac:dyDescent="0.2">
      <c r="A146" s="121">
        <v>402</v>
      </c>
      <c r="B146" s="122" t="s">
        <v>956</v>
      </c>
      <c r="C146" s="123" t="s">
        <v>429</v>
      </c>
      <c r="D146" s="123" t="s">
        <v>17</v>
      </c>
      <c r="E146" s="124" t="s">
        <v>84</v>
      </c>
      <c r="F146" s="124" t="s">
        <v>556</v>
      </c>
      <c r="G146" s="124" t="s">
        <v>1080</v>
      </c>
      <c r="H146" s="122" t="s">
        <v>8</v>
      </c>
      <c r="I146" s="123">
        <v>21.066901999999999</v>
      </c>
      <c r="J146" s="123">
        <v>-101.620153</v>
      </c>
      <c r="K146" s="122"/>
      <c r="L146" s="125" t="str">
        <f t="shared" si="5"/>
        <v>Ver en Google Maps</v>
      </c>
      <c r="M146" s="122">
        <v>1</v>
      </c>
      <c r="N146" s="130"/>
      <c r="O146" s="109"/>
      <c r="P146" s="109"/>
      <c r="Q146" s="109"/>
      <c r="R146" s="109"/>
      <c r="S146" s="109"/>
      <c r="T146" s="109"/>
      <c r="U146" s="109"/>
      <c r="V146" s="109"/>
      <c r="W146" s="109"/>
      <c r="X146" s="109"/>
      <c r="Y146" s="109"/>
      <c r="Z146" s="109"/>
      <c r="AA146" s="109"/>
      <c r="AB146" s="109"/>
      <c r="AC146" s="109"/>
      <c r="AD146" s="110"/>
      <c r="AE146" s="109"/>
      <c r="AF146" s="151"/>
    </row>
    <row r="147" spans="1:32" x14ac:dyDescent="0.2">
      <c r="A147" s="112">
        <v>409</v>
      </c>
      <c r="B147" s="113" t="s">
        <v>956</v>
      </c>
      <c r="C147" s="114" t="s">
        <v>429</v>
      </c>
      <c r="D147" s="114" t="s">
        <v>16</v>
      </c>
      <c r="E147" s="115" t="s">
        <v>85</v>
      </c>
      <c r="F147" s="115" t="s">
        <v>557</v>
      </c>
      <c r="G147" s="115" t="s">
        <v>86</v>
      </c>
      <c r="H147" s="113" t="s">
        <v>8</v>
      </c>
      <c r="I147" s="114">
        <v>21.11551</v>
      </c>
      <c r="J147" s="114">
        <v>-101.58444</v>
      </c>
      <c r="K147" s="113"/>
      <c r="L147" s="116" t="str">
        <f t="shared" si="5"/>
        <v>Ver en Google Maps</v>
      </c>
      <c r="M147" s="113">
        <v>1</v>
      </c>
      <c r="N147" s="129"/>
      <c r="O147" s="118"/>
      <c r="P147" s="118"/>
      <c r="Q147" s="118"/>
      <c r="R147" s="118"/>
      <c r="S147" s="118"/>
      <c r="T147" s="118"/>
      <c r="U147" s="118"/>
      <c r="V147" s="118"/>
      <c r="W147" s="118"/>
      <c r="X147" s="118"/>
      <c r="Y147" s="118"/>
      <c r="Z147" s="118"/>
      <c r="AA147" s="118"/>
      <c r="AB147" s="118"/>
      <c r="AC147" s="118"/>
      <c r="AD147" s="119"/>
      <c r="AE147" s="118"/>
      <c r="AF147" s="152"/>
    </row>
    <row r="148" spans="1:32" x14ac:dyDescent="0.2">
      <c r="A148" s="121">
        <v>412</v>
      </c>
      <c r="B148" s="122" t="s">
        <v>956</v>
      </c>
      <c r="C148" s="123" t="s">
        <v>14</v>
      </c>
      <c r="D148" s="123" t="s">
        <v>404</v>
      </c>
      <c r="E148" s="124" t="s">
        <v>558</v>
      </c>
      <c r="F148" s="124" t="s">
        <v>559</v>
      </c>
      <c r="G148" s="124" t="s">
        <v>43</v>
      </c>
      <c r="H148" s="122" t="s">
        <v>8</v>
      </c>
      <c r="I148" s="123">
        <v>21.125354999999999</v>
      </c>
      <c r="J148" s="123">
        <v>-101.596108</v>
      </c>
      <c r="K148" s="122" t="s">
        <v>139</v>
      </c>
      <c r="L148" s="125" t="str">
        <f t="shared" si="5"/>
        <v>Ver en Google Maps</v>
      </c>
      <c r="M148" s="122">
        <v>1</v>
      </c>
      <c r="N148" s="108">
        <v>45931</v>
      </c>
      <c r="O148" s="109">
        <f>DAY('BD1'!$N148)</f>
        <v>1</v>
      </c>
      <c r="P148" s="109">
        <f>MONTH('BD1'!$N148)</f>
        <v>10</v>
      </c>
      <c r="Q148" s="109">
        <f>YEAR('BD1'!$N148)</f>
        <v>2025</v>
      </c>
      <c r="R148" s="109">
        <v>1</v>
      </c>
      <c r="S148" s="109" t="s">
        <v>934</v>
      </c>
      <c r="T148" s="109" t="s">
        <v>934</v>
      </c>
      <c r="U148" s="109" t="s">
        <v>934</v>
      </c>
      <c r="V148" s="109" t="s">
        <v>934</v>
      </c>
      <c r="W148" s="109" t="s">
        <v>934</v>
      </c>
      <c r="X148" s="109" t="s">
        <v>934</v>
      </c>
      <c r="Y148" s="109" t="s">
        <v>934</v>
      </c>
      <c r="Z148" s="109" t="s">
        <v>934</v>
      </c>
      <c r="AA148" s="109">
        <v>0</v>
      </c>
      <c r="AB148" s="109">
        <v>0</v>
      </c>
      <c r="AC148" s="109" t="s">
        <v>3056</v>
      </c>
      <c r="AD148" s="110" t="s">
        <v>954</v>
      </c>
      <c r="AE148" s="109">
        <f t="shared" si="6"/>
        <v>0</v>
      </c>
      <c r="AF148" s="151" t="str">
        <f t="shared" si="4"/>
        <v>Crítico</v>
      </c>
    </row>
    <row r="149" spans="1:32" x14ac:dyDescent="0.2">
      <c r="A149" s="112">
        <v>413</v>
      </c>
      <c r="B149" s="113" t="s">
        <v>956</v>
      </c>
      <c r="C149" s="114" t="s">
        <v>429</v>
      </c>
      <c r="D149" s="114" t="s">
        <v>16</v>
      </c>
      <c r="E149" s="115" t="s">
        <v>88</v>
      </c>
      <c r="F149" s="115" t="s">
        <v>560</v>
      </c>
      <c r="G149" s="115" t="s">
        <v>23</v>
      </c>
      <c r="H149" s="113" t="s">
        <v>8</v>
      </c>
      <c r="I149" s="114">
        <v>21.105046999999999</v>
      </c>
      <c r="J149" s="114">
        <v>-101.709835</v>
      </c>
      <c r="K149" s="113"/>
      <c r="L149" s="116" t="str">
        <f t="shared" si="5"/>
        <v>Ver en Google Maps</v>
      </c>
      <c r="M149" s="113">
        <v>1</v>
      </c>
      <c r="N149" s="129"/>
      <c r="O149" s="118"/>
      <c r="P149" s="118"/>
      <c r="Q149" s="118"/>
      <c r="R149" s="118"/>
      <c r="S149" s="118"/>
      <c r="T149" s="118"/>
      <c r="U149" s="118"/>
      <c r="V149" s="118"/>
      <c r="W149" s="118"/>
      <c r="X149" s="118"/>
      <c r="Y149" s="118"/>
      <c r="Z149" s="118"/>
      <c r="AA149" s="118"/>
      <c r="AB149" s="118"/>
      <c r="AC149" s="118"/>
      <c r="AD149" s="119"/>
      <c r="AE149" s="118"/>
      <c r="AF149" s="152"/>
    </row>
    <row r="150" spans="1:32" x14ac:dyDescent="0.2">
      <c r="A150" s="121">
        <v>416</v>
      </c>
      <c r="B150" s="122" t="s">
        <v>956</v>
      </c>
      <c r="C150" s="123" t="s">
        <v>429</v>
      </c>
      <c r="D150" s="123" t="s">
        <v>16</v>
      </c>
      <c r="E150" s="124" t="s">
        <v>89</v>
      </c>
      <c r="F150" s="124" t="s">
        <v>561</v>
      </c>
      <c r="G150" s="124" t="s">
        <v>1019</v>
      </c>
      <c r="H150" s="122" t="s">
        <v>8</v>
      </c>
      <c r="I150" s="123">
        <v>21.115490000000001</v>
      </c>
      <c r="J150" s="123">
        <v>-101.72230999999999</v>
      </c>
      <c r="K150" s="122" t="s">
        <v>139</v>
      </c>
      <c r="L150" s="125" t="str">
        <f t="shared" si="5"/>
        <v>Ver en Google Maps</v>
      </c>
      <c r="M150" s="122">
        <v>1</v>
      </c>
      <c r="N150" s="108">
        <v>45933</v>
      </c>
      <c r="O150" s="109">
        <f>DAY('BD1'!$N150)</f>
        <v>3</v>
      </c>
      <c r="P150" s="109">
        <f>MONTH('BD1'!$N150)</f>
        <v>10</v>
      </c>
      <c r="Q150" s="109">
        <f>YEAR('BD1'!$N150)</f>
        <v>2025</v>
      </c>
      <c r="R150" s="109">
        <v>1</v>
      </c>
      <c r="S150" s="109" t="s">
        <v>138</v>
      </c>
      <c r="T150" s="109" t="s">
        <v>138</v>
      </c>
      <c r="U150" s="109" t="s">
        <v>138</v>
      </c>
      <c r="V150" s="109" t="s">
        <v>138</v>
      </c>
      <c r="W150" s="109" t="s">
        <v>138</v>
      </c>
      <c r="X150" s="109" t="s">
        <v>138</v>
      </c>
      <c r="Y150" s="109" t="s">
        <v>934</v>
      </c>
      <c r="Z150" s="109" t="s">
        <v>138</v>
      </c>
      <c r="AA150" s="109">
        <v>34.56</v>
      </c>
      <c r="AB150" s="109">
        <v>15.1</v>
      </c>
      <c r="AC150" s="110" t="s">
        <v>950</v>
      </c>
      <c r="AD150" s="110" t="s">
        <v>954</v>
      </c>
      <c r="AE150" s="109">
        <f t="shared" si="6"/>
        <v>7</v>
      </c>
      <c r="AF150" s="151" t="str">
        <f t="shared" si="4"/>
        <v>Funcional con observaciones</v>
      </c>
    </row>
    <row r="151" spans="1:32" x14ac:dyDescent="0.2">
      <c r="A151" s="112">
        <v>419</v>
      </c>
      <c r="B151" s="113" t="s">
        <v>956</v>
      </c>
      <c r="C151" s="114" t="s">
        <v>87</v>
      </c>
      <c r="D151" s="114" t="s">
        <v>16</v>
      </c>
      <c r="E151" s="115" t="s">
        <v>90</v>
      </c>
      <c r="F151" s="115" t="s">
        <v>562</v>
      </c>
      <c r="G151" s="115" t="s">
        <v>1004</v>
      </c>
      <c r="H151" s="113" t="s">
        <v>8</v>
      </c>
      <c r="I151" s="114">
        <v>21.116620000000001</v>
      </c>
      <c r="J151" s="114">
        <v>-101.70237</v>
      </c>
      <c r="K151" s="113" t="s">
        <v>139</v>
      </c>
      <c r="L151" s="116" t="str">
        <f t="shared" si="5"/>
        <v>Ver en Google Maps</v>
      </c>
      <c r="M151" s="113">
        <v>1</v>
      </c>
      <c r="N151" s="117">
        <v>45940</v>
      </c>
      <c r="O151" s="118">
        <f>DAY('BD1'!$N151)</f>
        <v>10</v>
      </c>
      <c r="P151" s="118">
        <f>MONTH('BD1'!$N151)</f>
        <v>10</v>
      </c>
      <c r="Q151" s="118">
        <f>YEAR('BD1'!$N151)</f>
        <v>2025</v>
      </c>
      <c r="R151" s="118">
        <v>1</v>
      </c>
      <c r="S151" s="118" t="s">
        <v>138</v>
      </c>
      <c r="T151" s="118" t="s">
        <v>138</v>
      </c>
      <c r="U151" s="118" t="s">
        <v>138</v>
      </c>
      <c r="V151" s="118" t="s">
        <v>138</v>
      </c>
      <c r="W151" s="118" t="s">
        <v>138</v>
      </c>
      <c r="X151" s="118" t="s">
        <v>138</v>
      </c>
      <c r="Y151" s="118" t="s">
        <v>138</v>
      </c>
      <c r="Z151" s="118" t="s">
        <v>934</v>
      </c>
      <c r="AA151" s="118">
        <v>6.86</v>
      </c>
      <c r="AB151" s="118">
        <v>27.23</v>
      </c>
      <c r="AC151" s="119" t="s">
        <v>1412</v>
      </c>
      <c r="AD151" s="119" t="s">
        <v>957</v>
      </c>
      <c r="AE151" s="118">
        <f t="shared" si="6"/>
        <v>7</v>
      </c>
      <c r="AF151" s="152" t="str">
        <f t="shared" si="4"/>
        <v>Funcional con observaciones</v>
      </c>
    </row>
    <row r="152" spans="1:32" x14ac:dyDescent="0.2">
      <c r="A152" s="121">
        <v>420</v>
      </c>
      <c r="B152" s="122" t="s">
        <v>956</v>
      </c>
      <c r="C152" s="123" t="s">
        <v>87</v>
      </c>
      <c r="D152" s="123" t="s">
        <v>563</v>
      </c>
      <c r="E152" s="124" t="s">
        <v>564</v>
      </c>
      <c r="F152" s="124" t="s">
        <v>565</v>
      </c>
      <c r="G152" s="124" t="s">
        <v>1203</v>
      </c>
      <c r="H152" s="122" t="s">
        <v>8</v>
      </c>
      <c r="I152" s="123">
        <v>21.08624</v>
      </c>
      <c r="J152" s="123">
        <v>-101.521469</v>
      </c>
      <c r="K152" s="122"/>
      <c r="L152" s="125" t="str">
        <f t="shared" si="5"/>
        <v>Ver en Google Maps</v>
      </c>
      <c r="M152" s="122">
        <v>1</v>
      </c>
      <c r="N152" s="130"/>
      <c r="O152" s="109"/>
      <c r="P152" s="109"/>
      <c r="Q152" s="109"/>
      <c r="R152" s="109"/>
      <c r="S152" s="109"/>
      <c r="T152" s="109"/>
      <c r="U152" s="109"/>
      <c r="V152" s="109"/>
      <c r="W152" s="109"/>
      <c r="X152" s="109"/>
      <c r="Y152" s="109"/>
      <c r="Z152" s="109"/>
      <c r="AA152" s="109"/>
      <c r="AB152" s="109"/>
      <c r="AC152" s="109"/>
      <c r="AD152" s="110"/>
      <c r="AE152" s="109"/>
      <c r="AF152" s="151"/>
    </row>
    <row r="153" spans="1:32" x14ac:dyDescent="0.2">
      <c r="A153" s="112">
        <v>422</v>
      </c>
      <c r="B153" s="113" t="s">
        <v>956</v>
      </c>
      <c r="C153" s="114" t="s">
        <v>429</v>
      </c>
      <c r="D153" s="114" t="s">
        <v>16</v>
      </c>
      <c r="E153" s="115" t="s">
        <v>91</v>
      </c>
      <c r="F153" s="115" t="s">
        <v>566</v>
      </c>
      <c r="G153" s="115" t="s">
        <v>1068</v>
      </c>
      <c r="H153" s="113" t="s">
        <v>8</v>
      </c>
      <c r="I153" s="114">
        <v>21.10323</v>
      </c>
      <c r="J153" s="114">
        <v>-101.70292999999999</v>
      </c>
      <c r="K153" s="113" t="s">
        <v>139</v>
      </c>
      <c r="L153" s="116" t="str">
        <f t="shared" si="5"/>
        <v>Ver en Google Maps</v>
      </c>
      <c r="M153" s="113">
        <v>1</v>
      </c>
      <c r="N153" s="117">
        <v>45932</v>
      </c>
      <c r="O153" s="118">
        <f>DAY('BD1'!$N153)</f>
        <v>2</v>
      </c>
      <c r="P153" s="118">
        <f>MONTH('BD1'!$N153)</f>
        <v>10</v>
      </c>
      <c r="Q153" s="118">
        <f>YEAR('BD1'!$N153)</f>
        <v>2025</v>
      </c>
      <c r="R153" s="118">
        <v>1</v>
      </c>
      <c r="S153" s="118" t="s">
        <v>138</v>
      </c>
      <c r="T153" s="118" t="s">
        <v>138</v>
      </c>
      <c r="U153" s="118" t="s">
        <v>138</v>
      </c>
      <c r="V153" s="118" t="s">
        <v>138</v>
      </c>
      <c r="W153" s="118" t="s">
        <v>138</v>
      </c>
      <c r="X153" s="118" t="s">
        <v>138</v>
      </c>
      <c r="Y153" s="118" t="s">
        <v>138</v>
      </c>
      <c r="Z153" s="118" t="s">
        <v>138</v>
      </c>
      <c r="AA153" s="118">
        <v>114.94</v>
      </c>
      <c r="AB153" s="118">
        <v>90.05</v>
      </c>
      <c r="AC153" s="119" t="s">
        <v>967</v>
      </c>
      <c r="AD153" s="119" t="s">
        <v>957</v>
      </c>
      <c r="AE153" s="118">
        <f t="shared" si="6"/>
        <v>8</v>
      </c>
      <c r="AF153" s="152" t="str">
        <f t="shared" si="4"/>
        <v>Estable</v>
      </c>
    </row>
    <row r="154" spans="1:32" x14ac:dyDescent="0.2">
      <c r="A154" s="121">
        <v>428</v>
      </c>
      <c r="B154" s="122" t="s">
        <v>956</v>
      </c>
      <c r="C154" s="123" t="s">
        <v>429</v>
      </c>
      <c r="D154" s="123" t="s">
        <v>16</v>
      </c>
      <c r="E154" s="124" t="s">
        <v>222</v>
      </c>
      <c r="F154" s="124" t="s">
        <v>567</v>
      </c>
      <c r="G154" s="124" t="s">
        <v>1063</v>
      </c>
      <c r="H154" s="122" t="s">
        <v>8</v>
      </c>
      <c r="I154" s="123">
        <v>21.131119999999999</v>
      </c>
      <c r="J154" s="123">
        <v>-101.67491</v>
      </c>
      <c r="K154" s="122" t="s">
        <v>139</v>
      </c>
      <c r="L154" s="125" t="str">
        <f t="shared" si="5"/>
        <v>Ver en Google Maps</v>
      </c>
      <c r="M154" s="122">
        <v>1</v>
      </c>
      <c r="N154" s="108">
        <v>45929</v>
      </c>
      <c r="O154" s="109">
        <f>DAY('BD1'!$N154)</f>
        <v>29</v>
      </c>
      <c r="P154" s="109">
        <f>MONTH('BD1'!$N154)</f>
        <v>9</v>
      </c>
      <c r="Q154" s="109">
        <f>YEAR('BD1'!$N154)</f>
        <v>2025</v>
      </c>
      <c r="R154" s="109">
        <v>1</v>
      </c>
      <c r="S154" s="109" t="s">
        <v>138</v>
      </c>
      <c r="T154" s="109" t="s">
        <v>138</v>
      </c>
      <c r="U154" s="109" t="s">
        <v>138</v>
      </c>
      <c r="V154" s="109" t="s">
        <v>138</v>
      </c>
      <c r="W154" s="109" t="s">
        <v>138</v>
      </c>
      <c r="X154" s="109" t="s">
        <v>138</v>
      </c>
      <c r="Y154" s="109" t="s">
        <v>138</v>
      </c>
      <c r="Z154" s="109" t="s">
        <v>138</v>
      </c>
      <c r="AA154" s="109">
        <v>14.17</v>
      </c>
      <c r="AB154" s="109">
        <v>39.33</v>
      </c>
      <c r="AC154" s="110" t="s">
        <v>967</v>
      </c>
      <c r="AD154" s="110" t="s">
        <v>954</v>
      </c>
      <c r="AE154" s="109">
        <f t="shared" si="6"/>
        <v>8</v>
      </c>
      <c r="AF154" s="151" t="str">
        <f t="shared" si="4"/>
        <v>Estable</v>
      </c>
    </row>
    <row r="155" spans="1:32" x14ac:dyDescent="0.2">
      <c r="A155" s="112">
        <v>429</v>
      </c>
      <c r="B155" s="113" t="s">
        <v>956</v>
      </c>
      <c r="C155" s="114" t="s">
        <v>429</v>
      </c>
      <c r="D155" s="114" t="s">
        <v>16</v>
      </c>
      <c r="E155" s="115" t="s">
        <v>92</v>
      </c>
      <c r="F155" s="115" t="s">
        <v>568</v>
      </c>
      <c r="G155" s="115" t="s">
        <v>1052</v>
      </c>
      <c r="H155" s="113" t="s">
        <v>8</v>
      </c>
      <c r="I155" s="114">
        <v>21.112490000000001</v>
      </c>
      <c r="J155" s="114">
        <v>-101.7068</v>
      </c>
      <c r="K155" s="113" t="s">
        <v>139</v>
      </c>
      <c r="L155" s="116" t="str">
        <f t="shared" si="5"/>
        <v>Ver en Google Maps</v>
      </c>
      <c r="M155" s="113">
        <v>1</v>
      </c>
      <c r="N155" s="117">
        <v>45940</v>
      </c>
      <c r="O155" s="118">
        <f>DAY('BD1'!$N155)</f>
        <v>10</v>
      </c>
      <c r="P155" s="118">
        <f>MONTH('BD1'!$N155)</f>
        <v>10</v>
      </c>
      <c r="Q155" s="118">
        <f>YEAR('BD1'!$N155)</f>
        <v>2025</v>
      </c>
      <c r="R155" s="118">
        <v>1</v>
      </c>
      <c r="S155" s="118" t="s">
        <v>138</v>
      </c>
      <c r="T155" s="118" t="s">
        <v>138</v>
      </c>
      <c r="U155" s="118" t="s">
        <v>138</v>
      </c>
      <c r="V155" s="118" t="s">
        <v>138</v>
      </c>
      <c r="W155" s="118" t="s">
        <v>138</v>
      </c>
      <c r="X155" s="118" t="s">
        <v>138</v>
      </c>
      <c r="Y155" s="118" t="s">
        <v>138</v>
      </c>
      <c r="Z155" s="118" t="s">
        <v>138</v>
      </c>
      <c r="AA155" s="118">
        <v>61.29</v>
      </c>
      <c r="AB155" s="118">
        <v>78.11</v>
      </c>
      <c r="AC155" s="119" t="s">
        <v>967</v>
      </c>
      <c r="AD155" s="119" t="s">
        <v>957</v>
      </c>
      <c r="AE155" s="118">
        <f t="shared" si="6"/>
        <v>8</v>
      </c>
      <c r="AF155" s="152" t="str">
        <f t="shared" si="4"/>
        <v>Estable</v>
      </c>
    </row>
    <row r="156" spans="1:32" x14ac:dyDescent="0.2">
      <c r="A156" s="121">
        <v>431</v>
      </c>
      <c r="B156" s="122" t="s">
        <v>956</v>
      </c>
      <c r="C156" s="123" t="s">
        <v>429</v>
      </c>
      <c r="D156" s="123" t="s">
        <v>16</v>
      </c>
      <c r="E156" s="124" t="s">
        <v>93</v>
      </c>
      <c r="F156" s="124" t="s">
        <v>569</v>
      </c>
      <c r="G156" s="124" t="s">
        <v>1081</v>
      </c>
      <c r="H156" s="122" t="s">
        <v>8</v>
      </c>
      <c r="I156" s="123">
        <v>21.14179</v>
      </c>
      <c r="J156" s="123">
        <v>-101.7182</v>
      </c>
      <c r="K156" s="122"/>
      <c r="L156" s="125" t="str">
        <f t="shared" si="5"/>
        <v>Ver en Google Maps</v>
      </c>
      <c r="M156" s="122">
        <v>1</v>
      </c>
      <c r="N156" s="130"/>
      <c r="O156" s="109"/>
      <c r="P156" s="109"/>
      <c r="Q156" s="109"/>
      <c r="R156" s="109"/>
      <c r="S156" s="109"/>
      <c r="T156" s="109"/>
      <c r="U156" s="109"/>
      <c r="V156" s="109"/>
      <c r="W156" s="109"/>
      <c r="X156" s="109"/>
      <c r="Y156" s="109"/>
      <c r="Z156" s="109"/>
      <c r="AA156" s="109"/>
      <c r="AB156" s="109"/>
      <c r="AC156" s="109"/>
      <c r="AD156" s="110"/>
      <c r="AE156" s="109"/>
      <c r="AF156" s="151"/>
    </row>
    <row r="157" spans="1:32" x14ac:dyDescent="0.2">
      <c r="A157" s="112">
        <v>432</v>
      </c>
      <c r="B157" s="113" t="s">
        <v>956</v>
      </c>
      <c r="C157" s="114" t="s">
        <v>429</v>
      </c>
      <c r="D157" s="114" t="s">
        <v>16</v>
      </c>
      <c r="E157" s="115" t="s">
        <v>94</v>
      </c>
      <c r="F157" s="115" t="s">
        <v>570</v>
      </c>
      <c r="G157" s="115" t="s">
        <v>1082</v>
      </c>
      <c r="H157" s="113" t="s">
        <v>8</v>
      </c>
      <c r="I157" s="114">
        <v>21.091359000000001</v>
      </c>
      <c r="J157" s="114">
        <v>-101.754165</v>
      </c>
      <c r="K157" s="113"/>
      <c r="L157" s="116" t="str">
        <f t="shared" si="5"/>
        <v>Ver en Google Maps</v>
      </c>
      <c r="M157" s="113">
        <v>1</v>
      </c>
      <c r="N157" s="129"/>
      <c r="O157" s="118"/>
      <c r="P157" s="118"/>
      <c r="Q157" s="118"/>
      <c r="R157" s="118"/>
      <c r="S157" s="118"/>
      <c r="T157" s="118"/>
      <c r="U157" s="118"/>
      <c r="V157" s="118"/>
      <c r="W157" s="118"/>
      <c r="X157" s="118"/>
      <c r="Y157" s="118"/>
      <c r="Z157" s="118"/>
      <c r="AA157" s="118"/>
      <c r="AB157" s="118"/>
      <c r="AC157" s="118"/>
      <c r="AD157" s="119"/>
      <c r="AE157" s="118"/>
      <c r="AF157" s="152"/>
    </row>
    <row r="158" spans="1:32" x14ac:dyDescent="0.2">
      <c r="A158" s="121">
        <v>433</v>
      </c>
      <c r="B158" s="122" t="s">
        <v>956</v>
      </c>
      <c r="C158" s="123" t="s">
        <v>429</v>
      </c>
      <c r="D158" s="123" t="s">
        <v>16</v>
      </c>
      <c r="E158" s="124" t="s">
        <v>95</v>
      </c>
      <c r="F158" s="124" t="s">
        <v>571</v>
      </c>
      <c r="G158" s="124" t="s">
        <v>1023</v>
      </c>
      <c r="H158" s="122" t="s">
        <v>8</v>
      </c>
      <c r="I158" s="123">
        <v>21.059947000000001</v>
      </c>
      <c r="J158" s="123">
        <v>-101.62000399999999</v>
      </c>
      <c r="K158" s="122"/>
      <c r="L158" s="125" t="str">
        <f t="shared" si="5"/>
        <v>Ver en Google Maps</v>
      </c>
      <c r="M158" s="122">
        <v>1</v>
      </c>
      <c r="N158" s="130"/>
      <c r="O158" s="109"/>
      <c r="P158" s="109"/>
      <c r="Q158" s="109"/>
      <c r="R158" s="109"/>
      <c r="S158" s="109"/>
      <c r="T158" s="109"/>
      <c r="U158" s="109"/>
      <c r="V158" s="109"/>
      <c r="W158" s="109"/>
      <c r="X158" s="109"/>
      <c r="Y158" s="109"/>
      <c r="Z158" s="109"/>
      <c r="AA158" s="109"/>
      <c r="AB158" s="109"/>
      <c r="AC158" s="109"/>
      <c r="AD158" s="110"/>
      <c r="AE158" s="109"/>
      <c r="AF158" s="151"/>
    </row>
    <row r="159" spans="1:32" x14ac:dyDescent="0.2">
      <c r="A159" s="112">
        <v>435</v>
      </c>
      <c r="B159" s="113" t="s">
        <v>956</v>
      </c>
      <c r="C159" s="114" t="s">
        <v>429</v>
      </c>
      <c r="D159" s="114" t="s">
        <v>16</v>
      </c>
      <c r="E159" s="115" t="s">
        <v>96</v>
      </c>
      <c r="F159" s="115" t="s">
        <v>572</v>
      </c>
      <c r="G159" s="115" t="s">
        <v>1083</v>
      </c>
      <c r="H159" s="113" t="s">
        <v>8</v>
      </c>
      <c r="I159" s="114">
        <v>21.099641999999999</v>
      </c>
      <c r="J159" s="114">
        <v>-101.702191</v>
      </c>
      <c r="K159" s="113" t="s">
        <v>139</v>
      </c>
      <c r="L159" s="116" t="str">
        <f t="shared" si="5"/>
        <v>Ver en Google Maps</v>
      </c>
      <c r="M159" s="113">
        <v>1</v>
      </c>
      <c r="N159" s="117">
        <v>45932</v>
      </c>
      <c r="O159" s="118">
        <f>DAY('BD1'!$N159)</f>
        <v>2</v>
      </c>
      <c r="P159" s="118">
        <f>MONTH('BD1'!$N159)</f>
        <v>10</v>
      </c>
      <c r="Q159" s="118">
        <f>YEAR('BD1'!$N159)</f>
        <v>2025</v>
      </c>
      <c r="R159" s="118">
        <v>1</v>
      </c>
      <c r="S159" s="118" t="s">
        <v>138</v>
      </c>
      <c r="T159" s="118" t="s">
        <v>138</v>
      </c>
      <c r="U159" s="118" t="s">
        <v>138</v>
      </c>
      <c r="V159" s="118" t="s">
        <v>138</v>
      </c>
      <c r="W159" s="118" t="s">
        <v>138</v>
      </c>
      <c r="X159" s="118" t="s">
        <v>138</v>
      </c>
      <c r="Y159" s="118" t="s">
        <v>138</v>
      </c>
      <c r="Z159" s="118" t="s">
        <v>138</v>
      </c>
      <c r="AA159" s="118">
        <v>89.31</v>
      </c>
      <c r="AB159" s="118">
        <v>68.489999999999995</v>
      </c>
      <c r="AC159" s="119" t="s">
        <v>967</v>
      </c>
      <c r="AD159" s="119" t="s">
        <v>954</v>
      </c>
      <c r="AE159" s="118">
        <f t="shared" si="6"/>
        <v>8</v>
      </c>
      <c r="AF159" s="152" t="str">
        <f t="shared" si="4"/>
        <v>Estable</v>
      </c>
    </row>
    <row r="160" spans="1:32" x14ac:dyDescent="0.2">
      <c r="A160" s="121">
        <v>436</v>
      </c>
      <c r="B160" s="122" t="s">
        <v>956</v>
      </c>
      <c r="C160" s="123" t="s">
        <v>429</v>
      </c>
      <c r="D160" s="123" t="s">
        <v>17</v>
      </c>
      <c r="E160" s="124" t="s">
        <v>97</v>
      </c>
      <c r="F160" s="124" t="s">
        <v>573</v>
      </c>
      <c r="G160" s="124" t="s">
        <v>1084</v>
      </c>
      <c r="H160" s="122" t="s">
        <v>8</v>
      </c>
      <c r="I160" s="123">
        <v>21.07892</v>
      </c>
      <c r="J160" s="123">
        <v>-101.6183</v>
      </c>
      <c r="K160" s="122"/>
      <c r="L160" s="125" t="str">
        <f t="shared" si="5"/>
        <v>Ver en Google Maps</v>
      </c>
      <c r="M160" s="122">
        <v>1</v>
      </c>
      <c r="N160" s="130"/>
      <c r="O160" s="109"/>
      <c r="P160" s="109"/>
      <c r="Q160" s="109"/>
      <c r="R160" s="109"/>
      <c r="S160" s="109"/>
      <c r="T160" s="109"/>
      <c r="U160" s="109"/>
      <c r="V160" s="109"/>
      <c r="W160" s="109"/>
      <c r="X160" s="109"/>
      <c r="Y160" s="109"/>
      <c r="Z160" s="109"/>
      <c r="AA160" s="109"/>
      <c r="AB160" s="109"/>
      <c r="AC160" s="109"/>
      <c r="AD160" s="110"/>
      <c r="AE160" s="109"/>
      <c r="AF160" s="151"/>
    </row>
    <row r="161" spans="1:32" x14ac:dyDescent="0.2">
      <c r="A161" s="112">
        <v>437</v>
      </c>
      <c r="B161" s="113" t="s">
        <v>956</v>
      </c>
      <c r="C161" s="114" t="s">
        <v>429</v>
      </c>
      <c r="D161" s="114" t="s">
        <v>17</v>
      </c>
      <c r="E161" s="115" t="s">
        <v>98</v>
      </c>
      <c r="F161" s="115" t="s">
        <v>574</v>
      </c>
      <c r="G161" s="115" t="s">
        <v>1085</v>
      </c>
      <c r="H161" s="113" t="s">
        <v>8</v>
      </c>
      <c r="I161" s="114">
        <v>21.072880000000001</v>
      </c>
      <c r="J161" s="114">
        <v>-101.63882</v>
      </c>
      <c r="K161" s="113"/>
      <c r="L161" s="116" t="str">
        <f t="shared" si="5"/>
        <v>Ver en Google Maps</v>
      </c>
      <c r="M161" s="113">
        <v>1</v>
      </c>
      <c r="N161" s="129"/>
      <c r="O161" s="118"/>
      <c r="P161" s="118"/>
      <c r="Q161" s="118"/>
      <c r="R161" s="118"/>
      <c r="S161" s="118"/>
      <c r="T161" s="118"/>
      <c r="U161" s="118"/>
      <c r="V161" s="118"/>
      <c r="W161" s="118"/>
      <c r="X161" s="118"/>
      <c r="Y161" s="118"/>
      <c r="Z161" s="118"/>
      <c r="AA161" s="118"/>
      <c r="AB161" s="118"/>
      <c r="AC161" s="118"/>
      <c r="AD161" s="119"/>
      <c r="AE161" s="118"/>
      <c r="AF161" s="152"/>
    </row>
    <row r="162" spans="1:32" x14ac:dyDescent="0.2">
      <c r="A162" s="121">
        <v>438</v>
      </c>
      <c r="B162" s="122" t="s">
        <v>956</v>
      </c>
      <c r="C162" s="123" t="s">
        <v>429</v>
      </c>
      <c r="D162" s="123" t="s">
        <v>16</v>
      </c>
      <c r="E162" s="124" t="s">
        <v>99</v>
      </c>
      <c r="F162" s="124" t="s">
        <v>575</v>
      </c>
      <c r="G162" s="124" t="s">
        <v>1086</v>
      </c>
      <c r="H162" s="122" t="s">
        <v>8</v>
      </c>
      <c r="I162" s="123">
        <v>21.10294</v>
      </c>
      <c r="J162" s="123">
        <v>-101.60207</v>
      </c>
      <c r="K162" s="122" t="s">
        <v>139</v>
      </c>
      <c r="L162" s="125" t="str">
        <f t="shared" si="5"/>
        <v>Ver en Google Maps</v>
      </c>
      <c r="M162" s="122">
        <v>1</v>
      </c>
      <c r="N162" s="108">
        <v>45931</v>
      </c>
      <c r="O162" s="109">
        <f>DAY('BD1'!$N162)</f>
        <v>1</v>
      </c>
      <c r="P162" s="109">
        <f>MONTH('BD1'!$N162)</f>
        <v>10</v>
      </c>
      <c r="Q162" s="109">
        <f>YEAR('BD1'!$N162)</f>
        <v>2025</v>
      </c>
      <c r="R162" s="109">
        <v>1</v>
      </c>
      <c r="S162" s="109" t="s">
        <v>138</v>
      </c>
      <c r="T162" s="109" t="s">
        <v>138</v>
      </c>
      <c r="U162" s="109" t="s">
        <v>138</v>
      </c>
      <c r="V162" s="109" t="s">
        <v>138</v>
      </c>
      <c r="W162" s="109" t="s">
        <v>138</v>
      </c>
      <c r="X162" s="109" t="s">
        <v>138</v>
      </c>
      <c r="Y162" s="109" t="s">
        <v>138</v>
      </c>
      <c r="Z162" s="109" t="s">
        <v>138</v>
      </c>
      <c r="AA162" s="109">
        <v>33.909999999999997</v>
      </c>
      <c r="AB162" s="109">
        <v>33.380000000000003</v>
      </c>
      <c r="AC162" s="110" t="s">
        <v>967</v>
      </c>
      <c r="AD162" s="110" t="s">
        <v>954</v>
      </c>
      <c r="AE162" s="109">
        <f t="shared" si="6"/>
        <v>8</v>
      </c>
      <c r="AF162" s="151" t="str">
        <f t="shared" si="4"/>
        <v>Estable</v>
      </c>
    </row>
    <row r="163" spans="1:32" x14ac:dyDescent="0.2">
      <c r="A163" s="112">
        <v>439</v>
      </c>
      <c r="B163" s="113" t="s">
        <v>956</v>
      </c>
      <c r="C163" s="114" t="s">
        <v>429</v>
      </c>
      <c r="D163" s="114" t="s">
        <v>15</v>
      </c>
      <c r="E163" s="115" t="s">
        <v>100</v>
      </c>
      <c r="F163" s="115" t="s">
        <v>576</v>
      </c>
      <c r="G163" s="115" t="s">
        <v>1087</v>
      </c>
      <c r="H163" s="113" t="s">
        <v>8</v>
      </c>
      <c r="I163" s="114">
        <v>21.124663999999999</v>
      </c>
      <c r="J163" s="114">
        <v>-101.589361</v>
      </c>
      <c r="K163" s="113" t="s">
        <v>139</v>
      </c>
      <c r="L163" s="116" t="str">
        <f t="shared" si="5"/>
        <v>Ver en Google Maps</v>
      </c>
      <c r="M163" s="113">
        <v>2</v>
      </c>
      <c r="N163" s="117">
        <v>45931</v>
      </c>
      <c r="O163" s="118">
        <f>DAY('BD1'!$N163)</f>
        <v>1</v>
      </c>
      <c r="P163" s="118">
        <f>MONTH('BD1'!$N163)</f>
        <v>10</v>
      </c>
      <c r="Q163" s="118">
        <f>YEAR('BD1'!$N163)</f>
        <v>2025</v>
      </c>
      <c r="R163" s="118">
        <v>1</v>
      </c>
      <c r="S163" s="118" t="s">
        <v>138</v>
      </c>
      <c r="T163" s="118" t="s">
        <v>138</v>
      </c>
      <c r="U163" s="118" t="s">
        <v>138</v>
      </c>
      <c r="V163" s="118" t="s">
        <v>138</v>
      </c>
      <c r="W163" s="118" t="s">
        <v>138</v>
      </c>
      <c r="X163" s="118" t="s">
        <v>138</v>
      </c>
      <c r="Y163" s="118" t="s">
        <v>138</v>
      </c>
      <c r="Z163" s="118" t="s">
        <v>138</v>
      </c>
      <c r="AA163" s="118">
        <v>18.82</v>
      </c>
      <c r="AB163" s="118">
        <v>24.25</v>
      </c>
      <c r="AC163" s="119" t="s">
        <v>967</v>
      </c>
      <c r="AD163" s="119" t="s">
        <v>954</v>
      </c>
      <c r="AE163" s="118">
        <f t="shared" si="6"/>
        <v>8</v>
      </c>
      <c r="AF163" s="152" t="str">
        <f t="shared" si="4"/>
        <v>Estable</v>
      </c>
    </row>
    <row r="164" spans="1:32" x14ac:dyDescent="0.2">
      <c r="A164" s="121">
        <v>440</v>
      </c>
      <c r="B164" s="122" t="s">
        <v>956</v>
      </c>
      <c r="C164" s="123" t="s">
        <v>429</v>
      </c>
      <c r="D164" s="123" t="s">
        <v>15</v>
      </c>
      <c r="E164" s="124" t="s">
        <v>101</v>
      </c>
      <c r="F164" s="124" t="s">
        <v>577</v>
      </c>
      <c r="G164" s="124" t="s">
        <v>22</v>
      </c>
      <c r="H164" s="122" t="s">
        <v>8</v>
      </c>
      <c r="I164" s="123">
        <v>21.092580000000002</v>
      </c>
      <c r="J164" s="123">
        <v>-101.58732999999999</v>
      </c>
      <c r="K164" s="122"/>
      <c r="L164" s="125" t="str">
        <f t="shared" si="5"/>
        <v>Ver en Google Maps</v>
      </c>
      <c r="M164" s="122">
        <v>2</v>
      </c>
      <c r="N164" s="130"/>
      <c r="O164" s="109"/>
      <c r="P164" s="109"/>
      <c r="Q164" s="109"/>
      <c r="R164" s="109"/>
      <c r="S164" s="109"/>
      <c r="T164" s="109"/>
      <c r="U164" s="109"/>
      <c r="V164" s="109"/>
      <c r="W164" s="109"/>
      <c r="X164" s="109"/>
      <c r="Y164" s="109"/>
      <c r="Z164" s="109"/>
      <c r="AA164" s="109"/>
      <c r="AB164" s="109"/>
      <c r="AC164" s="109"/>
      <c r="AD164" s="110"/>
      <c r="AE164" s="109"/>
      <c r="AF164" s="151"/>
    </row>
    <row r="165" spans="1:32" x14ac:dyDescent="0.2">
      <c r="A165" s="112">
        <v>442</v>
      </c>
      <c r="B165" s="113" t="s">
        <v>956</v>
      </c>
      <c r="C165" s="114" t="s">
        <v>429</v>
      </c>
      <c r="D165" s="114" t="s">
        <v>16</v>
      </c>
      <c r="E165" s="115" t="s">
        <v>102</v>
      </c>
      <c r="F165" s="115" t="s">
        <v>578</v>
      </c>
      <c r="G165" s="115" t="s">
        <v>1088</v>
      </c>
      <c r="H165" s="113" t="s">
        <v>8</v>
      </c>
      <c r="I165" s="114">
        <v>21.111141</v>
      </c>
      <c r="J165" s="114">
        <v>-101.715396</v>
      </c>
      <c r="K165" s="113"/>
      <c r="L165" s="116" t="str">
        <f t="shared" si="5"/>
        <v>Ver en Google Maps</v>
      </c>
      <c r="M165" s="113">
        <v>1</v>
      </c>
      <c r="N165" s="117"/>
      <c r="O165" s="118"/>
      <c r="P165" s="118"/>
      <c r="Q165" s="118"/>
      <c r="R165" s="118"/>
      <c r="S165" s="118"/>
      <c r="T165" s="118"/>
      <c r="U165" s="118"/>
      <c r="V165" s="118"/>
      <c r="W165" s="118"/>
      <c r="X165" s="118"/>
      <c r="Y165" s="118"/>
      <c r="Z165" s="118"/>
      <c r="AA165" s="118"/>
      <c r="AB165" s="118"/>
      <c r="AC165" s="119"/>
      <c r="AD165" s="119"/>
      <c r="AE165" s="118"/>
      <c r="AF165" s="152"/>
    </row>
    <row r="166" spans="1:32" x14ac:dyDescent="0.2">
      <c r="A166" s="121">
        <v>443</v>
      </c>
      <c r="B166" s="122" t="s">
        <v>956</v>
      </c>
      <c r="C166" s="123" t="s">
        <v>429</v>
      </c>
      <c r="D166" s="123" t="s">
        <v>16</v>
      </c>
      <c r="E166" s="124" t="s">
        <v>103</v>
      </c>
      <c r="F166" s="124" t="s">
        <v>579</v>
      </c>
      <c r="G166" s="124" t="s">
        <v>1089</v>
      </c>
      <c r="H166" s="122" t="s">
        <v>8</v>
      </c>
      <c r="I166" s="123">
        <v>21.115300000000001</v>
      </c>
      <c r="J166" s="123">
        <v>-101.69396</v>
      </c>
      <c r="K166" s="122" t="s">
        <v>139</v>
      </c>
      <c r="L166" s="125" t="str">
        <f t="shared" si="5"/>
        <v>Ver en Google Maps</v>
      </c>
      <c r="M166" s="122">
        <v>1</v>
      </c>
      <c r="N166" s="108">
        <v>45940</v>
      </c>
      <c r="O166" s="109">
        <f>DAY('BD1'!$N166)</f>
        <v>10</v>
      </c>
      <c r="P166" s="109">
        <f>MONTH('BD1'!$N166)</f>
        <v>10</v>
      </c>
      <c r="Q166" s="109">
        <f>YEAR('BD1'!$N166)</f>
        <v>2025</v>
      </c>
      <c r="R166" s="109">
        <v>1</v>
      </c>
      <c r="S166" s="109" t="s">
        <v>138</v>
      </c>
      <c r="T166" s="109" t="s">
        <v>138</v>
      </c>
      <c r="U166" s="109" t="s">
        <v>138</v>
      </c>
      <c r="V166" s="109" t="s">
        <v>138</v>
      </c>
      <c r="W166" s="109" t="s">
        <v>138</v>
      </c>
      <c r="X166" s="109" t="s">
        <v>138</v>
      </c>
      <c r="Y166" s="109" t="s">
        <v>138</v>
      </c>
      <c r="Z166" s="109" t="s">
        <v>138</v>
      </c>
      <c r="AA166" s="109">
        <v>21.86</v>
      </c>
      <c r="AB166" s="109">
        <v>14.6</v>
      </c>
      <c r="AC166" s="110" t="s">
        <v>967</v>
      </c>
      <c r="AD166" s="110" t="s">
        <v>957</v>
      </c>
      <c r="AE166" s="109">
        <f t="shared" si="6"/>
        <v>8</v>
      </c>
      <c r="AF166" s="151" t="str">
        <f t="shared" si="4"/>
        <v>Estable</v>
      </c>
    </row>
    <row r="167" spans="1:32" x14ac:dyDescent="0.2">
      <c r="A167" s="112">
        <v>445</v>
      </c>
      <c r="B167" s="113" t="s">
        <v>956</v>
      </c>
      <c r="C167" s="114" t="s">
        <v>429</v>
      </c>
      <c r="D167" s="114" t="s">
        <v>16</v>
      </c>
      <c r="E167" s="115" t="s">
        <v>223</v>
      </c>
      <c r="F167" s="115" t="s">
        <v>580</v>
      </c>
      <c r="G167" s="115" t="s">
        <v>1032</v>
      </c>
      <c r="H167" s="113" t="s">
        <v>8</v>
      </c>
      <c r="I167" s="114">
        <v>21.139309999999998</v>
      </c>
      <c r="J167" s="114">
        <v>-101.75396000000001</v>
      </c>
      <c r="K167" s="113" t="s">
        <v>139</v>
      </c>
      <c r="L167" s="116" t="str">
        <f t="shared" si="5"/>
        <v>Ver en Google Maps</v>
      </c>
      <c r="M167" s="113">
        <v>1</v>
      </c>
      <c r="N167" s="117">
        <v>45930</v>
      </c>
      <c r="O167" s="118">
        <f>DAY('BD1'!$N167)</f>
        <v>30</v>
      </c>
      <c r="P167" s="118">
        <f>MONTH('BD1'!$N167)</f>
        <v>9</v>
      </c>
      <c r="Q167" s="118">
        <f>YEAR('BD1'!$N167)</f>
        <v>2025</v>
      </c>
      <c r="R167" s="118">
        <v>1</v>
      </c>
      <c r="S167" s="118" t="s">
        <v>138</v>
      </c>
      <c r="T167" s="118" t="s">
        <v>138</v>
      </c>
      <c r="U167" s="118" t="s">
        <v>138</v>
      </c>
      <c r="V167" s="118" t="s">
        <v>138</v>
      </c>
      <c r="W167" s="118" t="s">
        <v>138</v>
      </c>
      <c r="X167" s="118" t="s">
        <v>138</v>
      </c>
      <c r="Y167" s="118" t="s">
        <v>138</v>
      </c>
      <c r="Z167" s="118" t="s">
        <v>138</v>
      </c>
      <c r="AA167" s="118">
        <v>75.72</v>
      </c>
      <c r="AB167" s="118">
        <v>45.52</v>
      </c>
      <c r="AC167" s="119" t="s">
        <v>967</v>
      </c>
      <c r="AD167" s="119" t="s">
        <v>954</v>
      </c>
      <c r="AE167" s="118">
        <f t="shared" si="6"/>
        <v>8</v>
      </c>
      <c r="AF167" s="152" t="str">
        <f t="shared" si="4"/>
        <v>Estable</v>
      </c>
    </row>
    <row r="168" spans="1:32" x14ac:dyDescent="0.2">
      <c r="A168" s="121">
        <v>447</v>
      </c>
      <c r="B168" s="122" t="s">
        <v>956</v>
      </c>
      <c r="C168" s="123" t="s">
        <v>429</v>
      </c>
      <c r="D168" s="123" t="s">
        <v>16</v>
      </c>
      <c r="E168" s="124" t="s">
        <v>224</v>
      </c>
      <c r="F168" s="124" t="s">
        <v>581</v>
      </c>
      <c r="G168" s="124" t="s">
        <v>1090</v>
      </c>
      <c r="H168" s="122" t="s">
        <v>8</v>
      </c>
      <c r="I168" s="123">
        <v>21.1433</v>
      </c>
      <c r="J168" s="123">
        <v>-101.70074</v>
      </c>
      <c r="K168" s="122" t="s">
        <v>139</v>
      </c>
      <c r="L168" s="125" t="str">
        <f t="shared" si="5"/>
        <v>Ver en Google Maps</v>
      </c>
      <c r="M168" s="122">
        <v>1</v>
      </c>
      <c r="N168" s="108">
        <v>45930</v>
      </c>
      <c r="O168" s="109">
        <f>DAY('BD1'!$N168)</f>
        <v>30</v>
      </c>
      <c r="P168" s="109">
        <f>MONTH('BD1'!$N168)</f>
        <v>9</v>
      </c>
      <c r="Q168" s="109">
        <f>YEAR('BD1'!$N168)</f>
        <v>2025</v>
      </c>
      <c r="R168" s="109">
        <v>1</v>
      </c>
      <c r="S168" s="109" t="s">
        <v>138</v>
      </c>
      <c r="T168" s="109" t="s">
        <v>138</v>
      </c>
      <c r="U168" s="109" t="s">
        <v>138</v>
      </c>
      <c r="V168" s="109" t="s">
        <v>138</v>
      </c>
      <c r="W168" s="109" t="s">
        <v>138</v>
      </c>
      <c r="X168" s="109" t="s">
        <v>138</v>
      </c>
      <c r="Y168" s="109" t="s">
        <v>138</v>
      </c>
      <c r="Z168" s="109" t="s">
        <v>934</v>
      </c>
      <c r="AA168" s="109">
        <v>7.14</v>
      </c>
      <c r="AB168" s="109">
        <v>22.46</v>
      </c>
      <c r="AC168" s="110" t="s">
        <v>964</v>
      </c>
      <c r="AD168" s="110" t="s">
        <v>954</v>
      </c>
      <c r="AE168" s="109">
        <f t="shared" si="6"/>
        <v>7</v>
      </c>
      <c r="AF168" s="151" t="str">
        <f t="shared" si="4"/>
        <v>Funcional con observaciones</v>
      </c>
    </row>
    <row r="169" spans="1:32" x14ac:dyDescent="0.2">
      <c r="A169" s="112">
        <v>448</v>
      </c>
      <c r="B169" s="113" t="s">
        <v>956</v>
      </c>
      <c r="C169" s="114" t="s">
        <v>429</v>
      </c>
      <c r="D169" s="114" t="s">
        <v>16</v>
      </c>
      <c r="E169" s="115" t="s">
        <v>104</v>
      </c>
      <c r="F169" s="115" t="s">
        <v>582</v>
      </c>
      <c r="G169" s="115" t="s">
        <v>1091</v>
      </c>
      <c r="H169" s="113" t="s">
        <v>8</v>
      </c>
      <c r="I169" s="114">
        <v>21.092569999999998</v>
      </c>
      <c r="J169" s="114">
        <v>-101.64555</v>
      </c>
      <c r="K169" s="113"/>
      <c r="L169" s="116" t="str">
        <f t="shared" si="5"/>
        <v>Ver en Google Maps</v>
      </c>
      <c r="M169" s="113">
        <v>1</v>
      </c>
      <c r="N169" s="129"/>
      <c r="O169" s="118"/>
      <c r="P169" s="118"/>
      <c r="Q169" s="118"/>
      <c r="R169" s="118"/>
      <c r="S169" s="118"/>
      <c r="T169" s="118"/>
      <c r="U169" s="118"/>
      <c r="V169" s="118"/>
      <c r="W169" s="118"/>
      <c r="X169" s="118"/>
      <c r="Y169" s="118"/>
      <c r="Z169" s="118"/>
      <c r="AA169" s="118"/>
      <c r="AB169" s="118"/>
      <c r="AC169" s="118"/>
      <c r="AD169" s="119"/>
      <c r="AE169" s="118"/>
      <c r="AF169" s="152"/>
    </row>
    <row r="170" spans="1:32" x14ac:dyDescent="0.2">
      <c r="A170" s="121">
        <v>453</v>
      </c>
      <c r="B170" s="122" t="s">
        <v>956</v>
      </c>
      <c r="C170" s="123" t="s">
        <v>429</v>
      </c>
      <c r="D170" s="123" t="s">
        <v>17</v>
      </c>
      <c r="E170" s="124" t="s">
        <v>105</v>
      </c>
      <c r="F170" s="124" t="s">
        <v>583</v>
      </c>
      <c r="G170" s="124" t="s">
        <v>1092</v>
      </c>
      <c r="H170" s="122" t="s">
        <v>8</v>
      </c>
      <c r="I170" s="123">
        <v>21.057898000000002</v>
      </c>
      <c r="J170" s="123">
        <v>-101.637951</v>
      </c>
      <c r="K170" s="122"/>
      <c r="L170" s="125" t="str">
        <f t="shared" si="5"/>
        <v>Ver en Google Maps</v>
      </c>
      <c r="M170" s="122">
        <v>1</v>
      </c>
      <c r="N170" s="130"/>
      <c r="O170" s="109"/>
      <c r="P170" s="109"/>
      <c r="Q170" s="109"/>
      <c r="R170" s="109"/>
      <c r="S170" s="109"/>
      <c r="T170" s="109"/>
      <c r="U170" s="109"/>
      <c r="V170" s="109"/>
      <c r="W170" s="109"/>
      <c r="X170" s="109"/>
      <c r="Y170" s="109"/>
      <c r="Z170" s="109"/>
      <c r="AA170" s="109"/>
      <c r="AB170" s="109"/>
      <c r="AC170" s="109"/>
      <c r="AD170" s="110"/>
      <c r="AE170" s="109"/>
      <c r="AF170" s="151"/>
    </row>
    <row r="171" spans="1:32" x14ac:dyDescent="0.2">
      <c r="A171" s="112">
        <v>456</v>
      </c>
      <c r="B171" s="113" t="s">
        <v>956</v>
      </c>
      <c r="C171" s="114" t="s">
        <v>429</v>
      </c>
      <c r="D171" s="114" t="s">
        <v>16</v>
      </c>
      <c r="E171" s="115" t="s">
        <v>106</v>
      </c>
      <c r="F171" s="115" t="s">
        <v>584</v>
      </c>
      <c r="G171" s="115" t="s">
        <v>1093</v>
      </c>
      <c r="H171" s="113" t="s">
        <v>8</v>
      </c>
      <c r="I171" s="114">
        <v>21.079899999999999</v>
      </c>
      <c r="J171" s="114">
        <v>-101.65606</v>
      </c>
      <c r="K171" s="113"/>
      <c r="L171" s="116" t="str">
        <f t="shared" si="5"/>
        <v>Ver en Google Maps</v>
      </c>
      <c r="M171" s="113">
        <v>1</v>
      </c>
      <c r="N171" s="129"/>
      <c r="O171" s="118"/>
      <c r="P171" s="118"/>
      <c r="Q171" s="118"/>
      <c r="R171" s="118"/>
      <c r="S171" s="118"/>
      <c r="T171" s="118"/>
      <c r="U171" s="118"/>
      <c r="V171" s="118"/>
      <c r="W171" s="118"/>
      <c r="X171" s="118"/>
      <c r="Y171" s="118"/>
      <c r="Z171" s="118"/>
      <c r="AA171" s="118"/>
      <c r="AB171" s="118"/>
      <c r="AC171" s="118"/>
      <c r="AD171" s="119"/>
      <c r="AE171" s="118"/>
      <c r="AF171" s="152"/>
    </row>
    <row r="172" spans="1:32" x14ac:dyDescent="0.2">
      <c r="A172" s="121">
        <v>458</v>
      </c>
      <c r="B172" s="122" t="s">
        <v>956</v>
      </c>
      <c r="C172" s="123" t="s">
        <v>429</v>
      </c>
      <c r="D172" s="123" t="s">
        <v>16</v>
      </c>
      <c r="E172" s="124" t="s">
        <v>225</v>
      </c>
      <c r="F172" s="124" t="s">
        <v>585</v>
      </c>
      <c r="G172" s="124" t="s">
        <v>984</v>
      </c>
      <c r="H172" s="122" t="s">
        <v>8</v>
      </c>
      <c r="I172" s="123">
        <v>21.141349999999999</v>
      </c>
      <c r="J172" s="123">
        <v>-101.66932</v>
      </c>
      <c r="K172" s="122" t="s">
        <v>139</v>
      </c>
      <c r="L172" s="125" t="str">
        <f t="shared" si="5"/>
        <v>Ver en Google Maps</v>
      </c>
      <c r="M172" s="122">
        <v>1</v>
      </c>
      <c r="N172" s="108">
        <v>45929</v>
      </c>
      <c r="O172" s="109">
        <f>DAY('BD1'!$N172)</f>
        <v>29</v>
      </c>
      <c r="P172" s="109">
        <f>MONTH('BD1'!$N172)</f>
        <v>9</v>
      </c>
      <c r="Q172" s="109">
        <f>YEAR('BD1'!$N172)</f>
        <v>2025</v>
      </c>
      <c r="R172" s="109">
        <v>1</v>
      </c>
      <c r="S172" s="109" t="s">
        <v>138</v>
      </c>
      <c r="T172" s="109" t="s">
        <v>138</v>
      </c>
      <c r="U172" s="109" t="s">
        <v>138</v>
      </c>
      <c r="V172" s="109" t="s">
        <v>138</v>
      </c>
      <c r="W172" s="109" t="s">
        <v>138</v>
      </c>
      <c r="X172" s="109" t="s">
        <v>138</v>
      </c>
      <c r="Y172" s="109" t="s">
        <v>934</v>
      </c>
      <c r="Z172" s="109" t="s">
        <v>934</v>
      </c>
      <c r="AA172" s="109">
        <v>9.6199999999999992</v>
      </c>
      <c r="AB172" s="109">
        <v>36.4</v>
      </c>
      <c r="AC172" s="110" t="s">
        <v>937</v>
      </c>
      <c r="AD172" s="110" t="s">
        <v>954</v>
      </c>
      <c r="AE172" s="109">
        <f t="shared" si="6"/>
        <v>6</v>
      </c>
      <c r="AF172" s="151" t="str">
        <f t="shared" si="4"/>
        <v>Funcional con observaciones</v>
      </c>
    </row>
    <row r="173" spans="1:32" x14ac:dyDescent="0.2">
      <c r="A173" s="112">
        <v>465</v>
      </c>
      <c r="B173" s="113" t="s">
        <v>956</v>
      </c>
      <c r="C173" s="114" t="s">
        <v>429</v>
      </c>
      <c r="D173" s="114" t="s">
        <v>16</v>
      </c>
      <c r="E173" s="115" t="s">
        <v>226</v>
      </c>
      <c r="F173" s="115" t="s">
        <v>586</v>
      </c>
      <c r="G173" s="115" t="s">
        <v>1094</v>
      </c>
      <c r="H173" s="113" t="s">
        <v>8</v>
      </c>
      <c r="I173" s="114">
        <v>21.134138</v>
      </c>
      <c r="J173" s="114">
        <v>-101.756474</v>
      </c>
      <c r="K173" s="113" t="s">
        <v>139</v>
      </c>
      <c r="L173" s="116" t="str">
        <f t="shared" si="5"/>
        <v>Ver en Google Maps</v>
      </c>
      <c r="M173" s="113">
        <v>1</v>
      </c>
      <c r="N173" s="117">
        <v>45930</v>
      </c>
      <c r="O173" s="118">
        <f>DAY('BD1'!$N173)</f>
        <v>30</v>
      </c>
      <c r="P173" s="118">
        <f>MONTH('BD1'!$N173)</f>
        <v>9</v>
      </c>
      <c r="Q173" s="118">
        <f>YEAR('BD1'!$N173)</f>
        <v>2025</v>
      </c>
      <c r="R173" s="118">
        <v>1</v>
      </c>
      <c r="S173" s="118" t="s">
        <v>138</v>
      </c>
      <c r="T173" s="118" t="s">
        <v>138</v>
      </c>
      <c r="U173" s="118" t="s">
        <v>138</v>
      </c>
      <c r="V173" s="118" t="s">
        <v>138</v>
      </c>
      <c r="W173" s="118" t="s">
        <v>138</v>
      </c>
      <c r="X173" s="118" t="s">
        <v>138</v>
      </c>
      <c r="Y173" s="118" t="s">
        <v>138</v>
      </c>
      <c r="Z173" s="118" t="s">
        <v>138</v>
      </c>
      <c r="AA173" s="118">
        <v>52.41</v>
      </c>
      <c r="AB173" s="118">
        <v>32.32</v>
      </c>
      <c r="AC173" s="119" t="s">
        <v>967</v>
      </c>
      <c r="AD173" s="119" t="s">
        <v>954</v>
      </c>
      <c r="AE173" s="118">
        <f t="shared" si="6"/>
        <v>8</v>
      </c>
      <c r="AF173" s="152" t="str">
        <f t="shared" si="4"/>
        <v>Estable</v>
      </c>
    </row>
    <row r="174" spans="1:32" x14ac:dyDescent="0.2">
      <c r="A174" s="121">
        <v>466</v>
      </c>
      <c r="B174" s="122" t="s">
        <v>956</v>
      </c>
      <c r="C174" s="123" t="s">
        <v>429</v>
      </c>
      <c r="D174" s="123" t="s">
        <v>16</v>
      </c>
      <c r="E174" s="124" t="s">
        <v>587</v>
      </c>
      <c r="F174" s="124" t="s">
        <v>588</v>
      </c>
      <c r="G174" s="124" t="s">
        <v>1095</v>
      </c>
      <c r="H174" s="122" t="s">
        <v>8</v>
      </c>
      <c r="I174" s="123">
        <v>21.092130000000001</v>
      </c>
      <c r="J174" s="123">
        <v>-101.65734</v>
      </c>
      <c r="K174" s="122"/>
      <c r="L174" s="125" t="str">
        <f t="shared" si="5"/>
        <v>Ver en Google Maps</v>
      </c>
      <c r="M174" s="122">
        <v>1</v>
      </c>
      <c r="N174" s="130"/>
      <c r="O174" s="109"/>
      <c r="P174" s="109"/>
      <c r="Q174" s="109"/>
      <c r="R174" s="109"/>
      <c r="S174" s="109"/>
      <c r="T174" s="109"/>
      <c r="U174" s="109"/>
      <c r="V174" s="109"/>
      <c r="W174" s="109"/>
      <c r="X174" s="109"/>
      <c r="Y174" s="109"/>
      <c r="Z174" s="109"/>
      <c r="AA174" s="109"/>
      <c r="AB174" s="109"/>
      <c r="AC174" s="109"/>
      <c r="AD174" s="110"/>
      <c r="AE174" s="109"/>
      <c r="AF174" s="151"/>
    </row>
    <row r="175" spans="1:32" x14ac:dyDescent="0.2">
      <c r="A175" s="112">
        <v>468</v>
      </c>
      <c r="B175" s="113" t="s">
        <v>956</v>
      </c>
      <c r="C175" s="114" t="s">
        <v>429</v>
      </c>
      <c r="D175" s="114" t="s">
        <v>16</v>
      </c>
      <c r="E175" s="115" t="s">
        <v>227</v>
      </c>
      <c r="F175" s="115" t="s">
        <v>589</v>
      </c>
      <c r="G175" s="115" t="s">
        <v>979</v>
      </c>
      <c r="H175" s="113" t="s">
        <v>8</v>
      </c>
      <c r="I175" s="114">
        <v>21.130089999999999</v>
      </c>
      <c r="J175" s="114">
        <v>-101.63934</v>
      </c>
      <c r="K175" s="113" t="s">
        <v>139</v>
      </c>
      <c r="L175" s="116" t="str">
        <f t="shared" si="5"/>
        <v>Ver en Google Maps</v>
      </c>
      <c r="M175" s="113">
        <v>1</v>
      </c>
      <c r="N175" s="117">
        <v>45929</v>
      </c>
      <c r="O175" s="118">
        <f>DAY('BD1'!$N175)</f>
        <v>29</v>
      </c>
      <c r="P175" s="118">
        <f>MONTH('BD1'!$N175)</f>
        <v>9</v>
      </c>
      <c r="Q175" s="118">
        <f>YEAR('BD1'!$N175)</f>
        <v>2025</v>
      </c>
      <c r="R175" s="118">
        <v>1</v>
      </c>
      <c r="S175" s="118" t="s">
        <v>138</v>
      </c>
      <c r="T175" s="118" t="s">
        <v>138</v>
      </c>
      <c r="U175" s="118" t="s">
        <v>138</v>
      </c>
      <c r="V175" s="118" t="s">
        <v>138</v>
      </c>
      <c r="W175" s="118" t="s">
        <v>138</v>
      </c>
      <c r="X175" s="118" t="s">
        <v>138</v>
      </c>
      <c r="Y175" s="118" t="s">
        <v>138</v>
      </c>
      <c r="Z175" s="118" t="s">
        <v>138</v>
      </c>
      <c r="AA175" s="118">
        <v>35.299999999999997</v>
      </c>
      <c r="AB175" s="118">
        <v>13.07</v>
      </c>
      <c r="AC175" s="119" t="s">
        <v>967</v>
      </c>
      <c r="AD175" s="119" t="s">
        <v>954</v>
      </c>
      <c r="AE175" s="118">
        <f t="shared" si="6"/>
        <v>8</v>
      </c>
      <c r="AF175" s="152" t="str">
        <f t="shared" si="4"/>
        <v>Estable</v>
      </c>
    </row>
    <row r="176" spans="1:32" x14ac:dyDescent="0.2">
      <c r="A176" s="121">
        <v>469</v>
      </c>
      <c r="B176" s="122" t="s">
        <v>956</v>
      </c>
      <c r="C176" s="123" t="s">
        <v>429</v>
      </c>
      <c r="D176" s="123" t="s">
        <v>16</v>
      </c>
      <c r="E176" s="124" t="s">
        <v>107</v>
      </c>
      <c r="F176" s="124" t="s">
        <v>590</v>
      </c>
      <c r="G176" s="124" t="s">
        <v>1096</v>
      </c>
      <c r="H176" s="122" t="s">
        <v>8</v>
      </c>
      <c r="I176" s="123">
        <v>21.116710000000001</v>
      </c>
      <c r="J176" s="123">
        <v>-101.581414</v>
      </c>
      <c r="K176" s="122"/>
      <c r="L176" s="125" t="str">
        <f t="shared" si="5"/>
        <v>Ver en Google Maps</v>
      </c>
      <c r="M176" s="122">
        <v>1</v>
      </c>
      <c r="N176" s="130"/>
      <c r="O176" s="109"/>
      <c r="P176" s="109"/>
      <c r="Q176" s="109"/>
      <c r="R176" s="109"/>
      <c r="S176" s="109"/>
      <c r="T176" s="109"/>
      <c r="U176" s="109"/>
      <c r="V176" s="109"/>
      <c r="W176" s="109"/>
      <c r="X176" s="109"/>
      <c r="Y176" s="109"/>
      <c r="Z176" s="109"/>
      <c r="AA176" s="109"/>
      <c r="AB176" s="109"/>
      <c r="AC176" s="109"/>
      <c r="AD176" s="110"/>
      <c r="AE176" s="109"/>
      <c r="AF176" s="151"/>
    </row>
    <row r="177" spans="1:32" x14ac:dyDescent="0.2">
      <c r="A177" s="112">
        <v>475</v>
      </c>
      <c r="B177" s="113" t="s">
        <v>956</v>
      </c>
      <c r="C177" s="114" t="s">
        <v>429</v>
      </c>
      <c r="D177" s="114" t="s">
        <v>16</v>
      </c>
      <c r="E177" s="115" t="s">
        <v>108</v>
      </c>
      <c r="F177" s="115" t="s">
        <v>591</v>
      </c>
      <c r="G177" s="115" t="s">
        <v>1097</v>
      </c>
      <c r="H177" s="113" t="s">
        <v>8</v>
      </c>
      <c r="I177" s="114">
        <v>21.070948999999999</v>
      </c>
      <c r="J177" s="114">
        <v>-101.605351</v>
      </c>
      <c r="K177" s="113"/>
      <c r="L177" s="116" t="str">
        <f t="shared" si="5"/>
        <v>Ver en Google Maps</v>
      </c>
      <c r="M177" s="113">
        <v>1</v>
      </c>
      <c r="N177" s="129"/>
      <c r="O177" s="118"/>
      <c r="P177" s="118"/>
      <c r="Q177" s="118"/>
      <c r="R177" s="118"/>
      <c r="S177" s="118"/>
      <c r="T177" s="118"/>
      <c r="U177" s="118"/>
      <c r="V177" s="118"/>
      <c r="W177" s="118"/>
      <c r="X177" s="118"/>
      <c r="Y177" s="118"/>
      <c r="Z177" s="118"/>
      <c r="AA177" s="118"/>
      <c r="AB177" s="118"/>
      <c r="AC177" s="118"/>
      <c r="AD177" s="119"/>
      <c r="AE177" s="118"/>
      <c r="AF177" s="152"/>
    </row>
    <row r="178" spans="1:32" x14ac:dyDescent="0.2">
      <c r="A178" s="121">
        <v>478</v>
      </c>
      <c r="B178" s="122" t="s">
        <v>956</v>
      </c>
      <c r="C178" s="123" t="s">
        <v>429</v>
      </c>
      <c r="D178" s="123" t="s">
        <v>16</v>
      </c>
      <c r="E178" s="124" t="s">
        <v>228</v>
      </c>
      <c r="F178" s="124" t="s">
        <v>592</v>
      </c>
      <c r="G178" s="124" t="s">
        <v>997</v>
      </c>
      <c r="H178" s="122" t="s">
        <v>8</v>
      </c>
      <c r="I178" s="123">
        <v>21.117280000000001</v>
      </c>
      <c r="J178" s="123">
        <v>-101.73036</v>
      </c>
      <c r="K178" s="122" t="s">
        <v>139</v>
      </c>
      <c r="L178" s="125" t="str">
        <f t="shared" si="5"/>
        <v>Ver en Google Maps</v>
      </c>
      <c r="M178" s="122">
        <v>1</v>
      </c>
      <c r="N178" s="108">
        <v>45930</v>
      </c>
      <c r="O178" s="109">
        <f>DAY('BD1'!$N178)</f>
        <v>30</v>
      </c>
      <c r="P178" s="109">
        <f>MONTH('BD1'!$N178)</f>
        <v>9</v>
      </c>
      <c r="Q178" s="109">
        <f>YEAR('BD1'!$N178)</f>
        <v>2025</v>
      </c>
      <c r="R178" s="109">
        <v>1</v>
      </c>
      <c r="S178" s="109" t="s">
        <v>934</v>
      </c>
      <c r="T178" s="109" t="s">
        <v>138</v>
      </c>
      <c r="U178" s="109" t="s">
        <v>138</v>
      </c>
      <c r="V178" s="109" t="s">
        <v>138</v>
      </c>
      <c r="W178" s="109" t="s">
        <v>138</v>
      </c>
      <c r="X178" s="109" t="s">
        <v>138</v>
      </c>
      <c r="Y178" s="109" t="s">
        <v>934</v>
      </c>
      <c r="Z178" s="109" t="s">
        <v>934</v>
      </c>
      <c r="AA178" s="109">
        <v>0</v>
      </c>
      <c r="AB178" s="109">
        <v>0</v>
      </c>
      <c r="AC178" s="110" t="s">
        <v>964</v>
      </c>
      <c r="AD178" s="110" t="s">
        <v>954</v>
      </c>
      <c r="AE178" s="109">
        <f t="shared" si="6"/>
        <v>5</v>
      </c>
      <c r="AF178" s="151" t="str">
        <f t="shared" si="4"/>
        <v>Rendimiento bajo</v>
      </c>
    </row>
    <row r="179" spans="1:32" x14ac:dyDescent="0.2">
      <c r="A179" s="112">
        <v>479</v>
      </c>
      <c r="B179" s="113" t="s">
        <v>956</v>
      </c>
      <c r="C179" s="114" t="s">
        <v>429</v>
      </c>
      <c r="D179" s="114" t="s">
        <v>16</v>
      </c>
      <c r="E179" s="115" t="s">
        <v>229</v>
      </c>
      <c r="F179" s="115" t="s">
        <v>593</v>
      </c>
      <c r="G179" s="115" t="s">
        <v>1098</v>
      </c>
      <c r="H179" s="113" t="s">
        <v>8</v>
      </c>
      <c r="I179" s="114">
        <v>21.140689999999999</v>
      </c>
      <c r="J179" s="114">
        <v>-101.73911</v>
      </c>
      <c r="K179" s="113" t="s">
        <v>139</v>
      </c>
      <c r="L179" s="116" t="str">
        <f t="shared" si="5"/>
        <v>Ver en Google Maps</v>
      </c>
      <c r="M179" s="113">
        <v>1</v>
      </c>
      <c r="N179" s="117">
        <v>45930</v>
      </c>
      <c r="O179" s="118">
        <f>DAY('BD1'!$N179)</f>
        <v>30</v>
      </c>
      <c r="P179" s="118">
        <f>MONTH('BD1'!$N179)</f>
        <v>9</v>
      </c>
      <c r="Q179" s="118">
        <f>YEAR('BD1'!$N179)</f>
        <v>2025</v>
      </c>
      <c r="R179" s="118">
        <v>1</v>
      </c>
      <c r="S179" s="118" t="s">
        <v>138</v>
      </c>
      <c r="T179" s="118" t="s">
        <v>138</v>
      </c>
      <c r="U179" s="118" t="s">
        <v>138</v>
      </c>
      <c r="V179" s="118" t="s">
        <v>934</v>
      </c>
      <c r="W179" s="118" t="s">
        <v>138</v>
      </c>
      <c r="X179" s="118" t="s">
        <v>934</v>
      </c>
      <c r="Y179" s="118" t="s">
        <v>934</v>
      </c>
      <c r="Z179" s="118" t="s">
        <v>934</v>
      </c>
      <c r="AA179" s="118">
        <v>0</v>
      </c>
      <c r="AB179" s="118">
        <v>0</v>
      </c>
      <c r="AC179" s="119" t="s">
        <v>935</v>
      </c>
      <c r="AD179" s="119" t="s">
        <v>954</v>
      </c>
      <c r="AE179" s="118">
        <f t="shared" si="6"/>
        <v>4</v>
      </c>
      <c r="AF179" s="152" t="str">
        <f t="shared" si="4"/>
        <v>Parcialmente funcional</v>
      </c>
    </row>
    <row r="180" spans="1:32" x14ac:dyDescent="0.2">
      <c r="A180" s="121">
        <v>483</v>
      </c>
      <c r="B180" s="122" t="s">
        <v>956</v>
      </c>
      <c r="C180" s="123" t="s">
        <v>429</v>
      </c>
      <c r="D180" s="123" t="s">
        <v>16</v>
      </c>
      <c r="E180" s="124" t="s">
        <v>109</v>
      </c>
      <c r="F180" s="124" t="s">
        <v>594</v>
      </c>
      <c r="G180" s="124" t="s">
        <v>1099</v>
      </c>
      <c r="H180" s="122" t="s">
        <v>8</v>
      </c>
      <c r="I180" s="123">
        <v>21.073969999999999</v>
      </c>
      <c r="J180" s="123">
        <v>-101.63544</v>
      </c>
      <c r="K180" s="122"/>
      <c r="L180" s="125" t="str">
        <f t="shared" si="5"/>
        <v>Ver en Google Maps</v>
      </c>
      <c r="M180" s="122">
        <v>1</v>
      </c>
      <c r="N180" s="130"/>
      <c r="O180" s="109"/>
      <c r="P180" s="109"/>
      <c r="Q180" s="109"/>
      <c r="R180" s="109"/>
      <c r="S180" s="109"/>
      <c r="T180" s="109"/>
      <c r="U180" s="109"/>
      <c r="V180" s="109"/>
      <c r="W180" s="109"/>
      <c r="X180" s="109"/>
      <c r="Y180" s="109"/>
      <c r="Z180" s="109"/>
      <c r="AA180" s="109"/>
      <c r="AB180" s="109"/>
      <c r="AC180" s="109"/>
      <c r="AD180" s="110"/>
      <c r="AE180" s="109"/>
      <c r="AF180" s="151"/>
    </row>
    <row r="181" spans="1:32" x14ac:dyDescent="0.2">
      <c r="A181" s="112">
        <v>484</v>
      </c>
      <c r="B181" s="113" t="s">
        <v>956</v>
      </c>
      <c r="C181" s="114" t="s">
        <v>429</v>
      </c>
      <c r="D181" s="114" t="s">
        <v>16</v>
      </c>
      <c r="E181" s="115" t="s">
        <v>110</v>
      </c>
      <c r="F181" s="115" t="s">
        <v>595</v>
      </c>
      <c r="G181" s="115" t="s">
        <v>1100</v>
      </c>
      <c r="H181" s="113" t="s">
        <v>8</v>
      </c>
      <c r="I181" s="114">
        <v>21.057490000000001</v>
      </c>
      <c r="J181" s="114">
        <v>-101.61726</v>
      </c>
      <c r="K181" s="113"/>
      <c r="L181" s="116" t="str">
        <f t="shared" si="5"/>
        <v>Ver en Google Maps</v>
      </c>
      <c r="M181" s="113">
        <v>1</v>
      </c>
      <c r="N181" s="129"/>
      <c r="O181" s="118"/>
      <c r="P181" s="118"/>
      <c r="Q181" s="118"/>
      <c r="R181" s="118"/>
      <c r="S181" s="118"/>
      <c r="T181" s="118"/>
      <c r="U181" s="118"/>
      <c r="V181" s="118"/>
      <c r="W181" s="118"/>
      <c r="X181" s="118"/>
      <c r="Y181" s="118"/>
      <c r="Z181" s="118"/>
      <c r="AA181" s="118"/>
      <c r="AB181" s="118"/>
      <c r="AC181" s="118"/>
      <c r="AD181" s="119"/>
      <c r="AE181" s="118"/>
      <c r="AF181" s="152"/>
    </row>
    <row r="182" spans="1:32" x14ac:dyDescent="0.2">
      <c r="A182" s="121">
        <v>486</v>
      </c>
      <c r="B182" s="122" t="s">
        <v>956</v>
      </c>
      <c r="C182" s="123" t="s">
        <v>429</v>
      </c>
      <c r="D182" s="123" t="s">
        <v>16</v>
      </c>
      <c r="E182" s="124" t="s">
        <v>111</v>
      </c>
      <c r="F182" s="124" t="s">
        <v>596</v>
      </c>
      <c r="G182" s="124" t="s">
        <v>1082</v>
      </c>
      <c r="H182" s="122" t="s">
        <v>8</v>
      </c>
      <c r="I182" s="123">
        <v>21.096468000000002</v>
      </c>
      <c r="J182" s="123">
        <v>-101.74959200000001</v>
      </c>
      <c r="K182" s="122"/>
      <c r="L182" s="125" t="str">
        <f t="shared" si="5"/>
        <v>Ver en Google Maps</v>
      </c>
      <c r="M182" s="122">
        <v>1</v>
      </c>
      <c r="N182" s="130"/>
      <c r="O182" s="109"/>
      <c r="P182" s="109"/>
      <c r="Q182" s="109"/>
      <c r="R182" s="109"/>
      <c r="S182" s="109"/>
      <c r="T182" s="109"/>
      <c r="U182" s="109"/>
      <c r="V182" s="109"/>
      <c r="W182" s="109"/>
      <c r="X182" s="109"/>
      <c r="Y182" s="109"/>
      <c r="Z182" s="109"/>
      <c r="AA182" s="109"/>
      <c r="AB182" s="109"/>
      <c r="AC182" s="109"/>
      <c r="AD182" s="110"/>
      <c r="AE182" s="109"/>
      <c r="AF182" s="151"/>
    </row>
    <row r="183" spans="1:32" x14ac:dyDescent="0.2">
      <c r="A183" s="112">
        <v>487</v>
      </c>
      <c r="B183" s="113" t="s">
        <v>956</v>
      </c>
      <c r="C183" s="114" t="s">
        <v>429</v>
      </c>
      <c r="D183" s="114" t="s">
        <v>16</v>
      </c>
      <c r="E183" s="115" t="s">
        <v>230</v>
      </c>
      <c r="F183" s="115" t="s">
        <v>597</v>
      </c>
      <c r="G183" s="115" t="s">
        <v>1036</v>
      </c>
      <c r="H183" s="113" t="s">
        <v>8</v>
      </c>
      <c r="I183" s="114">
        <v>21.128869999999999</v>
      </c>
      <c r="J183" s="114">
        <v>-101.72011000000001</v>
      </c>
      <c r="K183" s="113" t="s">
        <v>139</v>
      </c>
      <c r="L183" s="116" t="str">
        <f t="shared" si="5"/>
        <v>Ver en Google Maps</v>
      </c>
      <c r="M183" s="113">
        <v>1</v>
      </c>
      <c r="N183" s="117">
        <v>45930</v>
      </c>
      <c r="O183" s="118">
        <f>DAY('BD1'!$N183)</f>
        <v>30</v>
      </c>
      <c r="P183" s="118">
        <f>MONTH('BD1'!$N183)</f>
        <v>9</v>
      </c>
      <c r="Q183" s="118">
        <f>YEAR('BD1'!$N183)</f>
        <v>2025</v>
      </c>
      <c r="R183" s="118">
        <v>1</v>
      </c>
      <c r="S183" s="118" t="s">
        <v>138</v>
      </c>
      <c r="T183" s="118" t="s">
        <v>138</v>
      </c>
      <c r="U183" s="118" t="s">
        <v>138</v>
      </c>
      <c r="V183" s="118" t="s">
        <v>934</v>
      </c>
      <c r="W183" s="118" t="s">
        <v>138</v>
      </c>
      <c r="X183" s="118" t="s">
        <v>138</v>
      </c>
      <c r="Y183" s="118" t="s">
        <v>138</v>
      </c>
      <c r="Z183" s="118" t="s">
        <v>138</v>
      </c>
      <c r="AA183" s="118">
        <v>28.91</v>
      </c>
      <c r="AB183" s="118">
        <v>34.03</v>
      </c>
      <c r="AC183" s="119" t="s">
        <v>963</v>
      </c>
      <c r="AD183" s="119" t="s">
        <v>957</v>
      </c>
      <c r="AE183" s="118">
        <f t="shared" si="6"/>
        <v>7</v>
      </c>
      <c r="AF183" s="152" t="str">
        <f t="shared" si="4"/>
        <v>Funcional con observaciones</v>
      </c>
    </row>
    <row r="184" spans="1:32" x14ac:dyDescent="0.2">
      <c r="A184" s="121">
        <v>488</v>
      </c>
      <c r="B184" s="122" t="s">
        <v>956</v>
      </c>
      <c r="C184" s="123" t="s">
        <v>429</v>
      </c>
      <c r="D184" s="123" t="s">
        <v>16</v>
      </c>
      <c r="E184" s="124" t="s">
        <v>112</v>
      </c>
      <c r="F184" s="124" t="s">
        <v>598</v>
      </c>
      <c r="G184" s="124" t="s">
        <v>1028</v>
      </c>
      <c r="H184" s="122" t="s">
        <v>8</v>
      </c>
      <c r="I184" s="123">
        <v>21.108599999999999</v>
      </c>
      <c r="J184" s="123">
        <v>-101.72571000000001</v>
      </c>
      <c r="K184" s="122" t="s">
        <v>3057</v>
      </c>
      <c r="L184" s="125" t="str">
        <f t="shared" si="5"/>
        <v>Ver en Google Maps</v>
      </c>
      <c r="M184" s="122">
        <v>1</v>
      </c>
      <c r="N184" s="108">
        <v>45933</v>
      </c>
      <c r="O184" s="109">
        <f>DAY('BD1'!$N184)</f>
        <v>3</v>
      </c>
      <c r="P184" s="109">
        <f>MONTH('BD1'!$N184)</f>
        <v>10</v>
      </c>
      <c r="Q184" s="109">
        <f>YEAR('BD1'!$N184)</f>
        <v>2025</v>
      </c>
      <c r="R184" s="109">
        <v>1</v>
      </c>
      <c r="S184" s="109" t="s">
        <v>138</v>
      </c>
      <c r="T184" s="109" t="s">
        <v>138</v>
      </c>
      <c r="U184" s="109" t="s">
        <v>138</v>
      </c>
      <c r="V184" s="109" t="s">
        <v>138</v>
      </c>
      <c r="W184" s="109" t="s">
        <v>138</v>
      </c>
      <c r="X184" s="109" t="s">
        <v>138</v>
      </c>
      <c r="Y184" s="109" t="s">
        <v>138</v>
      </c>
      <c r="Z184" s="109" t="s">
        <v>138</v>
      </c>
      <c r="AA184" s="109">
        <v>18.53</v>
      </c>
      <c r="AB184" s="109">
        <v>6.27</v>
      </c>
      <c r="AC184" s="110" t="s">
        <v>949</v>
      </c>
      <c r="AD184" s="110" t="s">
        <v>954</v>
      </c>
      <c r="AE184" s="109">
        <f t="shared" si="6"/>
        <v>8</v>
      </c>
      <c r="AF184" s="151" t="str">
        <f t="shared" si="4"/>
        <v>Estable</v>
      </c>
    </row>
    <row r="185" spans="1:32" x14ac:dyDescent="0.2">
      <c r="A185" s="112">
        <v>489</v>
      </c>
      <c r="B185" s="113" t="s">
        <v>956</v>
      </c>
      <c r="C185" s="114" t="s">
        <v>429</v>
      </c>
      <c r="D185" s="114" t="s">
        <v>16</v>
      </c>
      <c r="E185" s="115" t="s">
        <v>113</v>
      </c>
      <c r="F185" s="115" t="s">
        <v>599</v>
      </c>
      <c r="G185" s="115" t="s">
        <v>1043</v>
      </c>
      <c r="H185" s="113" t="s">
        <v>8</v>
      </c>
      <c r="I185" s="114">
        <v>21.095780000000001</v>
      </c>
      <c r="J185" s="114">
        <v>-101.59815999999999</v>
      </c>
      <c r="K185" s="113" t="s">
        <v>139</v>
      </c>
      <c r="L185" s="116" t="str">
        <f t="shared" si="5"/>
        <v>Ver en Google Maps</v>
      </c>
      <c r="M185" s="113">
        <v>1</v>
      </c>
      <c r="N185" s="117">
        <v>45931</v>
      </c>
      <c r="O185" s="118">
        <f>DAY('BD1'!$N185)</f>
        <v>1</v>
      </c>
      <c r="P185" s="118">
        <f>MONTH('BD1'!$N185)</f>
        <v>10</v>
      </c>
      <c r="Q185" s="118">
        <f>YEAR('BD1'!$N185)</f>
        <v>2025</v>
      </c>
      <c r="R185" s="118">
        <v>1</v>
      </c>
      <c r="S185" s="118" t="s">
        <v>138</v>
      </c>
      <c r="T185" s="118" t="s">
        <v>138</v>
      </c>
      <c r="U185" s="118" t="s">
        <v>138</v>
      </c>
      <c r="V185" s="118" t="s">
        <v>934</v>
      </c>
      <c r="W185" s="118" t="s">
        <v>138</v>
      </c>
      <c r="X185" s="118" t="s">
        <v>138</v>
      </c>
      <c r="Y185" s="118" t="s">
        <v>138</v>
      </c>
      <c r="Z185" s="118" t="s">
        <v>138</v>
      </c>
      <c r="AA185" s="118">
        <v>34.22</v>
      </c>
      <c r="AB185" s="118">
        <v>16.170000000000002</v>
      </c>
      <c r="AC185" s="119" t="s">
        <v>963</v>
      </c>
      <c r="AD185" s="119" t="s">
        <v>954</v>
      </c>
      <c r="AE185" s="118">
        <f t="shared" si="6"/>
        <v>7</v>
      </c>
      <c r="AF185" s="152" t="str">
        <f t="shared" si="4"/>
        <v>Funcional con observaciones</v>
      </c>
    </row>
    <row r="186" spans="1:32" x14ac:dyDescent="0.2">
      <c r="A186" s="121">
        <v>490</v>
      </c>
      <c r="B186" s="122" t="s">
        <v>956</v>
      </c>
      <c r="C186" s="123" t="s">
        <v>429</v>
      </c>
      <c r="D186" s="123" t="s">
        <v>16</v>
      </c>
      <c r="E186" s="124" t="s">
        <v>114</v>
      </c>
      <c r="F186" s="124" t="s">
        <v>600</v>
      </c>
      <c r="G186" s="124" t="s">
        <v>1039</v>
      </c>
      <c r="H186" s="122" t="s">
        <v>8</v>
      </c>
      <c r="I186" s="123">
        <v>21.08605</v>
      </c>
      <c r="J186" s="123">
        <v>-101.62849</v>
      </c>
      <c r="K186" s="122"/>
      <c r="L186" s="125" t="str">
        <f t="shared" si="5"/>
        <v>Ver en Google Maps</v>
      </c>
      <c r="M186" s="122">
        <v>1</v>
      </c>
      <c r="N186" s="130"/>
      <c r="O186" s="109"/>
      <c r="P186" s="109"/>
      <c r="Q186" s="109"/>
      <c r="R186" s="109"/>
      <c r="S186" s="109"/>
      <c r="T186" s="109"/>
      <c r="U186" s="109"/>
      <c r="V186" s="109"/>
      <c r="W186" s="109"/>
      <c r="X186" s="109"/>
      <c r="Y186" s="109"/>
      <c r="Z186" s="109"/>
      <c r="AA186" s="109"/>
      <c r="AB186" s="109"/>
      <c r="AC186" s="109"/>
      <c r="AD186" s="110"/>
      <c r="AE186" s="109"/>
      <c r="AF186" s="151"/>
    </row>
    <row r="187" spans="1:32" x14ac:dyDescent="0.2">
      <c r="A187" s="112">
        <v>491</v>
      </c>
      <c r="B187" s="113" t="s">
        <v>956</v>
      </c>
      <c r="C187" s="114" t="s">
        <v>429</v>
      </c>
      <c r="D187" s="114" t="s">
        <v>16</v>
      </c>
      <c r="E187" s="115" t="s">
        <v>115</v>
      </c>
      <c r="F187" s="115" t="s">
        <v>601</v>
      </c>
      <c r="G187" s="115" t="s">
        <v>1101</v>
      </c>
      <c r="H187" s="113" t="s">
        <v>8</v>
      </c>
      <c r="I187" s="114">
        <v>21.105329999999999</v>
      </c>
      <c r="J187" s="114">
        <v>-101.73175999999999</v>
      </c>
      <c r="K187" s="113" t="s">
        <v>139</v>
      </c>
      <c r="L187" s="116" t="str">
        <f t="shared" si="5"/>
        <v>Ver en Google Maps</v>
      </c>
      <c r="M187" s="113">
        <v>1</v>
      </c>
      <c r="N187" s="117">
        <v>45933</v>
      </c>
      <c r="O187" s="118">
        <f>DAY('BD1'!$N187)</f>
        <v>3</v>
      </c>
      <c r="P187" s="118">
        <f>MONTH('BD1'!$N187)</f>
        <v>10</v>
      </c>
      <c r="Q187" s="118">
        <f>YEAR('BD1'!$N187)</f>
        <v>2025</v>
      </c>
      <c r="R187" s="118">
        <v>1</v>
      </c>
      <c r="S187" s="118" t="s">
        <v>138</v>
      </c>
      <c r="T187" s="118" t="s">
        <v>138</v>
      </c>
      <c r="U187" s="118" t="s">
        <v>138</v>
      </c>
      <c r="V187" s="118" t="s">
        <v>138</v>
      </c>
      <c r="W187" s="118" t="s">
        <v>138</v>
      </c>
      <c r="X187" s="118" t="s">
        <v>138</v>
      </c>
      <c r="Y187" s="118" t="s">
        <v>138</v>
      </c>
      <c r="Z187" s="118" t="s">
        <v>138</v>
      </c>
      <c r="AA187" s="118">
        <v>31.62</v>
      </c>
      <c r="AB187" s="118">
        <v>38.43</v>
      </c>
      <c r="AC187" s="119" t="s">
        <v>967</v>
      </c>
      <c r="AD187" s="119" t="s">
        <v>957</v>
      </c>
      <c r="AE187" s="118">
        <f t="shared" si="6"/>
        <v>8</v>
      </c>
      <c r="AF187" s="152" t="str">
        <f t="shared" si="4"/>
        <v>Estable</v>
      </c>
    </row>
    <row r="188" spans="1:32" x14ac:dyDescent="0.2">
      <c r="A188" s="121">
        <v>493</v>
      </c>
      <c r="B188" s="122" t="s">
        <v>956</v>
      </c>
      <c r="C188" s="123" t="s">
        <v>429</v>
      </c>
      <c r="D188" s="123" t="s">
        <v>17</v>
      </c>
      <c r="E188" s="124" t="s">
        <v>116</v>
      </c>
      <c r="F188" s="124" t="s">
        <v>602</v>
      </c>
      <c r="G188" s="124" t="s">
        <v>117</v>
      </c>
      <c r="H188" s="122" t="s">
        <v>8</v>
      </c>
      <c r="I188" s="123">
        <v>21.0822</v>
      </c>
      <c r="J188" s="123">
        <v>-101.586</v>
      </c>
      <c r="K188" s="122"/>
      <c r="L188" s="125" t="str">
        <f t="shared" si="5"/>
        <v>Ver en Google Maps</v>
      </c>
      <c r="M188" s="122">
        <v>1</v>
      </c>
      <c r="N188" s="130"/>
      <c r="O188" s="109"/>
      <c r="P188" s="109"/>
      <c r="Q188" s="109"/>
      <c r="R188" s="109"/>
      <c r="S188" s="109"/>
      <c r="T188" s="109"/>
      <c r="U188" s="109"/>
      <c r="V188" s="109"/>
      <c r="W188" s="109"/>
      <c r="X188" s="109"/>
      <c r="Y188" s="109"/>
      <c r="Z188" s="109"/>
      <c r="AA188" s="109"/>
      <c r="AB188" s="109"/>
      <c r="AC188" s="109"/>
      <c r="AD188" s="110"/>
      <c r="AE188" s="109"/>
      <c r="AF188" s="151"/>
    </row>
    <row r="189" spans="1:32" x14ac:dyDescent="0.2">
      <c r="A189" s="112">
        <v>494</v>
      </c>
      <c r="B189" s="113" t="s">
        <v>956</v>
      </c>
      <c r="C189" s="114" t="s">
        <v>429</v>
      </c>
      <c r="D189" s="114" t="s">
        <v>16</v>
      </c>
      <c r="E189" s="115" t="s">
        <v>118</v>
      </c>
      <c r="F189" s="115" t="s">
        <v>603</v>
      </c>
      <c r="G189" s="115" t="s">
        <v>1102</v>
      </c>
      <c r="H189" s="113" t="s">
        <v>8</v>
      </c>
      <c r="I189" s="114">
        <v>21.07273</v>
      </c>
      <c r="J189" s="114">
        <v>-101.62917</v>
      </c>
      <c r="K189" s="113"/>
      <c r="L189" s="116" t="str">
        <f t="shared" si="5"/>
        <v>Ver en Google Maps</v>
      </c>
      <c r="M189" s="113">
        <v>1</v>
      </c>
      <c r="N189" s="129"/>
      <c r="O189" s="118"/>
      <c r="P189" s="118"/>
      <c r="Q189" s="118"/>
      <c r="R189" s="118"/>
      <c r="S189" s="118"/>
      <c r="T189" s="118"/>
      <c r="U189" s="118"/>
      <c r="V189" s="118"/>
      <c r="W189" s="118"/>
      <c r="X189" s="118"/>
      <c r="Y189" s="118"/>
      <c r="Z189" s="118"/>
      <c r="AA189" s="118"/>
      <c r="AB189" s="118"/>
      <c r="AC189" s="118"/>
      <c r="AD189" s="119"/>
      <c r="AE189" s="118"/>
      <c r="AF189" s="152"/>
    </row>
    <row r="190" spans="1:32" x14ac:dyDescent="0.2">
      <c r="A190" s="121">
        <v>496</v>
      </c>
      <c r="B190" s="122" t="s">
        <v>956</v>
      </c>
      <c r="C190" s="123" t="s">
        <v>429</v>
      </c>
      <c r="D190" s="123" t="s">
        <v>16</v>
      </c>
      <c r="E190" s="124" t="s">
        <v>119</v>
      </c>
      <c r="F190" s="124" t="s">
        <v>604</v>
      </c>
      <c r="G190" s="124" t="s">
        <v>1042</v>
      </c>
      <c r="H190" s="122" t="s">
        <v>8</v>
      </c>
      <c r="I190" s="123">
        <v>21.072880000000001</v>
      </c>
      <c r="J190" s="123">
        <v>-101.6448</v>
      </c>
      <c r="K190" s="122"/>
      <c r="L190" s="125" t="str">
        <f t="shared" si="5"/>
        <v>Ver en Google Maps</v>
      </c>
      <c r="M190" s="122">
        <v>1</v>
      </c>
      <c r="N190" s="130"/>
      <c r="O190" s="109"/>
      <c r="P190" s="109"/>
      <c r="Q190" s="109"/>
      <c r="R190" s="109"/>
      <c r="S190" s="109"/>
      <c r="T190" s="109"/>
      <c r="U190" s="109"/>
      <c r="V190" s="109"/>
      <c r="W190" s="109"/>
      <c r="X190" s="109"/>
      <c r="Y190" s="109"/>
      <c r="Z190" s="109"/>
      <c r="AA190" s="109"/>
      <c r="AB190" s="109"/>
      <c r="AC190" s="109"/>
      <c r="AD190" s="110"/>
      <c r="AE190" s="109"/>
      <c r="AF190" s="151"/>
    </row>
    <row r="191" spans="1:32" x14ac:dyDescent="0.2">
      <c r="A191" s="112">
        <v>499</v>
      </c>
      <c r="B191" s="113" t="s">
        <v>956</v>
      </c>
      <c r="C191" s="114" t="s">
        <v>429</v>
      </c>
      <c r="D191" s="114" t="s">
        <v>16</v>
      </c>
      <c r="E191" s="115" t="s">
        <v>231</v>
      </c>
      <c r="F191" s="115" t="s">
        <v>605</v>
      </c>
      <c r="G191" s="115" t="s">
        <v>1103</v>
      </c>
      <c r="H191" s="113" t="s">
        <v>8</v>
      </c>
      <c r="I191" s="114">
        <v>21.143799999999999</v>
      </c>
      <c r="J191" s="114">
        <v>-101.74875</v>
      </c>
      <c r="K191" s="113" t="s">
        <v>139</v>
      </c>
      <c r="L191" s="116" t="str">
        <f t="shared" si="5"/>
        <v>Ver en Google Maps</v>
      </c>
      <c r="M191" s="113">
        <v>1</v>
      </c>
      <c r="N191" s="117">
        <v>45930</v>
      </c>
      <c r="O191" s="118">
        <f>DAY('BD1'!$N191)</f>
        <v>30</v>
      </c>
      <c r="P191" s="118">
        <f>MONTH('BD1'!$N191)</f>
        <v>9</v>
      </c>
      <c r="Q191" s="118">
        <f>YEAR('BD1'!$N191)</f>
        <v>2025</v>
      </c>
      <c r="R191" s="118">
        <v>1</v>
      </c>
      <c r="S191" s="118" t="s">
        <v>138</v>
      </c>
      <c r="T191" s="118" t="s">
        <v>138</v>
      </c>
      <c r="U191" s="118" t="s">
        <v>138</v>
      </c>
      <c r="V191" s="118" t="s">
        <v>138</v>
      </c>
      <c r="W191" s="118" t="s">
        <v>138</v>
      </c>
      <c r="X191" s="118" t="s">
        <v>138</v>
      </c>
      <c r="Y191" s="118" t="s">
        <v>138</v>
      </c>
      <c r="Z191" s="118" t="s">
        <v>934</v>
      </c>
      <c r="AA191" s="118">
        <v>12.7</v>
      </c>
      <c r="AB191" s="118">
        <v>13.31</v>
      </c>
      <c r="AC191" s="119" t="s">
        <v>969</v>
      </c>
      <c r="AD191" s="119" t="s">
        <v>954</v>
      </c>
      <c r="AE191" s="118">
        <f t="shared" si="6"/>
        <v>7</v>
      </c>
      <c r="AF191" s="152" t="str">
        <f t="shared" si="4"/>
        <v>Funcional con observaciones</v>
      </c>
    </row>
    <row r="192" spans="1:32" x14ac:dyDescent="0.2">
      <c r="A192" s="121">
        <v>500</v>
      </c>
      <c r="B192" s="122" t="s">
        <v>956</v>
      </c>
      <c r="C192" s="123" t="s">
        <v>429</v>
      </c>
      <c r="D192" s="123" t="s">
        <v>16</v>
      </c>
      <c r="E192" s="124" t="s">
        <v>120</v>
      </c>
      <c r="F192" s="124" t="s">
        <v>606</v>
      </c>
      <c r="G192" s="124" t="s">
        <v>121</v>
      </c>
      <c r="H192" s="122" t="s">
        <v>8</v>
      </c>
      <c r="I192" s="123">
        <v>21.103470000000002</v>
      </c>
      <c r="J192" s="123">
        <v>-101.61317</v>
      </c>
      <c r="K192" s="122" t="s">
        <v>139</v>
      </c>
      <c r="L192" s="125" t="str">
        <f t="shared" si="5"/>
        <v>Ver en Google Maps</v>
      </c>
      <c r="M192" s="122">
        <v>1</v>
      </c>
      <c r="N192" s="108">
        <v>45931</v>
      </c>
      <c r="O192" s="109">
        <f>DAY('BD1'!$N192)</f>
        <v>1</v>
      </c>
      <c r="P192" s="109">
        <f>MONTH('BD1'!$N192)</f>
        <v>10</v>
      </c>
      <c r="Q192" s="109">
        <f>YEAR('BD1'!$N192)</f>
        <v>2025</v>
      </c>
      <c r="R192" s="109">
        <v>1</v>
      </c>
      <c r="S192" s="109" t="s">
        <v>138</v>
      </c>
      <c r="T192" s="109" t="s">
        <v>138</v>
      </c>
      <c r="U192" s="109" t="s">
        <v>138</v>
      </c>
      <c r="V192" s="109" t="s">
        <v>138</v>
      </c>
      <c r="W192" s="109" t="s">
        <v>138</v>
      </c>
      <c r="X192" s="109" t="s">
        <v>138</v>
      </c>
      <c r="Y192" s="109" t="s">
        <v>138</v>
      </c>
      <c r="Z192" s="109" t="s">
        <v>138</v>
      </c>
      <c r="AA192" s="109">
        <v>69.39</v>
      </c>
      <c r="AB192" s="109">
        <v>26.55</v>
      </c>
      <c r="AC192" s="110" t="s">
        <v>969</v>
      </c>
      <c r="AD192" s="110" t="s">
        <v>954</v>
      </c>
      <c r="AE192" s="109">
        <f t="shared" si="6"/>
        <v>8</v>
      </c>
      <c r="AF192" s="151" t="str">
        <f t="shared" si="4"/>
        <v>Estable</v>
      </c>
    </row>
    <row r="193" spans="1:32" x14ac:dyDescent="0.2">
      <c r="A193" s="112">
        <v>501</v>
      </c>
      <c r="B193" s="113" t="s">
        <v>956</v>
      </c>
      <c r="C193" s="114" t="s">
        <v>429</v>
      </c>
      <c r="D193" s="114" t="s">
        <v>16</v>
      </c>
      <c r="E193" s="115" t="s">
        <v>122</v>
      </c>
      <c r="F193" s="115" t="s">
        <v>607</v>
      </c>
      <c r="G193" s="115" t="s">
        <v>1104</v>
      </c>
      <c r="H193" s="113" t="s">
        <v>8</v>
      </c>
      <c r="I193" s="114">
        <v>21.080819999999999</v>
      </c>
      <c r="J193" s="114">
        <v>-101.61803</v>
      </c>
      <c r="K193" s="113"/>
      <c r="L193" s="116" t="str">
        <f t="shared" si="5"/>
        <v>Ver en Google Maps</v>
      </c>
      <c r="M193" s="113">
        <v>1</v>
      </c>
      <c r="N193" s="129"/>
      <c r="O193" s="118"/>
      <c r="P193" s="118"/>
      <c r="Q193" s="118"/>
      <c r="R193" s="118"/>
      <c r="S193" s="118"/>
      <c r="T193" s="118"/>
      <c r="U193" s="118"/>
      <c r="V193" s="118"/>
      <c r="W193" s="118"/>
      <c r="X193" s="118"/>
      <c r="Y193" s="118"/>
      <c r="Z193" s="118"/>
      <c r="AA193" s="118"/>
      <c r="AB193" s="118"/>
      <c r="AC193" s="118"/>
      <c r="AD193" s="119"/>
      <c r="AE193" s="118"/>
      <c r="AF193" s="152"/>
    </row>
    <row r="194" spans="1:32" x14ac:dyDescent="0.2">
      <c r="A194" s="121">
        <v>502</v>
      </c>
      <c r="B194" s="122" t="s">
        <v>956</v>
      </c>
      <c r="C194" s="123" t="s">
        <v>429</v>
      </c>
      <c r="D194" s="123" t="s">
        <v>16</v>
      </c>
      <c r="E194" s="124" t="s">
        <v>123</v>
      </c>
      <c r="F194" s="124" t="s">
        <v>608</v>
      </c>
      <c r="G194" s="124" t="s">
        <v>22</v>
      </c>
      <c r="H194" s="122" t="s">
        <v>8</v>
      </c>
      <c r="I194" s="123">
        <v>21.092179999999999</v>
      </c>
      <c r="J194" s="123">
        <v>-101.5907</v>
      </c>
      <c r="K194" s="122"/>
      <c r="L194" s="125" t="str">
        <f t="shared" si="5"/>
        <v>Ver en Google Maps</v>
      </c>
      <c r="M194" s="122">
        <v>1</v>
      </c>
      <c r="N194" s="130"/>
      <c r="O194" s="109"/>
      <c r="P194" s="109"/>
      <c r="Q194" s="109"/>
      <c r="R194" s="109"/>
      <c r="S194" s="109"/>
      <c r="T194" s="109"/>
      <c r="U194" s="109"/>
      <c r="V194" s="109"/>
      <c r="W194" s="109"/>
      <c r="X194" s="109"/>
      <c r="Y194" s="109"/>
      <c r="Z194" s="109"/>
      <c r="AA194" s="109"/>
      <c r="AB194" s="109"/>
      <c r="AC194" s="109"/>
      <c r="AD194" s="110"/>
      <c r="AE194" s="109"/>
      <c r="AF194" s="151"/>
    </row>
    <row r="195" spans="1:32" x14ac:dyDescent="0.2">
      <c r="A195" s="112">
        <v>504</v>
      </c>
      <c r="B195" s="113" t="s">
        <v>956</v>
      </c>
      <c r="C195" s="114" t="s">
        <v>429</v>
      </c>
      <c r="D195" s="114" t="s">
        <v>15</v>
      </c>
      <c r="E195" s="115" t="s">
        <v>232</v>
      </c>
      <c r="F195" s="115" t="s">
        <v>609</v>
      </c>
      <c r="G195" s="115" t="s">
        <v>1105</v>
      </c>
      <c r="H195" s="113" t="s">
        <v>8</v>
      </c>
      <c r="I195" s="114">
        <v>21.12556</v>
      </c>
      <c r="J195" s="114">
        <v>-101.68339</v>
      </c>
      <c r="K195" s="113" t="s">
        <v>139</v>
      </c>
      <c r="L195" s="116" t="str">
        <f t="shared" ref="L195:L258" si="7">HYPERLINK("https://www.google.com/maps?q=" &amp; I195 &amp; "," &amp; J195, "Ver en Google Maps")</f>
        <v>Ver en Google Maps</v>
      </c>
      <c r="M195" s="113">
        <v>2</v>
      </c>
      <c r="N195" s="117">
        <v>45929</v>
      </c>
      <c r="O195" s="118">
        <f>DAY('BD1'!$N195)</f>
        <v>29</v>
      </c>
      <c r="P195" s="118">
        <f>MONTH('BD1'!$N195)</f>
        <v>9</v>
      </c>
      <c r="Q195" s="118">
        <f>YEAR('BD1'!$N195)</f>
        <v>2025</v>
      </c>
      <c r="R195" s="118">
        <v>1</v>
      </c>
      <c r="S195" s="118" t="s">
        <v>934</v>
      </c>
      <c r="T195" s="118" t="s">
        <v>934</v>
      </c>
      <c r="U195" s="118" t="s">
        <v>934</v>
      </c>
      <c r="V195" s="118" t="s">
        <v>934</v>
      </c>
      <c r="W195" s="118" t="s">
        <v>934</v>
      </c>
      <c r="X195" s="118" t="s">
        <v>934</v>
      </c>
      <c r="Y195" s="118" t="s">
        <v>934</v>
      </c>
      <c r="Z195" s="118" t="s">
        <v>934</v>
      </c>
      <c r="AA195" s="118">
        <v>0</v>
      </c>
      <c r="AB195" s="118">
        <v>0</v>
      </c>
      <c r="AC195" s="119" t="s">
        <v>940</v>
      </c>
      <c r="AD195" s="119" t="s">
        <v>954</v>
      </c>
      <c r="AE195" s="118">
        <f t="shared" ref="AE195:AE258" si="8">COUNTIF(S195:Z195, "si")</f>
        <v>0</v>
      </c>
      <c r="AF195" s="152" t="str">
        <f t="shared" ref="AF194:AF257" si="9">IF(AE195=8,"Estable",(IF(AE195=7,"Funcional con observaciones", (IF(AE195=6,"Funcional con observaciones",(IF(AE195=5,"Rendimiento bajo",(IF(AE195=4,"Parcialmente funcional",(IF(AE195=3,"Parcialmente funcional",(IF(AE195=2,"Inoperativo",(IF(AE195=1,"Inoperativo","Crítico")))))))))))))))</f>
        <v>Crítico</v>
      </c>
    </row>
    <row r="196" spans="1:32" x14ac:dyDescent="0.2">
      <c r="A196" s="121">
        <v>510</v>
      </c>
      <c r="B196" s="122" t="s">
        <v>956</v>
      </c>
      <c r="C196" s="123" t="s">
        <v>429</v>
      </c>
      <c r="D196" s="123" t="s">
        <v>15</v>
      </c>
      <c r="E196" s="124" t="s">
        <v>124</v>
      </c>
      <c r="F196" s="124" t="s">
        <v>610</v>
      </c>
      <c r="G196" s="124" t="s">
        <v>1003</v>
      </c>
      <c r="H196" s="122" t="s">
        <v>8</v>
      </c>
      <c r="I196" s="123">
        <v>21.094529999999999</v>
      </c>
      <c r="J196" s="123">
        <v>-101.64948</v>
      </c>
      <c r="K196" s="122"/>
      <c r="L196" s="125" t="str">
        <f t="shared" si="7"/>
        <v>Ver en Google Maps</v>
      </c>
      <c r="M196" s="122">
        <v>2</v>
      </c>
      <c r="N196" s="130"/>
      <c r="O196" s="109"/>
      <c r="P196" s="109"/>
      <c r="Q196" s="109"/>
      <c r="R196" s="109"/>
      <c r="S196" s="109"/>
      <c r="T196" s="109"/>
      <c r="U196" s="109"/>
      <c r="V196" s="109"/>
      <c r="W196" s="109"/>
      <c r="X196" s="109"/>
      <c r="Y196" s="109"/>
      <c r="Z196" s="109"/>
      <c r="AA196" s="109"/>
      <c r="AB196" s="109"/>
      <c r="AC196" s="109"/>
      <c r="AD196" s="110"/>
      <c r="AE196" s="109"/>
      <c r="AF196" s="151"/>
    </row>
    <row r="197" spans="1:32" x14ac:dyDescent="0.2">
      <c r="A197" s="112">
        <v>514</v>
      </c>
      <c r="B197" s="113" t="s">
        <v>956</v>
      </c>
      <c r="C197" s="114" t="s">
        <v>429</v>
      </c>
      <c r="D197" s="114" t="s">
        <v>15</v>
      </c>
      <c r="E197" s="115" t="s">
        <v>125</v>
      </c>
      <c r="F197" s="115" t="s">
        <v>611</v>
      </c>
      <c r="G197" s="115" t="s">
        <v>1088</v>
      </c>
      <c r="H197" s="113" t="s">
        <v>8</v>
      </c>
      <c r="I197" s="114">
        <v>21.107859999999999</v>
      </c>
      <c r="J197" s="114">
        <v>-101.71378</v>
      </c>
      <c r="K197" s="113"/>
      <c r="L197" s="116" t="str">
        <f t="shared" si="7"/>
        <v>Ver en Google Maps</v>
      </c>
      <c r="M197" s="113">
        <v>2</v>
      </c>
      <c r="N197" s="129"/>
      <c r="O197" s="118"/>
      <c r="P197" s="118"/>
      <c r="Q197" s="118"/>
      <c r="R197" s="118"/>
      <c r="S197" s="118"/>
      <c r="T197" s="118"/>
      <c r="U197" s="118"/>
      <c r="V197" s="118"/>
      <c r="W197" s="118"/>
      <c r="X197" s="118"/>
      <c r="Y197" s="118"/>
      <c r="Z197" s="118"/>
      <c r="AA197" s="118"/>
      <c r="AB197" s="118"/>
      <c r="AC197" s="118"/>
      <c r="AD197" s="119"/>
      <c r="AE197" s="118"/>
      <c r="AF197" s="152"/>
    </row>
    <row r="198" spans="1:32" x14ac:dyDescent="0.2">
      <c r="A198" s="121">
        <v>516</v>
      </c>
      <c r="B198" s="122" t="s">
        <v>956</v>
      </c>
      <c r="C198" s="123" t="s">
        <v>429</v>
      </c>
      <c r="D198" s="123" t="s">
        <v>15</v>
      </c>
      <c r="E198" s="124" t="s">
        <v>233</v>
      </c>
      <c r="F198" s="124" t="s">
        <v>612</v>
      </c>
      <c r="G198" s="124" t="s">
        <v>997</v>
      </c>
      <c r="H198" s="122" t="s">
        <v>8</v>
      </c>
      <c r="I198" s="123">
        <v>21.120560000000001</v>
      </c>
      <c r="J198" s="123">
        <v>-101.73050000000001</v>
      </c>
      <c r="K198" s="122"/>
      <c r="L198" s="125" t="str">
        <f t="shared" si="7"/>
        <v>Ver en Google Maps</v>
      </c>
      <c r="M198" s="122">
        <v>2</v>
      </c>
      <c r="N198" s="130"/>
      <c r="O198" s="109"/>
      <c r="P198" s="109"/>
      <c r="Q198" s="109"/>
      <c r="R198" s="109"/>
      <c r="S198" s="109"/>
      <c r="T198" s="109"/>
      <c r="U198" s="109"/>
      <c r="V198" s="109"/>
      <c r="W198" s="109"/>
      <c r="X198" s="109"/>
      <c r="Y198" s="109"/>
      <c r="Z198" s="109"/>
      <c r="AA198" s="109"/>
      <c r="AB198" s="109"/>
      <c r="AC198" s="109"/>
      <c r="AD198" s="110"/>
      <c r="AE198" s="109"/>
      <c r="AF198" s="151"/>
    </row>
    <row r="199" spans="1:32" x14ac:dyDescent="0.2">
      <c r="A199" s="112">
        <v>519</v>
      </c>
      <c r="B199" s="113" t="s">
        <v>956</v>
      </c>
      <c r="C199" s="114" t="s">
        <v>429</v>
      </c>
      <c r="D199" s="114" t="s">
        <v>15</v>
      </c>
      <c r="E199" s="115" t="s">
        <v>234</v>
      </c>
      <c r="F199" s="115" t="s">
        <v>613</v>
      </c>
      <c r="G199" s="115" t="s">
        <v>1083</v>
      </c>
      <c r="H199" s="113" t="s">
        <v>8</v>
      </c>
      <c r="I199" s="114">
        <v>21.1022</v>
      </c>
      <c r="J199" s="114">
        <v>-101.69911999999999</v>
      </c>
      <c r="K199" s="113"/>
      <c r="L199" s="116" t="str">
        <f t="shared" si="7"/>
        <v>Ver en Google Maps</v>
      </c>
      <c r="M199" s="113">
        <v>2</v>
      </c>
      <c r="N199" s="129"/>
      <c r="O199" s="118"/>
      <c r="P199" s="118"/>
      <c r="Q199" s="118"/>
      <c r="R199" s="118"/>
      <c r="S199" s="118"/>
      <c r="T199" s="118"/>
      <c r="U199" s="118"/>
      <c r="V199" s="118"/>
      <c r="W199" s="118"/>
      <c r="X199" s="118"/>
      <c r="Y199" s="118"/>
      <c r="Z199" s="118"/>
      <c r="AA199" s="118"/>
      <c r="AB199" s="118"/>
      <c r="AC199" s="118"/>
      <c r="AD199" s="119"/>
      <c r="AE199" s="118"/>
      <c r="AF199" s="152"/>
    </row>
    <row r="200" spans="1:32" x14ac:dyDescent="0.2">
      <c r="A200" s="121">
        <v>522</v>
      </c>
      <c r="B200" s="122" t="s">
        <v>956</v>
      </c>
      <c r="C200" s="123" t="s">
        <v>429</v>
      </c>
      <c r="D200" s="123" t="s">
        <v>15</v>
      </c>
      <c r="E200" s="124" t="s">
        <v>235</v>
      </c>
      <c r="F200" s="124" t="s">
        <v>614</v>
      </c>
      <c r="G200" s="124" t="s">
        <v>1016</v>
      </c>
      <c r="H200" s="122" t="s">
        <v>8</v>
      </c>
      <c r="I200" s="123">
        <v>21.086290000000002</v>
      </c>
      <c r="J200" s="123">
        <v>-101.63558999999999</v>
      </c>
      <c r="K200" s="122"/>
      <c r="L200" s="125" t="str">
        <f t="shared" si="7"/>
        <v>Ver en Google Maps</v>
      </c>
      <c r="M200" s="122">
        <v>2</v>
      </c>
      <c r="N200" s="130"/>
      <c r="O200" s="109"/>
      <c r="P200" s="109"/>
      <c r="Q200" s="109"/>
      <c r="R200" s="109"/>
      <c r="S200" s="109"/>
      <c r="T200" s="109"/>
      <c r="U200" s="109"/>
      <c r="V200" s="109"/>
      <c r="W200" s="109"/>
      <c r="X200" s="109"/>
      <c r="Y200" s="109"/>
      <c r="Z200" s="109"/>
      <c r="AA200" s="109"/>
      <c r="AB200" s="109"/>
      <c r="AC200" s="109"/>
      <c r="AD200" s="110"/>
      <c r="AE200" s="109"/>
      <c r="AF200" s="151"/>
    </row>
    <row r="201" spans="1:32" x14ac:dyDescent="0.2">
      <c r="A201" s="112">
        <v>523</v>
      </c>
      <c r="B201" s="113" t="s">
        <v>956</v>
      </c>
      <c r="C201" s="114" t="s">
        <v>429</v>
      </c>
      <c r="D201" s="114" t="s">
        <v>15</v>
      </c>
      <c r="E201" s="115" t="s">
        <v>236</v>
      </c>
      <c r="F201" s="115" t="s">
        <v>615</v>
      </c>
      <c r="G201" s="115" t="s">
        <v>1106</v>
      </c>
      <c r="H201" s="113" t="s">
        <v>8</v>
      </c>
      <c r="I201" s="114">
        <v>21.127389999999998</v>
      </c>
      <c r="J201" s="114">
        <v>-101.74548</v>
      </c>
      <c r="K201" s="113"/>
      <c r="L201" s="116" t="str">
        <f t="shared" si="7"/>
        <v>Ver en Google Maps</v>
      </c>
      <c r="M201" s="113">
        <v>2</v>
      </c>
      <c r="N201" s="129"/>
      <c r="O201" s="118"/>
      <c r="P201" s="118"/>
      <c r="Q201" s="118"/>
      <c r="R201" s="118"/>
      <c r="S201" s="118"/>
      <c r="T201" s="118"/>
      <c r="U201" s="118"/>
      <c r="V201" s="118"/>
      <c r="W201" s="118"/>
      <c r="X201" s="118"/>
      <c r="Y201" s="118"/>
      <c r="Z201" s="118"/>
      <c r="AA201" s="118"/>
      <c r="AB201" s="118"/>
      <c r="AC201" s="118"/>
      <c r="AD201" s="119"/>
      <c r="AE201" s="118"/>
      <c r="AF201" s="152"/>
    </row>
    <row r="202" spans="1:32" x14ac:dyDescent="0.2">
      <c r="A202" s="121">
        <v>524</v>
      </c>
      <c r="B202" s="122" t="s">
        <v>956</v>
      </c>
      <c r="C202" s="123" t="s">
        <v>429</v>
      </c>
      <c r="D202" s="123" t="s">
        <v>15</v>
      </c>
      <c r="E202" s="124" t="s">
        <v>237</v>
      </c>
      <c r="F202" s="124" t="s">
        <v>616</v>
      </c>
      <c r="G202" s="124" t="s">
        <v>389</v>
      </c>
      <c r="H202" s="122" t="s">
        <v>8</v>
      </c>
      <c r="I202" s="123">
        <v>21.125060000000001</v>
      </c>
      <c r="J202" s="123">
        <v>-101.63764</v>
      </c>
      <c r="K202" s="122" t="s">
        <v>139</v>
      </c>
      <c r="L202" s="125" t="str">
        <f t="shared" si="7"/>
        <v>Ver en Google Maps</v>
      </c>
      <c r="M202" s="122">
        <v>2</v>
      </c>
      <c r="N202" s="108">
        <v>45934</v>
      </c>
      <c r="O202" s="109">
        <f>DAY('BD1'!$N202)</f>
        <v>4</v>
      </c>
      <c r="P202" s="109">
        <f>MONTH('BD1'!$N202)</f>
        <v>10</v>
      </c>
      <c r="Q202" s="109">
        <f>YEAR('BD1'!$N202)</f>
        <v>2025</v>
      </c>
      <c r="R202" s="109">
        <v>1</v>
      </c>
      <c r="S202" s="109" t="s">
        <v>138</v>
      </c>
      <c r="T202" s="109" t="s">
        <v>138</v>
      </c>
      <c r="U202" s="109" t="s">
        <v>138</v>
      </c>
      <c r="V202" s="109" t="s">
        <v>138</v>
      </c>
      <c r="W202" s="109" t="s">
        <v>138</v>
      </c>
      <c r="X202" s="109" t="s">
        <v>138</v>
      </c>
      <c r="Y202" s="109" t="s">
        <v>138</v>
      </c>
      <c r="Z202" s="109" t="s">
        <v>138</v>
      </c>
      <c r="AA202" s="109">
        <v>34.950000000000003</v>
      </c>
      <c r="AB202" s="109">
        <v>32.24</v>
      </c>
      <c r="AC202" s="110" t="s">
        <v>967</v>
      </c>
      <c r="AD202" s="110" t="s">
        <v>954</v>
      </c>
      <c r="AE202" s="109">
        <f t="shared" si="8"/>
        <v>8</v>
      </c>
      <c r="AF202" s="151" t="str">
        <f t="shared" si="9"/>
        <v>Estable</v>
      </c>
    </row>
    <row r="203" spans="1:32" x14ac:dyDescent="0.2">
      <c r="A203" s="112">
        <v>525</v>
      </c>
      <c r="B203" s="113" t="s">
        <v>956</v>
      </c>
      <c r="C203" s="114" t="s">
        <v>429</v>
      </c>
      <c r="D203" s="114" t="s">
        <v>17</v>
      </c>
      <c r="E203" s="115" t="s">
        <v>126</v>
      </c>
      <c r="F203" s="115" t="s">
        <v>617</v>
      </c>
      <c r="G203" s="115" t="s">
        <v>1107</v>
      </c>
      <c r="H203" s="113" t="s">
        <v>8</v>
      </c>
      <c r="I203" s="114">
        <v>21.092911999999998</v>
      </c>
      <c r="J203" s="114">
        <v>-101.68994600000001</v>
      </c>
      <c r="K203" s="113"/>
      <c r="L203" s="116" t="str">
        <f t="shared" si="7"/>
        <v>Ver en Google Maps</v>
      </c>
      <c r="M203" s="113">
        <v>1</v>
      </c>
      <c r="N203" s="129"/>
      <c r="O203" s="118"/>
      <c r="P203" s="118"/>
      <c r="Q203" s="118"/>
      <c r="R203" s="118"/>
      <c r="S203" s="118"/>
      <c r="T203" s="118"/>
      <c r="U203" s="118"/>
      <c r="V203" s="118"/>
      <c r="W203" s="118"/>
      <c r="X203" s="118"/>
      <c r="Y203" s="118"/>
      <c r="Z203" s="118"/>
      <c r="AA203" s="118"/>
      <c r="AB203" s="118"/>
      <c r="AC203" s="118"/>
      <c r="AD203" s="119"/>
      <c r="AE203" s="118"/>
      <c r="AF203" s="152"/>
    </row>
    <row r="204" spans="1:32" x14ac:dyDescent="0.2">
      <c r="A204" s="121">
        <v>532</v>
      </c>
      <c r="B204" s="122" t="s">
        <v>956</v>
      </c>
      <c r="C204" s="123" t="s">
        <v>429</v>
      </c>
      <c r="D204" s="123" t="s">
        <v>15</v>
      </c>
      <c r="E204" s="124" t="s">
        <v>238</v>
      </c>
      <c r="F204" s="124" t="s">
        <v>618</v>
      </c>
      <c r="G204" s="124" t="s">
        <v>1108</v>
      </c>
      <c r="H204" s="122" t="s">
        <v>8</v>
      </c>
      <c r="I204" s="123">
        <v>21.101707999999999</v>
      </c>
      <c r="J204" s="123">
        <v>-101.605785</v>
      </c>
      <c r="K204" s="122"/>
      <c r="L204" s="125" t="str">
        <f t="shared" si="7"/>
        <v>Ver en Google Maps</v>
      </c>
      <c r="M204" s="122">
        <v>2</v>
      </c>
      <c r="N204" s="130"/>
      <c r="O204" s="109"/>
      <c r="P204" s="109"/>
      <c r="Q204" s="109"/>
      <c r="R204" s="109"/>
      <c r="S204" s="109"/>
      <c r="T204" s="109"/>
      <c r="U204" s="109"/>
      <c r="V204" s="109"/>
      <c r="W204" s="109"/>
      <c r="X204" s="109"/>
      <c r="Y204" s="109"/>
      <c r="Z204" s="109"/>
      <c r="AA204" s="109"/>
      <c r="AB204" s="109"/>
      <c r="AC204" s="109"/>
      <c r="AD204" s="110"/>
      <c r="AE204" s="109"/>
      <c r="AF204" s="151"/>
    </row>
    <row r="205" spans="1:32" x14ac:dyDescent="0.2">
      <c r="A205" s="112">
        <v>533</v>
      </c>
      <c r="B205" s="113" t="s">
        <v>956</v>
      </c>
      <c r="C205" s="114" t="s">
        <v>429</v>
      </c>
      <c r="D205" s="114" t="s">
        <v>17</v>
      </c>
      <c r="E205" s="115" t="s">
        <v>239</v>
      </c>
      <c r="F205" s="115" t="s">
        <v>619</v>
      </c>
      <c r="G205" s="115" t="s">
        <v>240</v>
      </c>
      <c r="H205" s="113" t="s">
        <v>8</v>
      </c>
      <c r="I205" s="114">
        <v>21.133927</v>
      </c>
      <c r="J205" s="114">
        <v>-101.756713</v>
      </c>
      <c r="K205" s="113"/>
      <c r="L205" s="116" t="str">
        <f t="shared" si="7"/>
        <v>Ver en Google Maps</v>
      </c>
      <c r="M205" s="113">
        <v>1</v>
      </c>
      <c r="N205" s="129"/>
      <c r="O205" s="118"/>
      <c r="P205" s="118"/>
      <c r="Q205" s="118"/>
      <c r="R205" s="118"/>
      <c r="S205" s="118"/>
      <c r="T205" s="118"/>
      <c r="U205" s="118"/>
      <c r="V205" s="118"/>
      <c r="W205" s="118"/>
      <c r="X205" s="118"/>
      <c r="Y205" s="118"/>
      <c r="Z205" s="118"/>
      <c r="AA205" s="118"/>
      <c r="AB205" s="118"/>
      <c r="AC205" s="118"/>
      <c r="AD205" s="119"/>
      <c r="AE205" s="118"/>
      <c r="AF205" s="152"/>
    </row>
    <row r="206" spans="1:32" x14ac:dyDescent="0.2">
      <c r="A206" s="121">
        <v>534</v>
      </c>
      <c r="B206" s="122" t="s">
        <v>956</v>
      </c>
      <c r="C206" s="123" t="s">
        <v>429</v>
      </c>
      <c r="D206" s="123" t="s">
        <v>17</v>
      </c>
      <c r="E206" s="124" t="s">
        <v>241</v>
      </c>
      <c r="F206" s="124" t="s">
        <v>620</v>
      </c>
      <c r="G206" s="124" t="s">
        <v>1086</v>
      </c>
      <c r="H206" s="122" t="s">
        <v>8</v>
      </c>
      <c r="I206" s="123">
        <v>21.10286</v>
      </c>
      <c r="J206" s="123">
        <v>-101.602296</v>
      </c>
      <c r="K206" s="122"/>
      <c r="L206" s="125" t="str">
        <f t="shared" si="7"/>
        <v>Ver en Google Maps</v>
      </c>
      <c r="M206" s="122">
        <v>1</v>
      </c>
      <c r="N206" s="130"/>
      <c r="O206" s="109"/>
      <c r="P206" s="109"/>
      <c r="Q206" s="109"/>
      <c r="R206" s="109"/>
      <c r="S206" s="109"/>
      <c r="T206" s="109"/>
      <c r="U206" s="109"/>
      <c r="V206" s="109"/>
      <c r="W206" s="109"/>
      <c r="X206" s="109"/>
      <c r="Y206" s="109"/>
      <c r="Z206" s="109"/>
      <c r="AA206" s="109"/>
      <c r="AB206" s="109"/>
      <c r="AC206" s="109"/>
      <c r="AD206" s="110"/>
      <c r="AE206" s="109"/>
      <c r="AF206" s="151"/>
    </row>
    <row r="207" spans="1:32" x14ac:dyDescent="0.2">
      <c r="A207" s="112">
        <v>535</v>
      </c>
      <c r="B207" s="113" t="s">
        <v>956</v>
      </c>
      <c r="C207" s="114" t="s">
        <v>429</v>
      </c>
      <c r="D207" s="114" t="s">
        <v>17</v>
      </c>
      <c r="E207" s="115" t="s">
        <v>242</v>
      </c>
      <c r="F207" s="115" t="s">
        <v>621</v>
      </c>
      <c r="G207" s="115" t="s">
        <v>1109</v>
      </c>
      <c r="H207" s="113" t="s">
        <v>8</v>
      </c>
      <c r="I207" s="114">
        <v>21.103814</v>
      </c>
      <c r="J207" s="114">
        <v>-101.71387799999999</v>
      </c>
      <c r="K207" s="113"/>
      <c r="L207" s="116" t="str">
        <f t="shared" si="7"/>
        <v>Ver en Google Maps</v>
      </c>
      <c r="M207" s="113">
        <v>1</v>
      </c>
      <c r="N207" s="129"/>
      <c r="O207" s="118"/>
      <c r="P207" s="118"/>
      <c r="Q207" s="118"/>
      <c r="R207" s="118"/>
      <c r="S207" s="118"/>
      <c r="T207" s="118"/>
      <c r="U207" s="118"/>
      <c r="V207" s="118"/>
      <c r="W207" s="118"/>
      <c r="X207" s="118"/>
      <c r="Y207" s="118"/>
      <c r="Z207" s="118"/>
      <c r="AA207" s="118"/>
      <c r="AB207" s="118"/>
      <c r="AC207" s="118"/>
      <c r="AD207" s="119"/>
      <c r="AE207" s="118"/>
      <c r="AF207" s="152"/>
    </row>
    <row r="208" spans="1:32" x14ac:dyDescent="0.2">
      <c r="A208" s="121">
        <v>536</v>
      </c>
      <c r="B208" s="122" t="s">
        <v>956</v>
      </c>
      <c r="C208" s="123" t="s">
        <v>429</v>
      </c>
      <c r="D208" s="123" t="s">
        <v>17</v>
      </c>
      <c r="E208" s="124" t="s">
        <v>243</v>
      </c>
      <c r="F208" s="124" t="s">
        <v>622</v>
      </c>
      <c r="G208" s="124" t="s">
        <v>1110</v>
      </c>
      <c r="H208" s="122" t="s">
        <v>8</v>
      </c>
      <c r="I208" s="123">
        <v>21.079481000000001</v>
      </c>
      <c r="J208" s="123">
        <v>-101.642551</v>
      </c>
      <c r="K208" s="122"/>
      <c r="L208" s="125" t="str">
        <f t="shared" si="7"/>
        <v>Ver en Google Maps</v>
      </c>
      <c r="M208" s="122">
        <v>1</v>
      </c>
      <c r="N208" s="130"/>
      <c r="O208" s="109"/>
      <c r="P208" s="109"/>
      <c r="Q208" s="109"/>
      <c r="R208" s="109"/>
      <c r="S208" s="109"/>
      <c r="T208" s="109"/>
      <c r="U208" s="109"/>
      <c r="V208" s="109"/>
      <c r="W208" s="109"/>
      <c r="X208" s="109"/>
      <c r="Y208" s="109"/>
      <c r="Z208" s="109"/>
      <c r="AA208" s="109"/>
      <c r="AB208" s="109"/>
      <c r="AC208" s="109"/>
      <c r="AD208" s="110"/>
      <c r="AE208" s="109"/>
      <c r="AF208" s="151"/>
    </row>
    <row r="209" spans="1:32" x14ac:dyDescent="0.2">
      <c r="A209" s="112">
        <v>537</v>
      </c>
      <c r="B209" s="113" t="s">
        <v>956</v>
      </c>
      <c r="C209" s="114" t="s">
        <v>429</v>
      </c>
      <c r="D209" s="114" t="s">
        <v>17</v>
      </c>
      <c r="E209" s="115" t="s">
        <v>244</v>
      </c>
      <c r="F209" s="115" t="s">
        <v>623</v>
      </c>
      <c r="G209" s="115" t="s">
        <v>1111</v>
      </c>
      <c r="H209" s="113" t="s">
        <v>8</v>
      </c>
      <c r="I209" s="114">
        <v>21.123792999999999</v>
      </c>
      <c r="J209" s="114">
        <v>-101.643002</v>
      </c>
      <c r="K209" s="113" t="s">
        <v>139</v>
      </c>
      <c r="L209" s="116" t="str">
        <f t="shared" si="7"/>
        <v>Ver en Google Maps</v>
      </c>
      <c r="M209" s="113">
        <v>1</v>
      </c>
      <c r="N209" s="117">
        <v>45931</v>
      </c>
      <c r="O209" s="118">
        <f>DAY('BD1'!$N209)</f>
        <v>1</v>
      </c>
      <c r="P209" s="118">
        <f>MONTH('BD1'!$N209)</f>
        <v>10</v>
      </c>
      <c r="Q209" s="118">
        <f>YEAR('BD1'!$N209)</f>
        <v>2025</v>
      </c>
      <c r="R209" s="118">
        <v>1</v>
      </c>
      <c r="S209" s="118" t="s">
        <v>138</v>
      </c>
      <c r="T209" s="118" t="s">
        <v>138</v>
      </c>
      <c r="U209" s="118" t="s">
        <v>138</v>
      </c>
      <c r="V209" s="118" t="s">
        <v>138</v>
      </c>
      <c r="W209" s="118" t="s">
        <v>138</v>
      </c>
      <c r="X209" s="118" t="s">
        <v>138</v>
      </c>
      <c r="Y209" s="118" t="s">
        <v>138</v>
      </c>
      <c r="Z209" s="118" t="s">
        <v>138</v>
      </c>
      <c r="AA209" s="118">
        <v>18.79</v>
      </c>
      <c r="AB209" s="118">
        <v>88.16</v>
      </c>
      <c r="AC209" s="119" t="s">
        <v>971</v>
      </c>
      <c r="AD209" s="119" t="s">
        <v>957</v>
      </c>
      <c r="AE209" s="118">
        <f t="shared" si="8"/>
        <v>8</v>
      </c>
      <c r="AF209" s="152" t="str">
        <f t="shared" si="9"/>
        <v>Estable</v>
      </c>
    </row>
    <row r="210" spans="1:32" x14ac:dyDescent="0.2">
      <c r="A210" s="121">
        <v>545</v>
      </c>
      <c r="B210" s="122" t="s">
        <v>956</v>
      </c>
      <c r="C210" s="123" t="s">
        <v>429</v>
      </c>
      <c r="D210" s="123" t="s">
        <v>17</v>
      </c>
      <c r="E210" s="124" t="s">
        <v>245</v>
      </c>
      <c r="F210" s="124" t="s">
        <v>624</v>
      </c>
      <c r="G210" s="124" t="s">
        <v>1112</v>
      </c>
      <c r="H210" s="122" t="s">
        <v>8</v>
      </c>
      <c r="I210" s="123">
        <v>21.092140000000001</v>
      </c>
      <c r="J210" s="123">
        <v>-101.60608000000001</v>
      </c>
      <c r="K210" s="122"/>
      <c r="L210" s="125" t="str">
        <f t="shared" si="7"/>
        <v>Ver en Google Maps</v>
      </c>
      <c r="M210" s="122">
        <v>1</v>
      </c>
      <c r="N210" s="130"/>
      <c r="O210" s="109"/>
      <c r="P210" s="109"/>
      <c r="Q210" s="109"/>
      <c r="R210" s="109"/>
      <c r="S210" s="109"/>
      <c r="T210" s="109"/>
      <c r="U210" s="109"/>
      <c r="V210" s="109"/>
      <c r="W210" s="109"/>
      <c r="X210" s="109"/>
      <c r="Y210" s="109"/>
      <c r="Z210" s="109"/>
      <c r="AA210" s="109"/>
      <c r="AB210" s="109"/>
      <c r="AC210" s="109"/>
      <c r="AD210" s="110"/>
      <c r="AE210" s="109"/>
      <c r="AF210" s="151"/>
    </row>
    <row r="211" spans="1:32" x14ac:dyDescent="0.2">
      <c r="A211" s="112">
        <v>549</v>
      </c>
      <c r="B211" s="113" t="s">
        <v>956</v>
      </c>
      <c r="C211" s="114" t="s">
        <v>429</v>
      </c>
      <c r="D211" s="114" t="s">
        <v>17</v>
      </c>
      <c r="E211" s="115" t="s">
        <v>246</v>
      </c>
      <c r="F211" s="115" t="s">
        <v>625</v>
      </c>
      <c r="G211" s="115" t="s">
        <v>1036</v>
      </c>
      <c r="H211" s="113" t="s">
        <v>8</v>
      </c>
      <c r="I211" s="114">
        <v>21.126629999999999</v>
      </c>
      <c r="J211" s="114">
        <v>-101.71639</v>
      </c>
      <c r="K211" s="113"/>
      <c r="L211" s="116" t="str">
        <f t="shared" si="7"/>
        <v>Ver en Google Maps</v>
      </c>
      <c r="M211" s="113">
        <v>1</v>
      </c>
      <c r="N211" s="129"/>
      <c r="O211" s="118"/>
      <c r="P211" s="118"/>
      <c r="Q211" s="118"/>
      <c r="R211" s="118"/>
      <c r="S211" s="118"/>
      <c r="T211" s="118"/>
      <c r="U211" s="118"/>
      <c r="V211" s="118"/>
      <c r="W211" s="118"/>
      <c r="X211" s="118"/>
      <c r="Y211" s="118"/>
      <c r="Z211" s="118"/>
      <c r="AA211" s="118"/>
      <c r="AB211" s="118"/>
      <c r="AC211" s="118"/>
      <c r="AD211" s="119"/>
      <c r="AE211" s="118"/>
      <c r="AF211" s="152"/>
    </row>
    <row r="212" spans="1:32" x14ac:dyDescent="0.2">
      <c r="A212" s="121">
        <v>550</v>
      </c>
      <c r="B212" s="122" t="s">
        <v>956</v>
      </c>
      <c r="C212" s="123" t="s">
        <v>429</v>
      </c>
      <c r="D212" s="123" t="s">
        <v>17</v>
      </c>
      <c r="E212" s="124" t="s">
        <v>247</v>
      </c>
      <c r="F212" s="124" t="s">
        <v>626</v>
      </c>
      <c r="G212" s="124" t="s">
        <v>980</v>
      </c>
      <c r="H212" s="122" t="s">
        <v>8</v>
      </c>
      <c r="I212" s="123">
        <v>21.12866</v>
      </c>
      <c r="J212" s="123">
        <v>-101.74576999999999</v>
      </c>
      <c r="K212" s="122"/>
      <c r="L212" s="125" t="str">
        <f t="shared" si="7"/>
        <v>Ver en Google Maps</v>
      </c>
      <c r="M212" s="122">
        <v>1</v>
      </c>
      <c r="N212" s="130"/>
      <c r="O212" s="109"/>
      <c r="P212" s="109"/>
      <c r="Q212" s="109"/>
      <c r="R212" s="109"/>
      <c r="S212" s="109"/>
      <c r="T212" s="109"/>
      <c r="U212" s="109"/>
      <c r="V212" s="109"/>
      <c r="W212" s="109"/>
      <c r="X212" s="109"/>
      <c r="Y212" s="109"/>
      <c r="Z212" s="109"/>
      <c r="AA212" s="109"/>
      <c r="AB212" s="109"/>
      <c r="AC212" s="109"/>
      <c r="AD212" s="110"/>
      <c r="AE212" s="109"/>
      <c r="AF212" s="151"/>
    </row>
    <row r="213" spans="1:32" x14ac:dyDescent="0.2">
      <c r="A213" s="112">
        <v>552</v>
      </c>
      <c r="B213" s="113" t="s">
        <v>956</v>
      </c>
      <c r="C213" s="114" t="s">
        <v>429</v>
      </c>
      <c r="D213" s="114" t="s">
        <v>17</v>
      </c>
      <c r="E213" s="115" t="s">
        <v>248</v>
      </c>
      <c r="F213" s="115" t="s">
        <v>627</v>
      </c>
      <c r="G213" s="115" t="s">
        <v>1074</v>
      </c>
      <c r="H213" s="113" t="s">
        <v>8</v>
      </c>
      <c r="I213" s="114">
        <v>21.109089999999998</v>
      </c>
      <c r="J213" s="114">
        <v>-101.70023</v>
      </c>
      <c r="K213" s="113" t="s">
        <v>139</v>
      </c>
      <c r="L213" s="116" t="str">
        <f t="shared" si="7"/>
        <v>Ver en Google Maps</v>
      </c>
      <c r="M213" s="113">
        <v>1</v>
      </c>
      <c r="N213" s="117">
        <v>45932</v>
      </c>
      <c r="O213" s="118">
        <f>DAY('BD1'!$N213)</f>
        <v>2</v>
      </c>
      <c r="P213" s="118">
        <f>MONTH('BD1'!$N213)</f>
        <v>10</v>
      </c>
      <c r="Q213" s="118">
        <f>YEAR('BD1'!$N213)</f>
        <v>2025</v>
      </c>
      <c r="R213" s="118">
        <v>1</v>
      </c>
      <c r="S213" s="118" t="s">
        <v>138</v>
      </c>
      <c r="T213" s="118" t="s">
        <v>138</v>
      </c>
      <c r="U213" s="118" t="s">
        <v>138</v>
      </c>
      <c r="V213" s="118" t="s">
        <v>138</v>
      </c>
      <c r="W213" s="118" t="s">
        <v>138</v>
      </c>
      <c r="X213" s="118" t="s">
        <v>138</v>
      </c>
      <c r="Y213" s="118" t="s">
        <v>138</v>
      </c>
      <c r="Z213" s="118" t="s">
        <v>138</v>
      </c>
      <c r="AA213" s="118">
        <v>28.42</v>
      </c>
      <c r="AB213" s="118">
        <v>123.16</v>
      </c>
      <c r="AC213" s="119" t="s">
        <v>967</v>
      </c>
      <c r="AD213" s="119" t="s">
        <v>957</v>
      </c>
      <c r="AE213" s="118">
        <f t="shared" si="8"/>
        <v>8</v>
      </c>
      <c r="AF213" s="152" t="str">
        <f t="shared" si="9"/>
        <v>Estable</v>
      </c>
    </row>
    <row r="214" spans="1:32" x14ac:dyDescent="0.2">
      <c r="A214" s="121">
        <v>557</v>
      </c>
      <c r="B214" s="122" t="s">
        <v>956</v>
      </c>
      <c r="C214" s="123" t="s">
        <v>429</v>
      </c>
      <c r="D214" s="123" t="s">
        <v>17</v>
      </c>
      <c r="E214" s="124" t="s">
        <v>249</v>
      </c>
      <c r="F214" s="124" t="s">
        <v>628</v>
      </c>
      <c r="G214" s="124" t="s">
        <v>1113</v>
      </c>
      <c r="H214" s="122" t="s">
        <v>8</v>
      </c>
      <c r="I214" s="123">
        <v>21.13841</v>
      </c>
      <c r="J214" s="123">
        <v>-101.70959999999999</v>
      </c>
      <c r="K214" s="122" t="s">
        <v>139</v>
      </c>
      <c r="L214" s="125" t="str">
        <f t="shared" si="7"/>
        <v>Ver en Google Maps</v>
      </c>
      <c r="M214" s="122">
        <v>1</v>
      </c>
      <c r="N214" s="108">
        <v>45933</v>
      </c>
      <c r="O214" s="109">
        <f>DAY('BD1'!$N214)</f>
        <v>3</v>
      </c>
      <c r="P214" s="109">
        <f>MONTH('BD1'!$N214)</f>
        <v>10</v>
      </c>
      <c r="Q214" s="109">
        <f>YEAR('BD1'!$N214)</f>
        <v>2025</v>
      </c>
      <c r="R214" s="109">
        <v>1</v>
      </c>
      <c r="S214" s="109" t="s">
        <v>934</v>
      </c>
      <c r="T214" s="109" t="s">
        <v>934</v>
      </c>
      <c r="U214" s="109" t="s">
        <v>934</v>
      </c>
      <c r="V214" s="109" t="s">
        <v>934</v>
      </c>
      <c r="W214" s="109" t="s">
        <v>934</v>
      </c>
      <c r="X214" s="109" t="s">
        <v>934</v>
      </c>
      <c r="Y214" s="109" t="s">
        <v>934</v>
      </c>
      <c r="Z214" s="109" t="s">
        <v>934</v>
      </c>
      <c r="AA214" s="109">
        <v>0</v>
      </c>
      <c r="AB214" s="109">
        <v>0</v>
      </c>
      <c r="AC214" s="110" t="s">
        <v>958</v>
      </c>
      <c r="AD214" s="110" t="s">
        <v>954</v>
      </c>
      <c r="AE214" s="109">
        <f t="shared" si="8"/>
        <v>0</v>
      </c>
      <c r="AF214" s="151" t="str">
        <f t="shared" si="9"/>
        <v>Crítico</v>
      </c>
    </row>
    <row r="215" spans="1:32" x14ac:dyDescent="0.2">
      <c r="A215" s="112">
        <v>558</v>
      </c>
      <c r="B215" s="113" t="s">
        <v>956</v>
      </c>
      <c r="C215" s="114" t="s">
        <v>429</v>
      </c>
      <c r="D215" s="114" t="s">
        <v>17</v>
      </c>
      <c r="E215" s="115" t="s">
        <v>250</v>
      </c>
      <c r="F215" s="115" t="s">
        <v>629</v>
      </c>
      <c r="G215" s="115" t="s">
        <v>1114</v>
      </c>
      <c r="H215" s="113" t="s">
        <v>8</v>
      </c>
      <c r="I215" s="114">
        <v>21.120460000000001</v>
      </c>
      <c r="J215" s="114">
        <v>-101.65685999999999</v>
      </c>
      <c r="K215" s="113" t="s">
        <v>139</v>
      </c>
      <c r="L215" s="116" t="str">
        <f t="shared" si="7"/>
        <v>Ver en Google Maps</v>
      </c>
      <c r="M215" s="113">
        <v>1</v>
      </c>
      <c r="N215" s="117">
        <v>45939</v>
      </c>
      <c r="O215" s="118">
        <f>DAY('BD1'!$N215)</f>
        <v>9</v>
      </c>
      <c r="P215" s="118">
        <f>MONTH('BD1'!$N215)</f>
        <v>10</v>
      </c>
      <c r="Q215" s="118">
        <f>YEAR('BD1'!$N215)</f>
        <v>2025</v>
      </c>
      <c r="R215" s="118">
        <v>1</v>
      </c>
      <c r="S215" s="118" t="s">
        <v>138</v>
      </c>
      <c r="T215" s="118" t="s">
        <v>138</v>
      </c>
      <c r="U215" s="118" t="s">
        <v>138</v>
      </c>
      <c r="V215" s="118" t="s">
        <v>138</v>
      </c>
      <c r="W215" s="118" t="s">
        <v>138</v>
      </c>
      <c r="X215" s="118" t="s">
        <v>138</v>
      </c>
      <c r="Y215" s="118" t="s">
        <v>138</v>
      </c>
      <c r="Z215" s="118" t="s">
        <v>138</v>
      </c>
      <c r="AA215" s="118">
        <v>43.26</v>
      </c>
      <c r="AB215" s="118">
        <v>34.96</v>
      </c>
      <c r="AC215" s="119" t="s">
        <v>967</v>
      </c>
      <c r="AD215" s="119" t="s">
        <v>957</v>
      </c>
      <c r="AE215" s="118">
        <f t="shared" si="8"/>
        <v>8</v>
      </c>
      <c r="AF215" s="152" t="str">
        <f t="shared" si="9"/>
        <v>Estable</v>
      </c>
    </row>
    <row r="216" spans="1:32" x14ac:dyDescent="0.2">
      <c r="A216" s="121">
        <v>559</v>
      </c>
      <c r="B216" s="122" t="s">
        <v>956</v>
      </c>
      <c r="C216" s="123" t="s">
        <v>429</v>
      </c>
      <c r="D216" s="123" t="s">
        <v>17</v>
      </c>
      <c r="E216" s="124" t="s">
        <v>251</v>
      </c>
      <c r="F216" s="124" t="s">
        <v>630</v>
      </c>
      <c r="G216" s="124" t="s">
        <v>1115</v>
      </c>
      <c r="H216" s="122" t="s">
        <v>8</v>
      </c>
      <c r="I216" s="123">
        <v>21.124780000000001</v>
      </c>
      <c r="J216" s="123">
        <v>-101.70632999999999</v>
      </c>
      <c r="K216" s="122" t="s">
        <v>139</v>
      </c>
      <c r="L216" s="125" t="str">
        <f t="shared" si="7"/>
        <v>Ver en Google Maps</v>
      </c>
      <c r="M216" s="122">
        <v>1</v>
      </c>
      <c r="N216" s="108">
        <v>45933</v>
      </c>
      <c r="O216" s="109">
        <f>DAY('BD1'!$N216)</f>
        <v>3</v>
      </c>
      <c r="P216" s="109">
        <f>MONTH('BD1'!$N216)</f>
        <v>10</v>
      </c>
      <c r="Q216" s="109">
        <f>YEAR('BD1'!$N216)</f>
        <v>2025</v>
      </c>
      <c r="R216" s="109">
        <v>1</v>
      </c>
      <c r="S216" s="109" t="s">
        <v>138</v>
      </c>
      <c r="T216" s="109" t="s">
        <v>138</v>
      </c>
      <c r="U216" s="109" t="s">
        <v>138</v>
      </c>
      <c r="V216" s="109" t="s">
        <v>138</v>
      </c>
      <c r="W216" s="109" t="s">
        <v>138</v>
      </c>
      <c r="X216" s="109" t="s">
        <v>138</v>
      </c>
      <c r="Y216" s="109" t="s">
        <v>138</v>
      </c>
      <c r="Z216" s="109" t="s">
        <v>138</v>
      </c>
      <c r="AA216" s="109">
        <v>98.36</v>
      </c>
      <c r="AB216" s="109">
        <v>31.6</v>
      </c>
      <c r="AC216" s="110" t="s">
        <v>967</v>
      </c>
      <c r="AD216" s="110" t="s">
        <v>954</v>
      </c>
      <c r="AE216" s="109">
        <f t="shared" si="8"/>
        <v>8</v>
      </c>
      <c r="AF216" s="151" t="str">
        <f t="shared" si="9"/>
        <v>Estable</v>
      </c>
    </row>
    <row r="217" spans="1:32" x14ac:dyDescent="0.2">
      <c r="A217" s="112">
        <v>563</v>
      </c>
      <c r="B217" s="113" t="s">
        <v>956</v>
      </c>
      <c r="C217" s="114" t="s">
        <v>429</v>
      </c>
      <c r="D217" s="114" t="s">
        <v>17</v>
      </c>
      <c r="E217" s="115" t="s">
        <v>127</v>
      </c>
      <c r="F217" s="115" t="s">
        <v>631</v>
      </c>
      <c r="G217" s="115" t="s">
        <v>128</v>
      </c>
      <c r="H217" s="113" t="s">
        <v>8</v>
      </c>
      <c r="I217" s="114">
        <v>21.113769999999999</v>
      </c>
      <c r="J217" s="114">
        <v>-101.62838000000001</v>
      </c>
      <c r="K217" s="113" t="s">
        <v>139</v>
      </c>
      <c r="L217" s="116" t="str">
        <f t="shared" si="7"/>
        <v>Ver en Google Maps</v>
      </c>
      <c r="M217" s="113">
        <v>1</v>
      </c>
      <c r="N217" s="117">
        <v>45934</v>
      </c>
      <c r="O217" s="118">
        <f>DAY('BD1'!$N217)</f>
        <v>4</v>
      </c>
      <c r="P217" s="118">
        <f>MONTH('BD1'!$N217)</f>
        <v>10</v>
      </c>
      <c r="Q217" s="118">
        <f>YEAR('BD1'!$N217)</f>
        <v>2025</v>
      </c>
      <c r="R217" s="118">
        <v>1</v>
      </c>
      <c r="S217" s="118" t="s">
        <v>138</v>
      </c>
      <c r="T217" s="118" t="s">
        <v>138</v>
      </c>
      <c r="U217" s="118" t="s">
        <v>138</v>
      </c>
      <c r="V217" s="118" t="s">
        <v>138</v>
      </c>
      <c r="W217" s="118" t="s">
        <v>138</v>
      </c>
      <c r="X217" s="118" t="s">
        <v>138</v>
      </c>
      <c r="Y217" s="118" t="s">
        <v>138</v>
      </c>
      <c r="Z217" s="118" t="s">
        <v>934</v>
      </c>
      <c r="AA217" s="118">
        <v>11.5</v>
      </c>
      <c r="AB217" s="118">
        <v>16.010000000000002</v>
      </c>
      <c r="AC217" s="119" t="s">
        <v>969</v>
      </c>
      <c r="AD217" s="119" t="s">
        <v>954</v>
      </c>
      <c r="AE217" s="118">
        <f t="shared" si="8"/>
        <v>7</v>
      </c>
      <c r="AF217" s="152" t="str">
        <f t="shared" si="9"/>
        <v>Funcional con observaciones</v>
      </c>
    </row>
    <row r="218" spans="1:32" x14ac:dyDescent="0.2">
      <c r="A218" s="121">
        <v>564</v>
      </c>
      <c r="B218" s="122" t="s">
        <v>956</v>
      </c>
      <c r="C218" s="123" t="s">
        <v>429</v>
      </c>
      <c r="D218" s="123" t="s">
        <v>17</v>
      </c>
      <c r="E218" s="124" t="s">
        <v>252</v>
      </c>
      <c r="F218" s="124" t="s">
        <v>632</v>
      </c>
      <c r="G218" s="124" t="s">
        <v>993</v>
      </c>
      <c r="H218" s="122" t="s">
        <v>8</v>
      </c>
      <c r="I218" s="123">
        <v>21.126570000000001</v>
      </c>
      <c r="J218" s="123">
        <v>-101.70193</v>
      </c>
      <c r="K218" s="122" t="s">
        <v>139</v>
      </c>
      <c r="L218" s="125" t="str">
        <f t="shared" si="7"/>
        <v>Ver en Google Maps</v>
      </c>
      <c r="M218" s="122">
        <v>1</v>
      </c>
      <c r="N218" s="108">
        <v>45933</v>
      </c>
      <c r="O218" s="109">
        <f>DAY('BD1'!$N218)</f>
        <v>3</v>
      </c>
      <c r="P218" s="109">
        <f>MONTH('BD1'!$N218)</f>
        <v>10</v>
      </c>
      <c r="Q218" s="109">
        <f>YEAR('BD1'!$N218)</f>
        <v>2025</v>
      </c>
      <c r="R218" s="109">
        <v>1</v>
      </c>
      <c r="S218" s="109" t="s">
        <v>138</v>
      </c>
      <c r="T218" s="109" t="s">
        <v>138</v>
      </c>
      <c r="U218" s="109" t="s">
        <v>138</v>
      </c>
      <c r="V218" s="109" t="s">
        <v>138</v>
      </c>
      <c r="W218" s="109" t="s">
        <v>138</v>
      </c>
      <c r="X218" s="109" t="s">
        <v>138</v>
      </c>
      <c r="Y218" s="109" t="s">
        <v>138</v>
      </c>
      <c r="Z218" s="109" t="s">
        <v>138</v>
      </c>
      <c r="AA218" s="109">
        <v>108.29</v>
      </c>
      <c r="AB218" s="109">
        <v>96.62</v>
      </c>
      <c r="AC218" s="110" t="s">
        <v>967</v>
      </c>
      <c r="AD218" s="110" t="s">
        <v>954</v>
      </c>
      <c r="AE218" s="109">
        <f t="shared" si="8"/>
        <v>8</v>
      </c>
      <c r="AF218" s="151" t="str">
        <f t="shared" si="9"/>
        <v>Estable</v>
      </c>
    </row>
    <row r="219" spans="1:32" x14ac:dyDescent="0.2">
      <c r="A219" s="112">
        <v>569</v>
      </c>
      <c r="B219" s="113" t="s">
        <v>956</v>
      </c>
      <c r="C219" s="114" t="s">
        <v>429</v>
      </c>
      <c r="D219" s="114" t="s">
        <v>17</v>
      </c>
      <c r="E219" s="115" t="s">
        <v>129</v>
      </c>
      <c r="F219" s="115" t="s">
        <v>633</v>
      </c>
      <c r="G219" s="115" t="s">
        <v>1008</v>
      </c>
      <c r="H219" s="113" t="s">
        <v>8</v>
      </c>
      <c r="I219" s="114">
        <v>21.108460000000001</v>
      </c>
      <c r="J219" s="114">
        <v>-101.69477999999999</v>
      </c>
      <c r="K219" s="113" t="s">
        <v>139</v>
      </c>
      <c r="L219" s="116" t="str">
        <f t="shared" si="7"/>
        <v>Ver en Google Maps</v>
      </c>
      <c r="M219" s="113">
        <v>1</v>
      </c>
      <c r="N219" s="117">
        <v>45932</v>
      </c>
      <c r="O219" s="118">
        <f>DAY('BD1'!$N219)</f>
        <v>2</v>
      </c>
      <c r="P219" s="118">
        <f>MONTH('BD1'!$N219)</f>
        <v>10</v>
      </c>
      <c r="Q219" s="118">
        <f>YEAR('BD1'!$N219)</f>
        <v>2025</v>
      </c>
      <c r="R219" s="118">
        <v>1</v>
      </c>
      <c r="S219" s="118" t="s">
        <v>138</v>
      </c>
      <c r="T219" s="118" t="s">
        <v>138</v>
      </c>
      <c r="U219" s="118" t="s">
        <v>138</v>
      </c>
      <c r="V219" s="118" t="s">
        <v>138</v>
      </c>
      <c r="W219" s="118" t="s">
        <v>138</v>
      </c>
      <c r="X219" s="118" t="s">
        <v>138</v>
      </c>
      <c r="Y219" s="118" t="s">
        <v>138</v>
      </c>
      <c r="Z219" s="118" t="s">
        <v>138</v>
      </c>
      <c r="AA219" s="118">
        <v>88</v>
      </c>
      <c r="AB219" s="118">
        <v>49.98</v>
      </c>
      <c r="AC219" s="119" t="s">
        <v>967</v>
      </c>
      <c r="AD219" s="119" t="s">
        <v>954</v>
      </c>
      <c r="AE219" s="118">
        <f t="shared" si="8"/>
        <v>8</v>
      </c>
      <c r="AF219" s="152" t="str">
        <f t="shared" si="9"/>
        <v>Estable</v>
      </c>
    </row>
    <row r="220" spans="1:32" x14ac:dyDescent="0.2">
      <c r="A220" s="121">
        <v>570</v>
      </c>
      <c r="B220" s="122" t="s">
        <v>956</v>
      </c>
      <c r="C220" s="123" t="s">
        <v>429</v>
      </c>
      <c r="D220" s="123" t="s">
        <v>17</v>
      </c>
      <c r="E220" s="124" t="s">
        <v>253</v>
      </c>
      <c r="F220" s="124" t="s">
        <v>634</v>
      </c>
      <c r="G220" s="124" t="s">
        <v>1116</v>
      </c>
      <c r="H220" s="122" t="s">
        <v>8</v>
      </c>
      <c r="I220" s="123">
        <v>21.098859999999998</v>
      </c>
      <c r="J220" s="123">
        <v>-101.64806</v>
      </c>
      <c r="K220" s="122" t="s">
        <v>139</v>
      </c>
      <c r="L220" s="125" t="str">
        <f t="shared" si="7"/>
        <v>Ver en Google Maps</v>
      </c>
      <c r="M220" s="122">
        <v>1</v>
      </c>
      <c r="N220" s="108">
        <v>45934</v>
      </c>
      <c r="O220" s="109">
        <f>DAY('BD1'!$N220)</f>
        <v>4</v>
      </c>
      <c r="P220" s="109">
        <f>MONTH('BD1'!$N220)</f>
        <v>10</v>
      </c>
      <c r="Q220" s="109">
        <f>YEAR('BD1'!$N220)</f>
        <v>2025</v>
      </c>
      <c r="R220" s="109">
        <v>1</v>
      </c>
      <c r="S220" s="109" t="s">
        <v>138</v>
      </c>
      <c r="T220" s="109" t="s">
        <v>138</v>
      </c>
      <c r="U220" s="109" t="s">
        <v>138</v>
      </c>
      <c r="V220" s="109" t="s">
        <v>138</v>
      </c>
      <c r="W220" s="109" t="s">
        <v>138</v>
      </c>
      <c r="X220" s="109" t="s">
        <v>138</v>
      </c>
      <c r="Y220" s="109" t="s">
        <v>138</v>
      </c>
      <c r="Z220" s="109" t="s">
        <v>138</v>
      </c>
      <c r="AA220" s="109">
        <v>60.04</v>
      </c>
      <c r="AB220" s="109">
        <v>13.2</v>
      </c>
      <c r="AC220" s="110" t="s">
        <v>967</v>
      </c>
      <c r="AD220" s="110" t="s">
        <v>954</v>
      </c>
      <c r="AE220" s="109">
        <f t="shared" si="8"/>
        <v>8</v>
      </c>
      <c r="AF220" s="151" t="str">
        <f t="shared" si="9"/>
        <v>Estable</v>
      </c>
    </row>
    <row r="221" spans="1:32" x14ac:dyDescent="0.2">
      <c r="A221" s="112">
        <v>575</v>
      </c>
      <c r="B221" s="113" t="s">
        <v>956</v>
      </c>
      <c r="C221" s="114" t="s">
        <v>429</v>
      </c>
      <c r="D221" s="114" t="s">
        <v>17</v>
      </c>
      <c r="E221" s="115" t="s">
        <v>254</v>
      </c>
      <c r="F221" s="115" t="s">
        <v>635</v>
      </c>
      <c r="G221" s="115" t="s">
        <v>1054</v>
      </c>
      <c r="H221" s="113" t="s">
        <v>8</v>
      </c>
      <c r="I221" s="114">
        <v>21.10624</v>
      </c>
      <c r="J221" s="114">
        <v>-101.64685</v>
      </c>
      <c r="K221" s="113" t="s">
        <v>139</v>
      </c>
      <c r="L221" s="116" t="str">
        <f t="shared" si="7"/>
        <v>Ver en Google Maps</v>
      </c>
      <c r="M221" s="113">
        <v>1</v>
      </c>
      <c r="N221" s="117">
        <v>45934</v>
      </c>
      <c r="O221" s="118">
        <f>DAY('BD1'!$N221)</f>
        <v>4</v>
      </c>
      <c r="P221" s="118">
        <f>MONTH('BD1'!$N221)</f>
        <v>10</v>
      </c>
      <c r="Q221" s="118">
        <f>YEAR('BD1'!$N221)</f>
        <v>2025</v>
      </c>
      <c r="R221" s="118">
        <v>1</v>
      </c>
      <c r="S221" s="118" t="s">
        <v>138</v>
      </c>
      <c r="T221" s="118" t="s">
        <v>138</v>
      </c>
      <c r="U221" s="118" t="s">
        <v>138</v>
      </c>
      <c r="V221" s="118" t="s">
        <v>138</v>
      </c>
      <c r="W221" s="118" t="s">
        <v>138</v>
      </c>
      <c r="X221" s="118" t="s">
        <v>138</v>
      </c>
      <c r="Y221" s="118" t="s">
        <v>138</v>
      </c>
      <c r="Z221" s="118" t="s">
        <v>138</v>
      </c>
      <c r="AA221" s="118">
        <v>49.07</v>
      </c>
      <c r="AB221" s="118">
        <v>4.5199999999999996</v>
      </c>
      <c r="AC221" s="119" t="s">
        <v>967</v>
      </c>
      <c r="AD221" s="119" t="s">
        <v>954</v>
      </c>
      <c r="AE221" s="118">
        <f t="shared" si="8"/>
        <v>8</v>
      </c>
      <c r="AF221" s="152" t="str">
        <f t="shared" si="9"/>
        <v>Estable</v>
      </c>
    </row>
    <row r="222" spans="1:32" x14ac:dyDescent="0.2">
      <c r="A222" s="121">
        <v>577</v>
      </c>
      <c r="B222" s="122" t="s">
        <v>956</v>
      </c>
      <c r="C222" s="123" t="s">
        <v>429</v>
      </c>
      <c r="D222" s="123" t="s">
        <v>17</v>
      </c>
      <c r="E222" s="124" t="s">
        <v>130</v>
      </c>
      <c r="F222" s="124" t="s">
        <v>636</v>
      </c>
      <c r="G222" s="124" t="s">
        <v>1117</v>
      </c>
      <c r="H222" s="122" t="s">
        <v>8</v>
      </c>
      <c r="I222" s="123">
        <v>21.122833</v>
      </c>
      <c r="J222" s="123">
        <v>-101.651342</v>
      </c>
      <c r="K222" s="122" t="s">
        <v>139</v>
      </c>
      <c r="L222" s="125" t="str">
        <f t="shared" si="7"/>
        <v>Ver en Google Maps</v>
      </c>
      <c r="M222" s="122">
        <v>1</v>
      </c>
      <c r="N222" s="108">
        <v>45931</v>
      </c>
      <c r="O222" s="109">
        <f>DAY('BD1'!$N222)</f>
        <v>1</v>
      </c>
      <c r="P222" s="109">
        <f>MONTH('BD1'!$N222)</f>
        <v>10</v>
      </c>
      <c r="Q222" s="109">
        <f>YEAR('BD1'!$N222)</f>
        <v>2025</v>
      </c>
      <c r="R222" s="109">
        <v>1</v>
      </c>
      <c r="S222" s="109" t="s">
        <v>138</v>
      </c>
      <c r="T222" s="109" t="s">
        <v>138</v>
      </c>
      <c r="U222" s="109" t="s">
        <v>138</v>
      </c>
      <c r="V222" s="109" t="s">
        <v>138</v>
      </c>
      <c r="W222" s="109" t="s">
        <v>138</v>
      </c>
      <c r="X222" s="109" t="s">
        <v>138</v>
      </c>
      <c r="Y222" s="109" t="s">
        <v>138</v>
      </c>
      <c r="Z222" s="109" t="s">
        <v>138</v>
      </c>
      <c r="AA222" s="109">
        <v>19.43</v>
      </c>
      <c r="AB222" s="109">
        <v>17.18</v>
      </c>
      <c r="AC222" s="110" t="s">
        <v>967</v>
      </c>
      <c r="AD222" s="110" t="s">
        <v>957</v>
      </c>
      <c r="AE222" s="109">
        <f t="shared" si="8"/>
        <v>8</v>
      </c>
      <c r="AF222" s="151" t="str">
        <f t="shared" si="9"/>
        <v>Estable</v>
      </c>
    </row>
    <row r="223" spans="1:32" x14ac:dyDescent="0.2">
      <c r="A223" s="112">
        <v>578</v>
      </c>
      <c r="B223" s="113" t="s">
        <v>956</v>
      </c>
      <c r="C223" s="114" t="s">
        <v>429</v>
      </c>
      <c r="D223" s="114" t="s">
        <v>17</v>
      </c>
      <c r="E223" s="115" t="s">
        <v>131</v>
      </c>
      <c r="F223" s="115" t="s">
        <v>637</v>
      </c>
      <c r="G223" s="115" t="s">
        <v>1118</v>
      </c>
      <c r="H223" s="113" t="s">
        <v>8</v>
      </c>
      <c r="I223" s="114">
        <v>21.072230000000001</v>
      </c>
      <c r="J223" s="114">
        <v>-101.63207</v>
      </c>
      <c r="K223" s="113"/>
      <c r="L223" s="116" t="str">
        <f t="shared" si="7"/>
        <v>Ver en Google Maps</v>
      </c>
      <c r="M223" s="113">
        <v>1</v>
      </c>
      <c r="N223" s="129"/>
      <c r="O223" s="118"/>
      <c r="P223" s="118"/>
      <c r="Q223" s="118"/>
      <c r="R223" s="118"/>
      <c r="S223" s="118"/>
      <c r="T223" s="118"/>
      <c r="U223" s="118"/>
      <c r="V223" s="118"/>
      <c r="W223" s="118"/>
      <c r="X223" s="118"/>
      <c r="Y223" s="118"/>
      <c r="Z223" s="118"/>
      <c r="AA223" s="118"/>
      <c r="AB223" s="118"/>
      <c r="AC223" s="118"/>
      <c r="AD223" s="119"/>
      <c r="AE223" s="118"/>
      <c r="AF223" s="152"/>
    </row>
    <row r="224" spans="1:32" x14ac:dyDescent="0.2">
      <c r="A224" s="121">
        <v>591</v>
      </c>
      <c r="B224" s="122" t="s">
        <v>956</v>
      </c>
      <c r="C224" s="123" t="s">
        <v>429</v>
      </c>
      <c r="D224" s="123" t="s">
        <v>17</v>
      </c>
      <c r="E224" s="124" t="s">
        <v>255</v>
      </c>
      <c r="F224" s="124" t="s">
        <v>638</v>
      </c>
      <c r="G224" s="124" t="s">
        <v>1048</v>
      </c>
      <c r="H224" s="122" t="s">
        <v>8</v>
      </c>
      <c r="I224" s="123">
        <v>21.099219999999999</v>
      </c>
      <c r="J224" s="123">
        <v>-101.69707</v>
      </c>
      <c r="K224" s="122" t="s">
        <v>139</v>
      </c>
      <c r="L224" s="125" t="str">
        <f t="shared" si="7"/>
        <v>Ver en Google Maps</v>
      </c>
      <c r="M224" s="122">
        <v>1</v>
      </c>
      <c r="N224" s="108">
        <v>45932</v>
      </c>
      <c r="O224" s="109">
        <f>DAY('BD1'!$N224)</f>
        <v>2</v>
      </c>
      <c r="P224" s="109">
        <f>MONTH('BD1'!$N224)</f>
        <v>10</v>
      </c>
      <c r="Q224" s="109">
        <f>YEAR('BD1'!$N224)</f>
        <v>2025</v>
      </c>
      <c r="R224" s="109">
        <v>1</v>
      </c>
      <c r="S224" s="109" t="s">
        <v>138</v>
      </c>
      <c r="T224" s="109" t="s">
        <v>138</v>
      </c>
      <c r="U224" s="109" t="s">
        <v>138</v>
      </c>
      <c r="V224" s="109" t="s">
        <v>138</v>
      </c>
      <c r="W224" s="109" t="s">
        <v>138</v>
      </c>
      <c r="X224" s="109" t="s">
        <v>138</v>
      </c>
      <c r="Y224" s="109" t="s">
        <v>138</v>
      </c>
      <c r="Z224" s="109" t="s">
        <v>138</v>
      </c>
      <c r="AA224" s="109">
        <v>88.22</v>
      </c>
      <c r="AB224" s="109">
        <v>50.81</v>
      </c>
      <c r="AC224" s="110" t="s">
        <v>967</v>
      </c>
      <c r="AD224" s="110" t="s">
        <v>957</v>
      </c>
      <c r="AE224" s="109">
        <f t="shared" si="8"/>
        <v>8</v>
      </c>
      <c r="AF224" s="151" t="str">
        <f t="shared" si="9"/>
        <v>Estable</v>
      </c>
    </row>
    <row r="225" spans="1:32" x14ac:dyDescent="0.2">
      <c r="A225" s="112">
        <v>592</v>
      </c>
      <c r="B225" s="113" t="s">
        <v>956</v>
      </c>
      <c r="C225" s="114" t="s">
        <v>429</v>
      </c>
      <c r="D225" s="114" t="s">
        <v>17</v>
      </c>
      <c r="E225" s="115" t="s">
        <v>256</v>
      </c>
      <c r="F225" s="115" t="s">
        <v>639</v>
      </c>
      <c r="G225" s="115" t="s">
        <v>1119</v>
      </c>
      <c r="H225" s="113" t="s">
        <v>8</v>
      </c>
      <c r="I225" s="114">
        <v>21.12124</v>
      </c>
      <c r="J225" s="114">
        <v>-101.71771</v>
      </c>
      <c r="K225" s="113" t="s">
        <v>139</v>
      </c>
      <c r="L225" s="116" t="str">
        <f t="shared" si="7"/>
        <v>Ver en Google Maps</v>
      </c>
      <c r="M225" s="113">
        <v>1</v>
      </c>
      <c r="N225" s="117">
        <v>45933</v>
      </c>
      <c r="O225" s="118">
        <f>DAY('BD1'!$N225)</f>
        <v>3</v>
      </c>
      <c r="P225" s="118">
        <f>MONTH('BD1'!$N225)</f>
        <v>10</v>
      </c>
      <c r="Q225" s="118">
        <f>YEAR('BD1'!$N225)</f>
        <v>2025</v>
      </c>
      <c r="R225" s="118">
        <v>1</v>
      </c>
      <c r="S225" s="118" t="s">
        <v>138</v>
      </c>
      <c r="T225" s="118" t="s">
        <v>138</v>
      </c>
      <c r="U225" s="118" t="s">
        <v>138</v>
      </c>
      <c r="V225" s="118" t="s">
        <v>138</v>
      </c>
      <c r="W225" s="118" t="s">
        <v>138</v>
      </c>
      <c r="X225" s="118" t="s">
        <v>138</v>
      </c>
      <c r="Y225" s="118" t="s">
        <v>138</v>
      </c>
      <c r="Z225" s="118" t="s">
        <v>138</v>
      </c>
      <c r="AA225" s="118">
        <v>22.09</v>
      </c>
      <c r="AB225" s="118">
        <v>33.26</v>
      </c>
      <c r="AC225" s="119" t="s">
        <v>967</v>
      </c>
      <c r="AD225" s="119" t="s">
        <v>954</v>
      </c>
      <c r="AE225" s="118">
        <f t="shared" si="8"/>
        <v>8</v>
      </c>
      <c r="AF225" s="152" t="str">
        <f t="shared" si="9"/>
        <v>Estable</v>
      </c>
    </row>
    <row r="226" spans="1:32" x14ac:dyDescent="0.2">
      <c r="A226" s="121">
        <v>596</v>
      </c>
      <c r="B226" s="122" t="s">
        <v>956</v>
      </c>
      <c r="C226" s="123" t="s">
        <v>429</v>
      </c>
      <c r="D226" s="123" t="s">
        <v>17</v>
      </c>
      <c r="E226" s="124" t="s">
        <v>257</v>
      </c>
      <c r="F226" s="124" t="s">
        <v>640</v>
      </c>
      <c r="G226" s="124" t="s">
        <v>121</v>
      </c>
      <c r="H226" s="122" t="s">
        <v>8</v>
      </c>
      <c r="I226" s="123">
        <v>21.104310000000002</v>
      </c>
      <c r="J226" s="123">
        <v>-101.61639</v>
      </c>
      <c r="K226" s="122"/>
      <c r="L226" s="125" t="str">
        <f t="shared" si="7"/>
        <v>Ver en Google Maps</v>
      </c>
      <c r="M226" s="122">
        <v>1</v>
      </c>
      <c r="N226" s="130"/>
      <c r="O226" s="109"/>
      <c r="P226" s="109"/>
      <c r="Q226" s="109"/>
      <c r="R226" s="109"/>
      <c r="S226" s="109"/>
      <c r="T226" s="109"/>
      <c r="U226" s="109"/>
      <c r="V226" s="109"/>
      <c r="W226" s="109"/>
      <c r="X226" s="109"/>
      <c r="Y226" s="109"/>
      <c r="Z226" s="109"/>
      <c r="AA226" s="109"/>
      <c r="AB226" s="109"/>
      <c r="AC226" s="109"/>
      <c r="AD226" s="110"/>
      <c r="AE226" s="109"/>
      <c r="AF226" s="151"/>
    </row>
    <row r="227" spans="1:32" x14ac:dyDescent="0.2">
      <c r="A227" s="112">
        <v>599</v>
      </c>
      <c r="B227" s="113" t="s">
        <v>956</v>
      </c>
      <c r="C227" s="114" t="s">
        <v>429</v>
      </c>
      <c r="D227" s="114" t="s">
        <v>17</v>
      </c>
      <c r="E227" s="115" t="s">
        <v>258</v>
      </c>
      <c r="F227" s="115" t="s">
        <v>641</v>
      </c>
      <c r="G227" s="115" t="s">
        <v>1101</v>
      </c>
      <c r="H227" s="113" t="s">
        <v>8</v>
      </c>
      <c r="I227" s="114">
        <v>21.1051</v>
      </c>
      <c r="J227" s="114">
        <v>-101.73101</v>
      </c>
      <c r="K227" s="113" t="s">
        <v>139</v>
      </c>
      <c r="L227" s="116" t="str">
        <f t="shared" si="7"/>
        <v>Ver en Google Maps</v>
      </c>
      <c r="M227" s="113">
        <v>1</v>
      </c>
      <c r="N227" s="117">
        <v>45933</v>
      </c>
      <c r="O227" s="118">
        <f>DAY('BD1'!$N227)</f>
        <v>3</v>
      </c>
      <c r="P227" s="118">
        <f>MONTH('BD1'!$N227)</f>
        <v>10</v>
      </c>
      <c r="Q227" s="118">
        <f>YEAR('BD1'!$N227)</f>
        <v>2025</v>
      </c>
      <c r="R227" s="118">
        <v>1</v>
      </c>
      <c r="S227" s="118" t="s">
        <v>138</v>
      </c>
      <c r="T227" s="118" t="s">
        <v>138</v>
      </c>
      <c r="U227" s="118" t="s">
        <v>138</v>
      </c>
      <c r="V227" s="118" t="s">
        <v>138</v>
      </c>
      <c r="W227" s="118" t="s">
        <v>138</v>
      </c>
      <c r="X227" s="118" t="s">
        <v>138</v>
      </c>
      <c r="Y227" s="118" t="s">
        <v>138</v>
      </c>
      <c r="Z227" s="118" t="s">
        <v>138</v>
      </c>
      <c r="AA227" s="118">
        <v>61.66</v>
      </c>
      <c r="AB227" s="118">
        <v>112.09</v>
      </c>
      <c r="AC227" s="119" t="s">
        <v>967</v>
      </c>
      <c r="AD227" s="119" t="s">
        <v>954</v>
      </c>
      <c r="AE227" s="118">
        <f t="shared" si="8"/>
        <v>8</v>
      </c>
      <c r="AF227" s="152" t="str">
        <f t="shared" si="9"/>
        <v>Estable</v>
      </c>
    </row>
    <row r="228" spans="1:32" x14ac:dyDescent="0.2">
      <c r="A228" s="121">
        <v>601</v>
      </c>
      <c r="B228" s="122" t="s">
        <v>956</v>
      </c>
      <c r="C228" s="123" t="s">
        <v>429</v>
      </c>
      <c r="D228" s="123" t="s">
        <v>17</v>
      </c>
      <c r="E228" s="124" t="s">
        <v>259</v>
      </c>
      <c r="F228" s="124" t="s">
        <v>642</v>
      </c>
      <c r="G228" s="124" t="s">
        <v>1025</v>
      </c>
      <c r="H228" s="122" t="s">
        <v>8</v>
      </c>
      <c r="I228" s="123">
        <v>21.12068</v>
      </c>
      <c r="J228" s="123">
        <v>-101.6384</v>
      </c>
      <c r="K228" s="122" t="s">
        <v>139</v>
      </c>
      <c r="L228" s="125" t="str">
        <f t="shared" si="7"/>
        <v>Ver en Google Maps</v>
      </c>
      <c r="M228" s="122">
        <v>1</v>
      </c>
      <c r="N228" s="108">
        <v>45934</v>
      </c>
      <c r="O228" s="109">
        <f>DAY('BD1'!$N228)</f>
        <v>4</v>
      </c>
      <c r="P228" s="109">
        <f>MONTH('BD1'!$N228)</f>
        <v>10</v>
      </c>
      <c r="Q228" s="109">
        <f>YEAR('BD1'!$N228)</f>
        <v>2025</v>
      </c>
      <c r="R228" s="109">
        <v>1</v>
      </c>
      <c r="S228" s="109" t="s">
        <v>138</v>
      </c>
      <c r="T228" s="109" t="s">
        <v>138</v>
      </c>
      <c r="U228" s="109" t="s">
        <v>138</v>
      </c>
      <c r="V228" s="109" t="s">
        <v>138</v>
      </c>
      <c r="W228" s="109" t="s">
        <v>138</v>
      </c>
      <c r="X228" s="109" t="s">
        <v>138</v>
      </c>
      <c r="Y228" s="109" t="s">
        <v>138</v>
      </c>
      <c r="Z228" s="109" t="s">
        <v>138</v>
      </c>
      <c r="AA228" s="109">
        <v>24.81</v>
      </c>
      <c r="AB228" s="109">
        <v>34.65</v>
      </c>
      <c r="AC228" s="110" t="s">
        <v>967</v>
      </c>
      <c r="AD228" s="110" t="s">
        <v>954</v>
      </c>
      <c r="AE228" s="109">
        <f t="shared" si="8"/>
        <v>8</v>
      </c>
      <c r="AF228" s="151" t="str">
        <f t="shared" si="9"/>
        <v>Estable</v>
      </c>
    </row>
    <row r="229" spans="1:32" x14ac:dyDescent="0.2">
      <c r="A229" s="112">
        <v>602</v>
      </c>
      <c r="B229" s="113" t="s">
        <v>956</v>
      </c>
      <c r="C229" s="114" t="s">
        <v>429</v>
      </c>
      <c r="D229" s="114" t="s">
        <v>17</v>
      </c>
      <c r="E229" s="115" t="s">
        <v>260</v>
      </c>
      <c r="F229" s="115" t="s">
        <v>643</v>
      </c>
      <c r="G229" s="115" t="s">
        <v>70</v>
      </c>
      <c r="H229" s="113" t="s">
        <v>8</v>
      </c>
      <c r="I229" s="114">
        <v>21.10586</v>
      </c>
      <c r="J229" s="114">
        <v>-101.68668</v>
      </c>
      <c r="K229" s="113" t="s">
        <v>139</v>
      </c>
      <c r="L229" s="116" t="str">
        <f t="shared" si="7"/>
        <v>Ver en Google Maps</v>
      </c>
      <c r="M229" s="113">
        <v>1</v>
      </c>
      <c r="N229" s="117">
        <v>45932</v>
      </c>
      <c r="O229" s="118">
        <f>DAY('BD1'!$N229)</f>
        <v>2</v>
      </c>
      <c r="P229" s="118">
        <f>MONTH('BD1'!$N229)</f>
        <v>10</v>
      </c>
      <c r="Q229" s="118">
        <f>YEAR('BD1'!$N229)</f>
        <v>2025</v>
      </c>
      <c r="R229" s="118">
        <v>1</v>
      </c>
      <c r="S229" s="118" t="s">
        <v>138</v>
      </c>
      <c r="T229" s="118" t="s">
        <v>138</v>
      </c>
      <c r="U229" s="118" t="s">
        <v>138</v>
      </c>
      <c r="V229" s="118" t="s">
        <v>138</v>
      </c>
      <c r="W229" s="118" t="s">
        <v>138</v>
      </c>
      <c r="X229" s="118" t="s">
        <v>138</v>
      </c>
      <c r="Y229" s="118" t="s">
        <v>138</v>
      </c>
      <c r="Z229" s="118" t="s">
        <v>138</v>
      </c>
      <c r="AA229" s="118">
        <v>20.76</v>
      </c>
      <c r="AB229" s="118">
        <v>34.130000000000003</v>
      </c>
      <c r="AC229" s="119" t="s">
        <v>967</v>
      </c>
      <c r="AD229" s="119" t="s">
        <v>954</v>
      </c>
      <c r="AE229" s="118">
        <f t="shared" si="8"/>
        <v>8</v>
      </c>
      <c r="AF229" s="152" t="str">
        <f t="shared" si="9"/>
        <v>Estable</v>
      </c>
    </row>
    <row r="230" spans="1:32" x14ac:dyDescent="0.2">
      <c r="A230" s="121">
        <v>606</v>
      </c>
      <c r="B230" s="122" t="s">
        <v>956</v>
      </c>
      <c r="C230" s="123" t="s">
        <v>429</v>
      </c>
      <c r="D230" s="123" t="s">
        <v>17</v>
      </c>
      <c r="E230" s="124" t="s">
        <v>261</v>
      </c>
      <c r="F230" s="124" t="s">
        <v>644</v>
      </c>
      <c r="G230" s="124" t="s">
        <v>1120</v>
      </c>
      <c r="H230" s="122" t="s">
        <v>8</v>
      </c>
      <c r="I230" s="123">
        <v>21.098980000000001</v>
      </c>
      <c r="J230" s="123">
        <v>-101.70238000000001</v>
      </c>
      <c r="K230" s="122" t="s">
        <v>139</v>
      </c>
      <c r="L230" s="125" t="str">
        <f t="shared" si="7"/>
        <v>Ver en Google Maps</v>
      </c>
      <c r="M230" s="122">
        <v>1</v>
      </c>
      <c r="N230" s="108">
        <v>45932</v>
      </c>
      <c r="O230" s="109">
        <f>DAY('BD1'!$N230)</f>
        <v>2</v>
      </c>
      <c r="P230" s="109">
        <f>MONTH('BD1'!$N230)</f>
        <v>10</v>
      </c>
      <c r="Q230" s="109">
        <f>YEAR('BD1'!$N230)</f>
        <v>2025</v>
      </c>
      <c r="R230" s="109">
        <v>1</v>
      </c>
      <c r="S230" s="109" t="s">
        <v>138</v>
      </c>
      <c r="T230" s="109" t="s">
        <v>138</v>
      </c>
      <c r="U230" s="109" t="s">
        <v>138</v>
      </c>
      <c r="V230" s="109" t="s">
        <v>138</v>
      </c>
      <c r="W230" s="109" t="s">
        <v>138</v>
      </c>
      <c r="X230" s="109" t="s">
        <v>138</v>
      </c>
      <c r="Y230" s="109" t="s">
        <v>138</v>
      </c>
      <c r="Z230" s="109" t="s">
        <v>138</v>
      </c>
      <c r="AA230" s="109">
        <v>50.9</v>
      </c>
      <c r="AB230" s="109">
        <v>49.97</v>
      </c>
      <c r="AC230" s="110" t="s">
        <v>967</v>
      </c>
      <c r="AD230" s="110" t="s">
        <v>954</v>
      </c>
      <c r="AE230" s="109">
        <f t="shared" si="8"/>
        <v>8</v>
      </c>
      <c r="AF230" s="151" t="str">
        <f t="shared" si="9"/>
        <v>Estable</v>
      </c>
    </row>
    <row r="231" spans="1:32" x14ac:dyDescent="0.2">
      <c r="A231" s="112">
        <v>607</v>
      </c>
      <c r="B231" s="113" t="s">
        <v>956</v>
      </c>
      <c r="C231" s="114" t="s">
        <v>429</v>
      </c>
      <c r="D231" s="114" t="s">
        <v>16</v>
      </c>
      <c r="E231" s="115" t="s">
        <v>262</v>
      </c>
      <c r="F231" s="115" t="s">
        <v>645</v>
      </c>
      <c r="G231" s="115" t="s">
        <v>1022</v>
      </c>
      <c r="H231" s="113" t="s">
        <v>8</v>
      </c>
      <c r="I231" s="114">
        <v>21.094570000000001</v>
      </c>
      <c r="J231" s="114">
        <v>-101.72092000000001</v>
      </c>
      <c r="K231" s="113"/>
      <c r="L231" s="116" t="str">
        <f t="shared" si="7"/>
        <v>Ver en Google Maps</v>
      </c>
      <c r="M231" s="113">
        <v>1</v>
      </c>
      <c r="N231" s="129"/>
      <c r="O231" s="118"/>
      <c r="P231" s="118"/>
      <c r="Q231" s="118"/>
      <c r="R231" s="118"/>
      <c r="S231" s="118"/>
      <c r="T231" s="118"/>
      <c r="U231" s="118"/>
      <c r="V231" s="118"/>
      <c r="W231" s="118"/>
      <c r="X231" s="118"/>
      <c r="Y231" s="118"/>
      <c r="Z231" s="118"/>
      <c r="AA231" s="118"/>
      <c r="AB231" s="118"/>
      <c r="AC231" s="118"/>
      <c r="AD231" s="119"/>
      <c r="AE231" s="118"/>
      <c r="AF231" s="152"/>
    </row>
    <row r="232" spans="1:32" x14ac:dyDescent="0.2">
      <c r="A232" s="121">
        <v>632</v>
      </c>
      <c r="B232" s="122" t="s">
        <v>956</v>
      </c>
      <c r="C232" s="123" t="s">
        <v>429</v>
      </c>
      <c r="D232" s="123" t="s">
        <v>16</v>
      </c>
      <c r="E232" s="124" t="s">
        <v>263</v>
      </c>
      <c r="F232" s="124" t="s">
        <v>646</v>
      </c>
      <c r="G232" s="124" t="s">
        <v>360</v>
      </c>
      <c r="H232" s="122" t="s">
        <v>8</v>
      </c>
      <c r="I232" s="123">
        <v>21.120360000000002</v>
      </c>
      <c r="J232" s="123">
        <v>-101.68349000000001</v>
      </c>
      <c r="K232" s="122" t="s">
        <v>139</v>
      </c>
      <c r="L232" s="125" t="str">
        <f t="shared" si="7"/>
        <v>Ver en Google Maps</v>
      </c>
      <c r="M232" s="122">
        <v>1</v>
      </c>
      <c r="N232" s="108">
        <v>45929</v>
      </c>
      <c r="O232" s="109">
        <f>DAY('BD1'!$N232)</f>
        <v>29</v>
      </c>
      <c r="P232" s="109">
        <f>MONTH('BD1'!$N232)</f>
        <v>9</v>
      </c>
      <c r="Q232" s="109">
        <f>YEAR('BD1'!$N232)</f>
        <v>2025</v>
      </c>
      <c r="R232" s="109">
        <v>1</v>
      </c>
      <c r="S232" s="109" t="s">
        <v>138</v>
      </c>
      <c r="T232" s="109" t="s">
        <v>138</v>
      </c>
      <c r="U232" s="109" t="s">
        <v>138</v>
      </c>
      <c r="V232" s="109" t="s">
        <v>138</v>
      </c>
      <c r="W232" s="109" t="s">
        <v>138</v>
      </c>
      <c r="X232" s="109" t="s">
        <v>138</v>
      </c>
      <c r="Y232" s="109" t="s">
        <v>138</v>
      </c>
      <c r="Z232" s="109" t="s">
        <v>138</v>
      </c>
      <c r="AA232" s="109">
        <v>32.54</v>
      </c>
      <c r="AB232" s="109">
        <v>42.16</v>
      </c>
      <c r="AC232" s="110" t="s">
        <v>967</v>
      </c>
      <c r="AD232" s="110" t="s">
        <v>954</v>
      </c>
      <c r="AE232" s="109">
        <f t="shared" si="8"/>
        <v>8</v>
      </c>
      <c r="AF232" s="151" t="str">
        <f t="shared" si="9"/>
        <v>Estable</v>
      </c>
    </row>
    <row r="233" spans="1:32" x14ac:dyDescent="0.2">
      <c r="A233" s="112">
        <v>633</v>
      </c>
      <c r="B233" s="113" t="s">
        <v>956</v>
      </c>
      <c r="C233" s="114" t="s">
        <v>429</v>
      </c>
      <c r="D233" s="114" t="s">
        <v>16</v>
      </c>
      <c r="E233" s="115" t="s">
        <v>264</v>
      </c>
      <c r="F233" s="115" t="s">
        <v>647</v>
      </c>
      <c r="G233" s="115" t="s">
        <v>1121</v>
      </c>
      <c r="H233" s="113" t="s">
        <v>8</v>
      </c>
      <c r="I233" s="114">
        <v>21.107585</v>
      </c>
      <c r="J233" s="114">
        <v>-101.687496</v>
      </c>
      <c r="K233" s="113"/>
      <c r="L233" s="116" t="str">
        <f t="shared" si="7"/>
        <v>Ver en Google Maps</v>
      </c>
      <c r="M233" s="113">
        <v>1</v>
      </c>
      <c r="N233" s="129"/>
      <c r="O233" s="118"/>
      <c r="P233" s="118"/>
      <c r="Q233" s="118"/>
      <c r="R233" s="118"/>
      <c r="S233" s="118"/>
      <c r="T233" s="118"/>
      <c r="U233" s="118"/>
      <c r="V233" s="118"/>
      <c r="W233" s="118"/>
      <c r="X233" s="118"/>
      <c r="Y233" s="118"/>
      <c r="Z233" s="118"/>
      <c r="AA233" s="118"/>
      <c r="AB233" s="118"/>
      <c r="AC233" s="118"/>
      <c r="AD233" s="119"/>
      <c r="AE233" s="118"/>
      <c r="AF233" s="152"/>
    </row>
    <row r="234" spans="1:32" x14ac:dyDescent="0.2">
      <c r="A234" s="121">
        <v>634</v>
      </c>
      <c r="B234" s="122" t="s">
        <v>956</v>
      </c>
      <c r="C234" s="123" t="s">
        <v>429</v>
      </c>
      <c r="D234" s="123" t="s">
        <v>16</v>
      </c>
      <c r="E234" s="124" t="s">
        <v>265</v>
      </c>
      <c r="F234" s="124" t="s">
        <v>648</v>
      </c>
      <c r="G234" s="124" t="s">
        <v>70</v>
      </c>
      <c r="H234" s="122" t="s">
        <v>8</v>
      </c>
      <c r="I234" s="123">
        <v>21.098849999999999</v>
      </c>
      <c r="J234" s="123">
        <v>-101.68664</v>
      </c>
      <c r="K234" s="122"/>
      <c r="L234" s="125" t="str">
        <f t="shared" si="7"/>
        <v>Ver en Google Maps</v>
      </c>
      <c r="M234" s="122">
        <v>1</v>
      </c>
      <c r="N234" s="130"/>
      <c r="O234" s="109"/>
      <c r="P234" s="109"/>
      <c r="Q234" s="109"/>
      <c r="R234" s="109"/>
      <c r="S234" s="109"/>
      <c r="T234" s="109"/>
      <c r="U234" s="109"/>
      <c r="V234" s="109"/>
      <c r="W234" s="109"/>
      <c r="X234" s="109"/>
      <c r="Y234" s="109"/>
      <c r="Z234" s="109"/>
      <c r="AA234" s="109"/>
      <c r="AB234" s="109"/>
      <c r="AC234" s="109"/>
      <c r="AD234" s="110"/>
      <c r="AE234" s="109"/>
      <c r="AF234" s="151"/>
    </row>
    <row r="235" spans="1:32" x14ac:dyDescent="0.2">
      <c r="A235" s="112">
        <v>635</v>
      </c>
      <c r="B235" s="113" t="s">
        <v>956</v>
      </c>
      <c r="C235" s="114" t="s">
        <v>429</v>
      </c>
      <c r="D235" s="114" t="s">
        <v>16</v>
      </c>
      <c r="E235" s="115" t="s">
        <v>266</v>
      </c>
      <c r="F235" s="115" t="s">
        <v>649</v>
      </c>
      <c r="G235" s="115" t="s">
        <v>360</v>
      </c>
      <c r="H235" s="113" t="s">
        <v>8</v>
      </c>
      <c r="I235" s="114">
        <v>21.1252</v>
      </c>
      <c r="J235" s="114">
        <v>-101.68554</v>
      </c>
      <c r="K235" s="113" t="s">
        <v>139</v>
      </c>
      <c r="L235" s="116" t="str">
        <f t="shared" si="7"/>
        <v>Ver en Google Maps</v>
      </c>
      <c r="M235" s="113">
        <v>2</v>
      </c>
      <c r="N235" s="117">
        <v>45929</v>
      </c>
      <c r="O235" s="118">
        <f>DAY('BD1'!$N235)</f>
        <v>29</v>
      </c>
      <c r="P235" s="118">
        <f>MONTH('BD1'!$N235)</f>
        <v>9</v>
      </c>
      <c r="Q235" s="118">
        <f>YEAR('BD1'!$N235)</f>
        <v>2025</v>
      </c>
      <c r="R235" s="118">
        <v>1</v>
      </c>
      <c r="S235" s="118" t="s">
        <v>138</v>
      </c>
      <c r="T235" s="118" t="s">
        <v>138</v>
      </c>
      <c r="U235" s="118" t="s">
        <v>138</v>
      </c>
      <c r="V235" s="118" t="s">
        <v>138</v>
      </c>
      <c r="W235" s="118" t="s">
        <v>138</v>
      </c>
      <c r="X235" s="118" t="s">
        <v>138</v>
      </c>
      <c r="Y235" s="118" t="s">
        <v>138</v>
      </c>
      <c r="Z235" s="118" t="s">
        <v>138</v>
      </c>
      <c r="AA235" s="118">
        <v>26.78</v>
      </c>
      <c r="AB235" s="118">
        <v>7.5</v>
      </c>
      <c r="AC235" s="119" t="s">
        <v>967</v>
      </c>
      <c r="AD235" s="119" t="s">
        <v>954</v>
      </c>
      <c r="AE235" s="118">
        <f t="shared" si="8"/>
        <v>8</v>
      </c>
      <c r="AF235" s="152" t="str">
        <f t="shared" si="9"/>
        <v>Estable</v>
      </c>
    </row>
    <row r="236" spans="1:32" x14ac:dyDescent="0.2">
      <c r="A236" s="121">
        <v>636</v>
      </c>
      <c r="B236" s="122" t="s">
        <v>956</v>
      </c>
      <c r="C236" s="123" t="s">
        <v>429</v>
      </c>
      <c r="D236" s="123" t="s">
        <v>16</v>
      </c>
      <c r="E236" s="124" t="s">
        <v>267</v>
      </c>
      <c r="F236" s="124" t="s">
        <v>650</v>
      </c>
      <c r="G236" s="124" t="s">
        <v>1122</v>
      </c>
      <c r="H236" s="122" t="s">
        <v>8</v>
      </c>
      <c r="I236" s="123">
        <v>21.122340000000001</v>
      </c>
      <c r="J236" s="123">
        <v>-101.71411999999999</v>
      </c>
      <c r="K236" s="122" t="s">
        <v>139</v>
      </c>
      <c r="L236" s="125" t="str">
        <f t="shared" si="7"/>
        <v>Ver en Google Maps</v>
      </c>
      <c r="M236" s="122">
        <v>1</v>
      </c>
      <c r="N236" s="108">
        <v>45933</v>
      </c>
      <c r="O236" s="109">
        <f>DAY('BD1'!$N236)</f>
        <v>3</v>
      </c>
      <c r="P236" s="109">
        <f>MONTH('BD1'!$N236)</f>
        <v>10</v>
      </c>
      <c r="Q236" s="109">
        <f>YEAR('BD1'!$N236)</f>
        <v>2025</v>
      </c>
      <c r="R236" s="109">
        <v>1</v>
      </c>
      <c r="S236" s="109" t="s">
        <v>138</v>
      </c>
      <c r="T236" s="109" t="s">
        <v>138</v>
      </c>
      <c r="U236" s="109" t="s">
        <v>138</v>
      </c>
      <c r="V236" s="109" t="s">
        <v>138</v>
      </c>
      <c r="W236" s="109" t="s">
        <v>138</v>
      </c>
      <c r="X236" s="109" t="s">
        <v>138</v>
      </c>
      <c r="Y236" s="109" t="s">
        <v>138</v>
      </c>
      <c r="Z236" s="109" t="s">
        <v>138</v>
      </c>
      <c r="AA236" s="109">
        <v>43.5</v>
      </c>
      <c r="AB236" s="109">
        <v>42.18</v>
      </c>
      <c r="AC236" s="110" t="s">
        <v>967</v>
      </c>
      <c r="AD236" s="110" t="s">
        <v>954</v>
      </c>
      <c r="AE236" s="109">
        <f t="shared" si="8"/>
        <v>8</v>
      </c>
      <c r="AF236" s="151" t="str">
        <f t="shared" si="9"/>
        <v>Estable</v>
      </c>
    </row>
    <row r="237" spans="1:32" x14ac:dyDescent="0.2">
      <c r="A237" s="112">
        <v>637</v>
      </c>
      <c r="B237" s="113" t="s">
        <v>956</v>
      </c>
      <c r="C237" s="114" t="s">
        <v>429</v>
      </c>
      <c r="D237" s="114" t="s">
        <v>17</v>
      </c>
      <c r="E237" s="115" t="s">
        <v>268</v>
      </c>
      <c r="F237" s="115" t="s">
        <v>651</v>
      </c>
      <c r="G237" s="115" t="s">
        <v>269</v>
      </c>
      <c r="H237" s="113" t="s">
        <v>8</v>
      </c>
      <c r="I237" s="114">
        <v>21.086980000000001</v>
      </c>
      <c r="J237" s="114">
        <v>-101.69011999999999</v>
      </c>
      <c r="K237" s="113"/>
      <c r="L237" s="116" t="str">
        <f t="shared" si="7"/>
        <v>Ver en Google Maps</v>
      </c>
      <c r="M237" s="113">
        <v>1</v>
      </c>
      <c r="N237" s="129"/>
      <c r="O237" s="118"/>
      <c r="P237" s="118"/>
      <c r="Q237" s="118"/>
      <c r="R237" s="118"/>
      <c r="S237" s="118"/>
      <c r="T237" s="118"/>
      <c r="U237" s="118"/>
      <c r="V237" s="118"/>
      <c r="W237" s="118"/>
      <c r="X237" s="118"/>
      <c r="Y237" s="118"/>
      <c r="Z237" s="118"/>
      <c r="AA237" s="118"/>
      <c r="AB237" s="118"/>
      <c r="AC237" s="118"/>
      <c r="AD237" s="119"/>
      <c r="AE237" s="118"/>
      <c r="AF237" s="152"/>
    </row>
    <row r="238" spans="1:32" x14ac:dyDescent="0.2">
      <c r="A238" s="121">
        <v>638</v>
      </c>
      <c r="B238" s="122" t="s">
        <v>956</v>
      </c>
      <c r="C238" s="123" t="s">
        <v>429</v>
      </c>
      <c r="D238" s="123" t="s">
        <v>16</v>
      </c>
      <c r="E238" s="124" t="s">
        <v>270</v>
      </c>
      <c r="F238" s="124" t="s">
        <v>652</v>
      </c>
      <c r="G238" s="124" t="s">
        <v>360</v>
      </c>
      <c r="H238" s="122" t="s">
        <v>8</v>
      </c>
      <c r="I238" s="123">
        <v>21.123449999999998</v>
      </c>
      <c r="J238" s="123">
        <v>-101.68464</v>
      </c>
      <c r="K238" s="122" t="s">
        <v>139</v>
      </c>
      <c r="L238" s="125" t="str">
        <f t="shared" si="7"/>
        <v>Ver en Google Maps</v>
      </c>
      <c r="M238" s="122">
        <v>1</v>
      </c>
      <c r="N238" s="108">
        <v>45930</v>
      </c>
      <c r="O238" s="109">
        <f>DAY('BD1'!$N238)</f>
        <v>30</v>
      </c>
      <c r="P238" s="109">
        <f>MONTH('BD1'!$N238)</f>
        <v>9</v>
      </c>
      <c r="Q238" s="109">
        <f>YEAR('BD1'!$N238)</f>
        <v>2025</v>
      </c>
      <c r="R238" s="109">
        <v>1</v>
      </c>
      <c r="S238" s="109" t="s">
        <v>138</v>
      </c>
      <c r="T238" s="109" t="s">
        <v>138</v>
      </c>
      <c r="U238" s="109" t="s">
        <v>138</v>
      </c>
      <c r="V238" s="109" t="s">
        <v>138</v>
      </c>
      <c r="W238" s="109" t="s">
        <v>138</v>
      </c>
      <c r="X238" s="109" t="s">
        <v>138</v>
      </c>
      <c r="Y238" s="109" t="s">
        <v>138</v>
      </c>
      <c r="Z238" s="109" t="s">
        <v>138</v>
      </c>
      <c r="AA238" s="109">
        <v>23.31</v>
      </c>
      <c r="AB238" s="109">
        <v>22.58</v>
      </c>
      <c r="AC238" s="110" t="s">
        <v>967</v>
      </c>
      <c r="AD238" s="110" t="s">
        <v>954</v>
      </c>
      <c r="AE238" s="109">
        <f t="shared" si="8"/>
        <v>8</v>
      </c>
      <c r="AF238" s="151" t="str">
        <f t="shared" si="9"/>
        <v>Estable</v>
      </c>
    </row>
    <row r="239" spans="1:32" x14ac:dyDescent="0.2">
      <c r="A239" s="112">
        <v>639</v>
      </c>
      <c r="B239" s="113" t="s">
        <v>956</v>
      </c>
      <c r="C239" s="114" t="s">
        <v>429</v>
      </c>
      <c r="D239" s="114" t="s">
        <v>16</v>
      </c>
      <c r="E239" s="115" t="s">
        <v>271</v>
      </c>
      <c r="F239" s="115" t="s">
        <v>653</v>
      </c>
      <c r="G239" s="115" t="s">
        <v>1044</v>
      </c>
      <c r="H239" s="113" t="s">
        <v>8</v>
      </c>
      <c r="I239" s="114">
        <v>21.076744000000001</v>
      </c>
      <c r="J239" s="114">
        <v>-101.629318</v>
      </c>
      <c r="K239" s="113"/>
      <c r="L239" s="116" t="str">
        <f t="shared" si="7"/>
        <v>Ver en Google Maps</v>
      </c>
      <c r="M239" s="113">
        <v>1</v>
      </c>
      <c r="N239" s="129"/>
      <c r="O239" s="118"/>
      <c r="P239" s="118"/>
      <c r="Q239" s="118"/>
      <c r="R239" s="118"/>
      <c r="S239" s="118"/>
      <c r="T239" s="118"/>
      <c r="U239" s="118"/>
      <c r="V239" s="118"/>
      <c r="W239" s="118"/>
      <c r="X239" s="118"/>
      <c r="Y239" s="118"/>
      <c r="Z239" s="118"/>
      <c r="AA239" s="118"/>
      <c r="AB239" s="118"/>
      <c r="AC239" s="118"/>
      <c r="AD239" s="119"/>
      <c r="AE239" s="118"/>
      <c r="AF239" s="152"/>
    </row>
    <row r="240" spans="1:32" x14ac:dyDescent="0.2">
      <c r="A240" s="121">
        <v>640</v>
      </c>
      <c r="B240" s="122" t="s">
        <v>956</v>
      </c>
      <c r="C240" s="123" t="s">
        <v>429</v>
      </c>
      <c r="D240" s="123" t="s">
        <v>16</v>
      </c>
      <c r="E240" s="124" t="s">
        <v>272</v>
      </c>
      <c r="F240" s="124" t="s">
        <v>654</v>
      </c>
      <c r="G240" s="124" t="s">
        <v>360</v>
      </c>
      <c r="H240" s="122" t="s">
        <v>8</v>
      </c>
      <c r="I240" s="123">
        <v>21.118549999999999</v>
      </c>
      <c r="J240" s="123">
        <v>-101.68189</v>
      </c>
      <c r="K240" s="122" t="s">
        <v>139</v>
      </c>
      <c r="L240" s="125" t="str">
        <f t="shared" si="7"/>
        <v>Ver en Google Maps</v>
      </c>
      <c r="M240" s="122">
        <v>1</v>
      </c>
      <c r="N240" s="108">
        <v>45929</v>
      </c>
      <c r="O240" s="109">
        <f>DAY('BD1'!$N240)</f>
        <v>29</v>
      </c>
      <c r="P240" s="109">
        <f>MONTH('BD1'!$N240)</f>
        <v>9</v>
      </c>
      <c r="Q240" s="109">
        <f>YEAR('BD1'!$N240)</f>
        <v>2025</v>
      </c>
      <c r="R240" s="109">
        <v>1</v>
      </c>
      <c r="S240" s="109" t="s">
        <v>138</v>
      </c>
      <c r="T240" s="109" t="s">
        <v>138</v>
      </c>
      <c r="U240" s="109" t="s">
        <v>138</v>
      </c>
      <c r="V240" s="109" t="s">
        <v>138</v>
      </c>
      <c r="W240" s="109" t="s">
        <v>138</v>
      </c>
      <c r="X240" s="109" t="s">
        <v>138</v>
      </c>
      <c r="Y240" s="109" t="s">
        <v>138</v>
      </c>
      <c r="Z240" s="109" t="s">
        <v>138</v>
      </c>
      <c r="AA240" s="109">
        <v>23.31</v>
      </c>
      <c r="AB240" s="109">
        <v>22.58</v>
      </c>
      <c r="AC240" s="110" t="s">
        <v>967</v>
      </c>
      <c r="AD240" s="110" t="s">
        <v>954</v>
      </c>
      <c r="AE240" s="109">
        <f t="shared" si="8"/>
        <v>8</v>
      </c>
      <c r="AF240" s="151" t="str">
        <f t="shared" si="9"/>
        <v>Estable</v>
      </c>
    </row>
    <row r="241" spans="1:32" x14ac:dyDescent="0.2">
      <c r="A241" s="112">
        <v>641</v>
      </c>
      <c r="B241" s="113" t="s">
        <v>956</v>
      </c>
      <c r="C241" s="114" t="s">
        <v>429</v>
      </c>
      <c r="D241" s="114" t="s">
        <v>16</v>
      </c>
      <c r="E241" s="115" t="s">
        <v>273</v>
      </c>
      <c r="F241" s="115" t="s">
        <v>655</v>
      </c>
      <c r="G241" s="115" t="s">
        <v>993</v>
      </c>
      <c r="H241" s="113" t="s">
        <v>8</v>
      </c>
      <c r="I241" s="114">
        <v>21.127901999999999</v>
      </c>
      <c r="J241" s="114">
        <v>-101.696945</v>
      </c>
      <c r="K241" s="113"/>
      <c r="L241" s="116" t="str">
        <f t="shared" si="7"/>
        <v>Ver en Google Maps</v>
      </c>
      <c r="M241" s="113">
        <v>1</v>
      </c>
      <c r="N241" s="129"/>
      <c r="O241" s="118"/>
      <c r="P241" s="118"/>
      <c r="Q241" s="118"/>
      <c r="R241" s="118"/>
      <c r="S241" s="118"/>
      <c r="T241" s="118"/>
      <c r="U241" s="118"/>
      <c r="V241" s="118"/>
      <c r="W241" s="118"/>
      <c r="X241" s="118"/>
      <c r="Y241" s="118"/>
      <c r="Z241" s="118"/>
      <c r="AA241" s="118"/>
      <c r="AB241" s="118"/>
      <c r="AC241" s="118"/>
      <c r="AD241" s="119"/>
      <c r="AE241" s="118"/>
      <c r="AF241" s="152"/>
    </row>
    <row r="242" spans="1:32" x14ac:dyDescent="0.2">
      <c r="A242" s="121">
        <v>642</v>
      </c>
      <c r="B242" s="122" t="s">
        <v>956</v>
      </c>
      <c r="C242" s="123" t="s">
        <v>429</v>
      </c>
      <c r="D242" s="123" t="s">
        <v>16</v>
      </c>
      <c r="E242" s="124" t="s">
        <v>274</v>
      </c>
      <c r="F242" s="124" t="s">
        <v>656</v>
      </c>
      <c r="G242" s="124" t="s">
        <v>1070</v>
      </c>
      <c r="H242" s="122" t="s">
        <v>8</v>
      </c>
      <c r="I242" s="123">
        <v>21.1251</v>
      </c>
      <c r="J242" s="123">
        <v>-101.69286</v>
      </c>
      <c r="K242" s="122" t="s">
        <v>139</v>
      </c>
      <c r="L242" s="125" t="str">
        <f t="shared" si="7"/>
        <v>Ver en Google Maps</v>
      </c>
      <c r="M242" s="122">
        <v>1</v>
      </c>
      <c r="N242" s="108">
        <v>45930</v>
      </c>
      <c r="O242" s="109">
        <f>DAY('BD1'!$N242)</f>
        <v>30</v>
      </c>
      <c r="P242" s="109">
        <f>MONTH('BD1'!$N242)</f>
        <v>9</v>
      </c>
      <c r="Q242" s="109">
        <f>YEAR('BD1'!$N242)</f>
        <v>2025</v>
      </c>
      <c r="R242" s="109">
        <v>1</v>
      </c>
      <c r="S242" s="109" t="s">
        <v>934</v>
      </c>
      <c r="T242" s="109" t="s">
        <v>934</v>
      </c>
      <c r="U242" s="109" t="s">
        <v>138</v>
      </c>
      <c r="V242" s="109" t="s">
        <v>934</v>
      </c>
      <c r="W242" s="109" t="s">
        <v>138</v>
      </c>
      <c r="X242" s="109" t="s">
        <v>934</v>
      </c>
      <c r="Y242" s="109" t="s">
        <v>934</v>
      </c>
      <c r="Z242" s="109" t="s">
        <v>138</v>
      </c>
      <c r="AA242" s="109">
        <v>50.17</v>
      </c>
      <c r="AB242" s="109">
        <v>30.22</v>
      </c>
      <c r="AC242" s="110" t="s">
        <v>965</v>
      </c>
      <c r="AD242" s="110" t="s">
        <v>954</v>
      </c>
      <c r="AE242" s="109">
        <f t="shared" si="8"/>
        <v>3</v>
      </c>
      <c r="AF242" s="151" t="str">
        <f t="shared" si="9"/>
        <v>Parcialmente funcional</v>
      </c>
    </row>
    <row r="243" spans="1:32" x14ac:dyDescent="0.2">
      <c r="A243" s="112">
        <v>650</v>
      </c>
      <c r="B243" s="113" t="s">
        <v>956</v>
      </c>
      <c r="C243" s="114" t="s">
        <v>429</v>
      </c>
      <c r="D243" s="114" t="s">
        <v>16</v>
      </c>
      <c r="E243" s="115" t="s">
        <v>275</v>
      </c>
      <c r="F243" s="115" t="s">
        <v>657</v>
      </c>
      <c r="G243" s="115" t="s">
        <v>1123</v>
      </c>
      <c r="H243" s="113" t="s">
        <v>8</v>
      </c>
      <c r="I243" s="114">
        <v>21.131399999999999</v>
      </c>
      <c r="J243" s="114">
        <v>-101.68304000000001</v>
      </c>
      <c r="K243" s="113" t="s">
        <v>139</v>
      </c>
      <c r="L243" s="116" t="str">
        <f t="shared" si="7"/>
        <v>Ver en Google Maps</v>
      </c>
      <c r="M243" s="113">
        <v>2</v>
      </c>
      <c r="N243" s="117">
        <v>45930</v>
      </c>
      <c r="O243" s="118">
        <f>DAY('BD1'!$N243)</f>
        <v>30</v>
      </c>
      <c r="P243" s="118">
        <f>MONTH('BD1'!$N243)</f>
        <v>9</v>
      </c>
      <c r="Q243" s="118">
        <f>YEAR('BD1'!$N243)</f>
        <v>2025</v>
      </c>
      <c r="R243" s="118">
        <v>1</v>
      </c>
      <c r="S243" s="118" t="s">
        <v>138</v>
      </c>
      <c r="T243" s="118" t="s">
        <v>138</v>
      </c>
      <c r="U243" s="118" t="s">
        <v>138</v>
      </c>
      <c r="V243" s="118" t="s">
        <v>138</v>
      </c>
      <c r="W243" s="118" t="s">
        <v>138</v>
      </c>
      <c r="X243" s="118" t="s">
        <v>138</v>
      </c>
      <c r="Y243" s="118" t="s">
        <v>138</v>
      </c>
      <c r="Z243" s="118" t="s">
        <v>138</v>
      </c>
      <c r="AA243" s="118">
        <v>48.07</v>
      </c>
      <c r="AB243" s="118">
        <v>13.61</v>
      </c>
      <c r="AC243" s="119" t="s">
        <v>967</v>
      </c>
      <c r="AD243" s="119" t="s">
        <v>954</v>
      </c>
      <c r="AE243" s="118">
        <f t="shared" si="8"/>
        <v>8</v>
      </c>
      <c r="AF243" s="152" t="str">
        <f t="shared" si="9"/>
        <v>Estable</v>
      </c>
    </row>
    <row r="244" spans="1:32" x14ac:dyDescent="0.2">
      <c r="A244" s="121">
        <v>651</v>
      </c>
      <c r="B244" s="122" t="s">
        <v>956</v>
      </c>
      <c r="C244" s="123" t="s">
        <v>429</v>
      </c>
      <c r="D244" s="123" t="s">
        <v>16</v>
      </c>
      <c r="E244" s="124" t="s">
        <v>276</v>
      </c>
      <c r="F244" s="124" t="s">
        <v>658</v>
      </c>
      <c r="G244" s="124" t="s">
        <v>1124</v>
      </c>
      <c r="H244" s="122" t="s">
        <v>8</v>
      </c>
      <c r="I244" s="123">
        <v>21.078914000000001</v>
      </c>
      <c r="J244" s="123">
        <v>-101.623811</v>
      </c>
      <c r="K244" s="122"/>
      <c r="L244" s="125" t="str">
        <f t="shared" si="7"/>
        <v>Ver en Google Maps</v>
      </c>
      <c r="M244" s="122">
        <v>1</v>
      </c>
      <c r="N244" s="130"/>
      <c r="O244" s="109"/>
      <c r="P244" s="109"/>
      <c r="Q244" s="109"/>
      <c r="R244" s="109"/>
      <c r="S244" s="109"/>
      <c r="T244" s="109"/>
      <c r="U244" s="109"/>
      <c r="V244" s="109"/>
      <c r="W244" s="109"/>
      <c r="X244" s="109"/>
      <c r="Y244" s="109"/>
      <c r="Z244" s="109"/>
      <c r="AA244" s="109"/>
      <c r="AB244" s="109"/>
      <c r="AC244" s="109"/>
      <c r="AD244" s="110"/>
      <c r="AE244" s="109"/>
      <c r="AF244" s="151"/>
    </row>
    <row r="245" spans="1:32" x14ac:dyDescent="0.2">
      <c r="A245" s="112">
        <v>652</v>
      </c>
      <c r="B245" s="113" t="s">
        <v>956</v>
      </c>
      <c r="C245" s="114" t="s">
        <v>429</v>
      </c>
      <c r="D245" s="114" t="s">
        <v>16</v>
      </c>
      <c r="E245" s="115" t="s">
        <v>277</v>
      </c>
      <c r="F245" s="115" t="s">
        <v>659</v>
      </c>
      <c r="G245" s="115" t="s">
        <v>1025</v>
      </c>
      <c r="H245" s="113" t="s">
        <v>8</v>
      </c>
      <c r="I245" s="114">
        <v>21.12322</v>
      </c>
      <c r="J245" s="114">
        <v>-101.63634</v>
      </c>
      <c r="K245" s="113" t="s">
        <v>139</v>
      </c>
      <c r="L245" s="116" t="str">
        <f t="shared" si="7"/>
        <v>Ver en Google Maps</v>
      </c>
      <c r="M245" s="113">
        <v>1</v>
      </c>
      <c r="N245" s="117">
        <v>45934</v>
      </c>
      <c r="O245" s="118">
        <f>DAY('BD1'!$N245)</f>
        <v>4</v>
      </c>
      <c r="P245" s="118">
        <f>MONTH('BD1'!$N245)</f>
        <v>10</v>
      </c>
      <c r="Q245" s="118">
        <f>YEAR('BD1'!$N245)</f>
        <v>2025</v>
      </c>
      <c r="R245" s="118">
        <v>1</v>
      </c>
      <c r="S245" s="118" t="s">
        <v>138</v>
      </c>
      <c r="T245" s="118" t="s">
        <v>138</v>
      </c>
      <c r="U245" s="118" t="s">
        <v>138</v>
      </c>
      <c r="V245" s="118" t="s">
        <v>138</v>
      </c>
      <c r="W245" s="118" t="s">
        <v>138</v>
      </c>
      <c r="X245" s="118" t="s">
        <v>138</v>
      </c>
      <c r="Y245" s="118" t="s">
        <v>138</v>
      </c>
      <c r="Z245" s="118" t="s">
        <v>138</v>
      </c>
      <c r="AA245" s="118">
        <v>21.12</v>
      </c>
      <c r="AB245" s="118">
        <v>13.51</v>
      </c>
      <c r="AC245" s="119" t="s">
        <v>967</v>
      </c>
      <c r="AD245" s="119" t="s">
        <v>954</v>
      </c>
      <c r="AE245" s="118">
        <f t="shared" si="8"/>
        <v>8</v>
      </c>
      <c r="AF245" s="152" t="str">
        <f t="shared" si="9"/>
        <v>Estable</v>
      </c>
    </row>
    <row r="246" spans="1:32" x14ac:dyDescent="0.2">
      <c r="A246" s="121">
        <v>653</v>
      </c>
      <c r="B246" s="122" t="s">
        <v>956</v>
      </c>
      <c r="C246" s="123" t="s">
        <v>429</v>
      </c>
      <c r="D246" s="123" t="s">
        <v>16</v>
      </c>
      <c r="E246" s="124" t="s">
        <v>278</v>
      </c>
      <c r="F246" s="124" t="s">
        <v>660</v>
      </c>
      <c r="G246" s="124" t="s">
        <v>991</v>
      </c>
      <c r="H246" s="122" t="s">
        <v>8</v>
      </c>
      <c r="I246" s="123">
        <v>21.107839999999999</v>
      </c>
      <c r="J246" s="123">
        <v>-101.65237</v>
      </c>
      <c r="K246" s="122" t="s">
        <v>139</v>
      </c>
      <c r="L246" s="125" t="str">
        <f t="shared" si="7"/>
        <v>Ver en Google Maps</v>
      </c>
      <c r="M246" s="122">
        <v>1</v>
      </c>
      <c r="N246" s="108">
        <v>45934</v>
      </c>
      <c r="O246" s="109">
        <f>DAY('BD1'!$N246)</f>
        <v>4</v>
      </c>
      <c r="P246" s="109">
        <f>MONTH('BD1'!$N246)</f>
        <v>10</v>
      </c>
      <c r="Q246" s="109">
        <f>YEAR('BD1'!$N246)</f>
        <v>2025</v>
      </c>
      <c r="R246" s="109">
        <v>1</v>
      </c>
      <c r="S246" s="109" t="s">
        <v>138</v>
      </c>
      <c r="T246" s="109" t="s">
        <v>138</v>
      </c>
      <c r="U246" s="109" t="s">
        <v>138</v>
      </c>
      <c r="V246" s="109" t="s">
        <v>138</v>
      </c>
      <c r="W246" s="109" t="s">
        <v>138</v>
      </c>
      <c r="X246" s="109" t="s">
        <v>138</v>
      </c>
      <c r="Y246" s="109" t="s">
        <v>138</v>
      </c>
      <c r="Z246" s="109" t="s">
        <v>138</v>
      </c>
      <c r="AA246" s="109">
        <v>35.76</v>
      </c>
      <c r="AB246" s="109">
        <v>38.75</v>
      </c>
      <c r="AC246" s="110" t="s">
        <v>967</v>
      </c>
      <c r="AD246" s="110" t="s">
        <v>954</v>
      </c>
      <c r="AE246" s="109">
        <f t="shared" si="8"/>
        <v>8</v>
      </c>
      <c r="AF246" s="151" t="str">
        <f t="shared" si="9"/>
        <v>Estable</v>
      </c>
    </row>
    <row r="247" spans="1:32" x14ac:dyDescent="0.2">
      <c r="A247" s="112">
        <v>654</v>
      </c>
      <c r="B247" s="113" t="s">
        <v>956</v>
      </c>
      <c r="C247" s="114" t="s">
        <v>429</v>
      </c>
      <c r="D247" s="114" t="s">
        <v>16</v>
      </c>
      <c r="E247" s="115" t="s">
        <v>279</v>
      </c>
      <c r="F247" s="115" t="s">
        <v>661</v>
      </c>
      <c r="G247" s="115" t="s">
        <v>1125</v>
      </c>
      <c r="H247" s="113" t="s">
        <v>8</v>
      </c>
      <c r="I247" s="114">
        <v>21.143291999999999</v>
      </c>
      <c r="J247" s="114">
        <v>-101.76866099999999</v>
      </c>
      <c r="K247" s="113"/>
      <c r="L247" s="116" t="str">
        <f t="shared" si="7"/>
        <v>Ver en Google Maps</v>
      </c>
      <c r="M247" s="113">
        <v>1</v>
      </c>
      <c r="N247" s="129"/>
      <c r="O247" s="118"/>
      <c r="P247" s="118"/>
      <c r="Q247" s="118"/>
      <c r="R247" s="118"/>
      <c r="S247" s="118"/>
      <c r="T247" s="118"/>
      <c r="U247" s="118"/>
      <c r="V247" s="118"/>
      <c r="W247" s="118"/>
      <c r="X247" s="118"/>
      <c r="Y247" s="118"/>
      <c r="Z247" s="118"/>
      <c r="AA247" s="118"/>
      <c r="AB247" s="118"/>
      <c r="AC247" s="118"/>
      <c r="AD247" s="119"/>
      <c r="AE247" s="118"/>
      <c r="AF247" s="152"/>
    </row>
    <row r="248" spans="1:32" x14ac:dyDescent="0.2">
      <c r="A248" s="121">
        <v>663</v>
      </c>
      <c r="B248" s="122" t="s">
        <v>956</v>
      </c>
      <c r="C248" s="123" t="s">
        <v>429</v>
      </c>
      <c r="D248" s="123" t="s">
        <v>16</v>
      </c>
      <c r="E248" s="124" t="s">
        <v>280</v>
      </c>
      <c r="F248" s="124" t="s">
        <v>662</v>
      </c>
      <c r="G248" s="124" t="s">
        <v>979</v>
      </c>
      <c r="H248" s="122" t="s">
        <v>8</v>
      </c>
      <c r="I248" s="123">
        <v>21.133967999999999</v>
      </c>
      <c r="J248" s="123">
        <v>-101.645752</v>
      </c>
      <c r="K248" s="122" t="s">
        <v>139</v>
      </c>
      <c r="L248" s="125" t="str">
        <f t="shared" si="7"/>
        <v>Ver en Google Maps</v>
      </c>
      <c r="M248" s="122">
        <v>1</v>
      </c>
      <c r="N248" s="108">
        <v>45931</v>
      </c>
      <c r="O248" s="109">
        <f>DAY('BD1'!$N248)</f>
        <v>1</v>
      </c>
      <c r="P248" s="109">
        <f>MONTH('BD1'!$N248)</f>
        <v>10</v>
      </c>
      <c r="Q248" s="109">
        <f>YEAR('BD1'!$N248)</f>
        <v>2025</v>
      </c>
      <c r="R248" s="109">
        <v>1</v>
      </c>
      <c r="S248" s="109" t="s">
        <v>138</v>
      </c>
      <c r="T248" s="109" t="s">
        <v>138</v>
      </c>
      <c r="U248" s="109" t="s">
        <v>138</v>
      </c>
      <c r="V248" s="109" t="s">
        <v>138</v>
      </c>
      <c r="W248" s="109" t="s">
        <v>138</v>
      </c>
      <c r="X248" s="109" t="s">
        <v>138</v>
      </c>
      <c r="Y248" s="109" t="s">
        <v>138</v>
      </c>
      <c r="Z248" s="109" t="s">
        <v>138</v>
      </c>
      <c r="AA248" s="109">
        <v>65.08</v>
      </c>
      <c r="AB248" s="109">
        <v>31.02</v>
      </c>
      <c r="AC248" s="110" t="s">
        <v>967</v>
      </c>
      <c r="AD248" s="110" t="s">
        <v>954</v>
      </c>
      <c r="AE248" s="109">
        <f t="shared" si="8"/>
        <v>8</v>
      </c>
      <c r="AF248" s="151" t="str">
        <f t="shared" si="9"/>
        <v>Estable</v>
      </c>
    </row>
    <row r="249" spans="1:32" x14ac:dyDescent="0.2">
      <c r="A249" s="112">
        <v>669</v>
      </c>
      <c r="B249" s="113" t="s">
        <v>956</v>
      </c>
      <c r="C249" s="114" t="s">
        <v>429</v>
      </c>
      <c r="D249" s="114" t="s">
        <v>16</v>
      </c>
      <c r="E249" s="115" t="s">
        <v>281</v>
      </c>
      <c r="F249" s="115" t="s">
        <v>663</v>
      </c>
      <c r="G249" s="115" t="s">
        <v>1126</v>
      </c>
      <c r="H249" s="113" t="s">
        <v>8</v>
      </c>
      <c r="I249" s="114">
        <v>21.06841</v>
      </c>
      <c r="J249" s="114">
        <v>-101.63016</v>
      </c>
      <c r="K249" s="113"/>
      <c r="L249" s="116" t="str">
        <f t="shared" si="7"/>
        <v>Ver en Google Maps</v>
      </c>
      <c r="M249" s="113">
        <v>1</v>
      </c>
      <c r="N249" s="129"/>
      <c r="O249" s="118"/>
      <c r="P249" s="118"/>
      <c r="Q249" s="118"/>
      <c r="R249" s="118"/>
      <c r="S249" s="118"/>
      <c r="T249" s="118"/>
      <c r="U249" s="118"/>
      <c r="V249" s="118"/>
      <c r="W249" s="118"/>
      <c r="X249" s="118"/>
      <c r="Y249" s="118"/>
      <c r="Z249" s="118"/>
      <c r="AA249" s="118"/>
      <c r="AB249" s="118"/>
      <c r="AC249" s="118"/>
      <c r="AD249" s="119"/>
      <c r="AE249" s="118"/>
      <c r="AF249" s="152"/>
    </row>
    <row r="250" spans="1:32" x14ac:dyDescent="0.2">
      <c r="A250" s="121">
        <v>670</v>
      </c>
      <c r="B250" s="122" t="s">
        <v>956</v>
      </c>
      <c r="C250" s="123" t="s">
        <v>429</v>
      </c>
      <c r="D250" s="123" t="s">
        <v>16</v>
      </c>
      <c r="E250" s="124" t="s">
        <v>282</v>
      </c>
      <c r="F250" s="124" t="s">
        <v>664</v>
      </c>
      <c r="G250" s="124" t="s">
        <v>128</v>
      </c>
      <c r="H250" s="122" t="s">
        <v>8</v>
      </c>
      <c r="I250" s="123">
        <v>21.112490000000001</v>
      </c>
      <c r="J250" s="123">
        <v>-101.62889</v>
      </c>
      <c r="K250" s="122" t="s">
        <v>139</v>
      </c>
      <c r="L250" s="125" t="str">
        <f t="shared" si="7"/>
        <v>Ver en Google Maps</v>
      </c>
      <c r="M250" s="122">
        <v>1</v>
      </c>
      <c r="N250" s="108">
        <v>45934</v>
      </c>
      <c r="O250" s="109">
        <f>DAY('BD1'!$N250)</f>
        <v>4</v>
      </c>
      <c r="P250" s="109">
        <f>MONTH('BD1'!$N250)</f>
        <v>10</v>
      </c>
      <c r="Q250" s="109">
        <f>YEAR('BD1'!$N250)</f>
        <v>2025</v>
      </c>
      <c r="R250" s="109">
        <v>1</v>
      </c>
      <c r="S250" s="109" t="s">
        <v>138</v>
      </c>
      <c r="T250" s="109" t="s">
        <v>138</v>
      </c>
      <c r="U250" s="109" t="s">
        <v>138</v>
      </c>
      <c r="V250" s="109" t="s">
        <v>138</v>
      </c>
      <c r="W250" s="109" t="s">
        <v>138</v>
      </c>
      <c r="X250" s="109" t="s">
        <v>138</v>
      </c>
      <c r="Y250" s="109" t="s">
        <v>138</v>
      </c>
      <c r="Z250" s="109" t="s">
        <v>138</v>
      </c>
      <c r="AA250" s="109">
        <v>53.58</v>
      </c>
      <c r="AB250" s="109">
        <v>14.58</v>
      </c>
      <c r="AC250" s="110" t="s">
        <v>967</v>
      </c>
      <c r="AD250" s="110" t="s">
        <v>954</v>
      </c>
      <c r="AE250" s="109">
        <f t="shared" si="8"/>
        <v>8</v>
      </c>
      <c r="AF250" s="151" t="str">
        <f t="shared" si="9"/>
        <v>Estable</v>
      </c>
    </row>
    <row r="251" spans="1:32" x14ac:dyDescent="0.2">
      <c r="A251" s="112">
        <v>671</v>
      </c>
      <c r="B251" s="113" t="s">
        <v>956</v>
      </c>
      <c r="C251" s="114" t="s">
        <v>429</v>
      </c>
      <c r="D251" s="114" t="s">
        <v>16</v>
      </c>
      <c r="E251" s="115" t="s">
        <v>283</v>
      </c>
      <c r="F251" s="115" t="s">
        <v>665</v>
      </c>
      <c r="G251" s="115" t="s">
        <v>1127</v>
      </c>
      <c r="H251" s="113" t="s">
        <v>8</v>
      </c>
      <c r="I251" s="114">
        <v>21.096520000000002</v>
      </c>
      <c r="J251" s="114">
        <v>-101.66588</v>
      </c>
      <c r="K251" s="113"/>
      <c r="L251" s="116" t="str">
        <f t="shared" si="7"/>
        <v>Ver en Google Maps</v>
      </c>
      <c r="M251" s="113">
        <v>1</v>
      </c>
      <c r="N251" s="129"/>
      <c r="O251" s="118"/>
      <c r="P251" s="118"/>
      <c r="Q251" s="118"/>
      <c r="R251" s="118"/>
      <c r="S251" s="118"/>
      <c r="T251" s="118"/>
      <c r="U251" s="118"/>
      <c r="V251" s="118"/>
      <c r="W251" s="118"/>
      <c r="X251" s="118"/>
      <c r="Y251" s="118"/>
      <c r="Z251" s="118"/>
      <c r="AA251" s="118"/>
      <c r="AB251" s="118"/>
      <c r="AC251" s="118"/>
      <c r="AD251" s="119"/>
      <c r="AE251" s="118"/>
      <c r="AF251" s="152"/>
    </row>
    <row r="252" spans="1:32" x14ac:dyDescent="0.2">
      <c r="A252" s="121">
        <v>674</v>
      </c>
      <c r="B252" s="122" t="s">
        <v>956</v>
      </c>
      <c r="C252" s="123" t="s">
        <v>429</v>
      </c>
      <c r="D252" s="123" t="s">
        <v>16</v>
      </c>
      <c r="E252" s="124" t="s">
        <v>284</v>
      </c>
      <c r="F252" s="124" t="s">
        <v>666</v>
      </c>
      <c r="G252" s="124" t="s">
        <v>1128</v>
      </c>
      <c r="H252" s="122" t="s">
        <v>8</v>
      </c>
      <c r="I252" s="123">
        <v>21.07368</v>
      </c>
      <c r="J252" s="123">
        <v>-101.63915</v>
      </c>
      <c r="K252" s="122"/>
      <c r="L252" s="125" t="str">
        <f t="shared" si="7"/>
        <v>Ver en Google Maps</v>
      </c>
      <c r="M252" s="122">
        <v>1</v>
      </c>
      <c r="N252" s="130"/>
      <c r="O252" s="109"/>
      <c r="P252" s="109"/>
      <c r="Q252" s="109"/>
      <c r="R252" s="109"/>
      <c r="S252" s="109"/>
      <c r="T252" s="109"/>
      <c r="U252" s="109"/>
      <c r="V252" s="109"/>
      <c r="W252" s="109"/>
      <c r="X252" s="109"/>
      <c r="Y252" s="109"/>
      <c r="Z252" s="109"/>
      <c r="AA252" s="109"/>
      <c r="AB252" s="109"/>
      <c r="AC252" s="109"/>
      <c r="AD252" s="110"/>
      <c r="AE252" s="109"/>
      <c r="AF252" s="151"/>
    </row>
    <row r="253" spans="1:32" x14ac:dyDescent="0.2">
      <c r="A253" s="112">
        <v>676</v>
      </c>
      <c r="B253" s="113" t="s">
        <v>956</v>
      </c>
      <c r="C253" s="114" t="s">
        <v>429</v>
      </c>
      <c r="D253" s="114" t="s">
        <v>16</v>
      </c>
      <c r="E253" s="115" t="s">
        <v>285</v>
      </c>
      <c r="F253" s="115" t="s">
        <v>667</v>
      </c>
      <c r="G253" s="115" t="s">
        <v>998</v>
      </c>
      <c r="H253" s="113" t="s">
        <v>8</v>
      </c>
      <c r="I253" s="114">
        <v>21.082820000000002</v>
      </c>
      <c r="J253" s="114">
        <v>-101.64009</v>
      </c>
      <c r="K253" s="113"/>
      <c r="L253" s="116" t="str">
        <f t="shared" si="7"/>
        <v>Ver en Google Maps</v>
      </c>
      <c r="M253" s="113">
        <v>1</v>
      </c>
      <c r="N253" s="129"/>
      <c r="O253" s="118"/>
      <c r="P253" s="118"/>
      <c r="Q253" s="118"/>
      <c r="R253" s="118"/>
      <c r="S253" s="118"/>
      <c r="T253" s="118"/>
      <c r="U253" s="118"/>
      <c r="V253" s="118"/>
      <c r="W253" s="118"/>
      <c r="X253" s="118"/>
      <c r="Y253" s="118"/>
      <c r="Z253" s="118"/>
      <c r="AA253" s="118"/>
      <c r="AB253" s="118"/>
      <c r="AC253" s="118"/>
      <c r="AD253" s="119"/>
      <c r="AE253" s="118"/>
      <c r="AF253" s="152"/>
    </row>
    <row r="254" spans="1:32" x14ac:dyDescent="0.2">
      <c r="A254" s="121">
        <v>679</v>
      </c>
      <c r="B254" s="122" t="s">
        <v>956</v>
      </c>
      <c r="C254" s="123" t="s">
        <v>429</v>
      </c>
      <c r="D254" s="123" t="s">
        <v>16</v>
      </c>
      <c r="E254" s="124" t="s">
        <v>286</v>
      </c>
      <c r="F254" s="124" t="s">
        <v>668</v>
      </c>
      <c r="G254" s="124" t="s">
        <v>1129</v>
      </c>
      <c r="H254" s="122" t="s">
        <v>8</v>
      </c>
      <c r="I254" s="123">
        <v>21.141580000000001</v>
      </c>
      <c r="J254" s="123">
        <v>-101.63746999999999</v>
      </c>
      <c r="K254" s="122" t="s">
        <v>139</v>
      </c>
      <c r="L254" s="125" t="str">
        <f t="shared" si="7"/>
        <v>Ver en Google Maps</v>
      </c>
      <c r="M254" s="122">
        <v>1</v>
      </c>
      <c r="N254" s="108">
        <v>45931</v>
      </c>
      <c r="O254" s="109">
        <f>DAY('BD1'!$N254)</f>
        <v>1</v>
      </c>
      <c r="P254" s="109">
        <f>MONTH('BD1'!$N254)</f>
        <v>10</v>
      </c>
      <c r="Q254" s="109">
        <f>YEAR('BD1'!$N254)</f>
        <v>2025</v>
      </c>
      <c r="R254" s="109">
        <v>1</v>
      </c>
      <c r="S254" s="109" t="s">
        <v>138</v>
      </c>
      <c r="T254" s="109" t="s">
        <v>138</v>
      </c>
      <c r="U254" s="109" t="s">
        <v>138</v>
      </c>
      <c r="V254" s="109" t="s">
        <v>138</v>
      </c>
      <c r="W254" s="109" t="s">
        <v>138</v>
      </c>
      <c r="X254" s="109" t="s">
        <v>138</v>
      </c>
      <c r="Y254" s="109" t="s">
        <v>138</v>
      </c>
      <c r="Z254" s="109" t="s">
        <v>138</v>
      </c>
      <c r="AA254" s="109">
        <v>32.659999999999997</v>
      </c>
      <c r="AB254" s="109">
        <v>32.57</v>
      </c>
      <c r="AC254" s="110" t="s">
        <v>967</v>
      </c>
      <c r="AD254" s="110" t="s">
        <v>954</v>
      </c>
      <c r="AE254" s="109">
        <f t="shared" si="8"/>
        <v>8</v>
      </c>
      <c r="AF254" s="151" t="str">
        <f t="shared" si="9"/>
        <v>Estable</v>
      </c>
    </row>
    <row r="255" spans="1:32" x14ac:dyDescent="0.2">
      <c r="A255" s="112">
        <v>681</v>
      </c>
      <c r="B255" s="113" t="s">
        <v>956</v>
      </c>
      <c r="C255" s="114" t="s">
        <v>429</v>
      </c>
      <c r="D255" s="114" t="s">
        <v>16</v>
      </c>
      <c r="E255" s="115" t="s">
        <v>287</v>
      </c>
      <c r="F255" s="115" t="s">
        <v>669</v>
      </c>
      <c r="G255" s="115" t="s">
        <v>1130</v>
      </c>
      <c r="H255" s="113" t="s">
        <v>8</v>
      </c>
      <c r="I255" s="114">
        <v>21.092469999999999</v>
      </c>
      <c r="J255" s="114">
        <v>-101.60664</v>
      </c>
      <c r="K255" s="113"/>
      <c r="L255" s="116" t="str">
        <f t="shared" si="7"/>
        <v>Ver en Google Maps</v>
      </c>
      <c r="M255" s="113">
        <v>1</v>
      </c>
      <c r="N255" s="129"/>
      <c r="O255" s="118"/>
      <c r="P255" s="118"/>
      <c r="Q255" s="118"/>
      <c r="R255" s="118"/>
      <c r="S255" s="118"/>
      <c r="T255" s="118"/>
      <c r="U255" s="118"/>
      <c r="V255" s="118"/>
      <c r="W255" s="118"/>
      <c r="X255" s="118"/>
      <c r="Y255" s="118"/>
      <c r="Z255" s="118"/>
      <c r="AA255" s="118"/>
      <c r="AB255" s="118"/>
      <c r="AC255" s="118"/>
      <c r="AD255" s="119"/>
      <c r="AE255" s="118"/>
      <c r="AF255" s="152"/>
    </row>
    <row r="256" spans="1:32" x14ac:dyDescent="0.2">
      <c r="A256" s="121">
        <v>682</v>
      </c>
      <c r="B256" s="122" t="s">
        <v>956</v>
      </c>
      <c r="C256" s="123" t="s">
        <v>429</v>
      </c>
      <c r="D256" s="123" t="s">
        <v>16</v>
      </c>
      <c r="E256" s="124" t="s">
        <v>288</v>
      </c>
      <c r="F256" s="124" t="s">
        <v>670</v>
      </c>
      <c r="G256" s="124" t="s">
        <v>1010</v>
      </c>
      <c r="H256" s="122" t="s">
        <v>8</v>
      </c>
      <c r="I256" s="123">
        <v>21.10689</v>
      </c>
      <c r="J256" s="123">
        <v>-101.70654</v>
      </c>
      <c r="K256" s="122"/>
      <c r="L256" s="125" t="str">
        <f t="shared" si="7"/>
        <v>Ver en Google Maps</v>
      </c>
      <c r="M256" s="122">
        <v>1</v>
      </c>
      <c r="N256" s="130"/>
      <c r="O256" s="109"/>
      <c r="P256" s="109"/>
      <c r="Q256" s="109"/>
      <c r="R256" s="109"/>
      <c r="S256" s="109"/>
      <c r="T256" s="109"/>
      <c r="U256" s="109"/>
      <c r="V256" s="109"/>
      <c r="W256" s="109"/>
      <c r="X256" s="109"/>
      <c r="Y256" s="109"/>
      <c r="Z256" s="109"/>
      <c r="AA256" s="109"/>
      <c r="AB256" s="109"/>
      <c r="AC256" s="109"/>
      <c r="AD256" s="110"/>
      <c r="AE256" s="109"/>
      <c r="AF256" s="151"/>
    </row>
    <row r="257" spans="1:32" x14ac:dyDescent="0.2">
      <c r="A257" s="112">
        <v>684</v>
      </c>
      <c r="B257" s="113" t="s">
        <v>956</v>
      </c>
      <c r="C257" s="114" t="s">
        <v>429</v>
      </c>
      <c r="D257" s="114" t="s">
        <v>16</v>
      </c>
      <c r="E257" s="115" t="s">
        <v>289</v>
      </c>
      <c r="F257" s="115" t="s">
        <v>671</v>
      </c>
      <c r="G257" s="115" t="s">
        <v>1131</v>
      </c>
      <c r="H257" s="113" t="s">
        <v>8</v>
      </c>
      <c r="I257" s="114">
        <v>21.140219999999999</v>
      </c>
      <c r="J257" s="114">
        <v>-101.62777</v>
      </c>
      <c r="K257" s="113"/>
      <c r="L257" s="116" t="str">
        <f t="shared" si="7"/>
        <v>Ver en Google Maps</v>
      </c>
      <c r="M257" s="113">
        <v>1</v>
      </c>
      <c r="N257" s="129"/>
      <c r="O257" s="118"/>
      <c r="P257" s="118"/>
      <c r="Q257" s="118"/>
      <c r="R257" s="118"/>
      <c r="S257" s="118"/>
      <c r="T257" s="118"/>
      <c r="U257" s="118"/>
      <c r="V257" s="118"/>
      <c r="W257" s="118"/>
      <c r="X257" s="118"/>
      <c r="Y257" s="118"/>
      <c r="Z257" s="118"/>
      <c r="AA257" s="118"/>
      <c r="AB257" s="118"/>
      <c r="AC257" s="118"/>
      <c r="AD257" s="119"/>
      <c r="AE257" s="118"/>
      <c r="AF257" s="152"/>
    </row>
    <row r="258" spans="1:32" x14ac:dyDescent="0.2">
      <c r="A258" s="121">
        <v>685</v>
      </c>
      <c r="B258" s="122" t="s">
        <v>956</v>
      </c>
      <c r="C258" s="123" t="s">
        <v>429</v>
      </c>
      <c r="D258" s="123" t="s">
        <v>16</v>
      </c>
      <c r="E258" s="124" t="s">
        <v>290</v>
      </c>
      <c r="F258" s="124" t="s">
        <v>672</v>
      </c>
      <c r="G258" s="124" t="s">
        <v>1132</v>
      </c>
      <c r="H258" s="122" t="s">
        <v>8</v>
      </c>
      <c r="I258" s="123">
        <v>21.122070000000001</v>
      </c>
      <c r="J258" s="123">
        <v>-101.7154</v>
      </c>
      <c r="K258" s="122" t="s">
        <v>139</v>
      </c>
      <c r="L258" s="125" t="str">
        <f t="shared" si="7"/>
        <v>Ver en Google Maps</v>
      </c>
      <c r="M258" s="122">
        <v>1</v>
      </c>
      <c r="N258" s="108">
        <v>45933</v>
      </c>
      <c r="O258" s="109">
        <f>DAY('BD1'!$N258)</f>
        <v>3</v>
      </c>
      <c r="P258" s="109">
        <f>MONTH('BD1'!$N258)</f>
        <v>10</v>
      </c>
      <c r="Q258" s="109">
        <f>YEAR('BD1'!$N258)</f>
        <v>2025</v>
      </c>
      <c r="R258" s="109">
        <v>1</v>
      </c>
      <c r="S258" s="109" t="s">
        <v>138</v>
      </c>
      <c r="T258" s="109" t="s">
        <v>138</v>
      </c>
      <c r="U258" s="109" t="s">
        <v>138</v>
      </c>
      <c r="V258" s="109" t="s">
        <v>138</v>
      </c>
      <c r="W258" s="109" t="s">
        <v>138</v>
      </c>
      <c r="X258" s="109" t="s">
        <v>138</v>
      </c>
      <c r="Y258" s="109" t="s">
        <v>138</v>
      </c>
      <c r="Z258" s="109" t="s">
        <v>138</v>
      </c>
      <c r="AA258" s="109">
        <v>35.47</v>
      </c>
      <c r="AB258" s="109">
        <v>33.1</v>
      </c>
      <c r="AC258" s="110" t="s">
        <v>967</v>
      </c>
      <c r="AD258" s="110" t="s">
        <v>954</v>
      </c>
      <c r="AE258" s="109">
        <f t="shared" si="8"/>
        <v>8</v>
      </c>
      <c r="AF258" s="151" t="str">
        <f t="shared" ref="AF258:AF321" si="10">IF(AE258=8,"Estable",(IF(AE258=7,"Funcional con observaciones", (IF(AE258=6,"Funcional con observaciones",(IF(AE258=5,"Rendimiento bajo",(IF(AE258=4,"Parcialmente funcional",(IF(AE258=3,"Parcialmente funcional",(IF(AE258=2,"Inoperativo",(IF(AE258=1,"Inoperativo","Crítico")))))))))))))))</f>
        <v>Estable</v>
      </c>
    </row>
    <row r="259" spans="1:32" x14ac:dyDescent="0.2">
      <c r="A259" s="112">
        <v>687</v>
      </c>
      <c r="B259" s="113" t="s">
        <v>956</v>
      </c>
      <c r="C259" s="114" t="s">
        <v>429</v>
      </c>
      <c r="D259" s="114" t="s">
        <v>15</v>
      </c>
      <c r="E259" s="115" t="s">
        <v>291</v>
      </c>
      <c r="F259" s="115" t="s">
        <v>673</v>
      </c>
      <c r="G259" s="115" t="s">
        <v>1133</v>
      </c>
      <c r="H259" s="113" t="s">
        <v>8</v>
      </c>
      <c r="I259" s="114">
        <v>21.149339000000001</v>
      </c>
      <c r="J259" s="114">
        <v>-101.76135499999999</v>
      </c>
      <c r="K259" s="113"/>
      <c r="L259" s="116" t="str">
        <f t="shared" ref="L259:L322" si="11">HYPERLINK("https://www.google.com/maps?q=" &amp; I259 &amp; "," &amp; J259, "Ver en Google Maps")</f>
        <v>Ver en Google Maps</v>
      </c>
      <c r="M259" s="113">
        <v>2</v>
      </c>
      <c r="N259" s="129"/>
      <c r="O259" s="118"/>
      <c r="P259" s="118"/>
      <c r="Q259" s="118"/>
      <c r="R259" s="118"/>
      <c r="S259" s="118"/>
      <c r="T259" s="118"/>
      <c r="U259" s="118"/>
      <c r="V259" s="118"/>
      <c r="W259" s="118"/>
      <c r="X259" s="118"/>
      <c r="Y259" s="118"/>
      <c r="Z259" s="118"/>
      <c r="AA259" s="118"/>
      <c r="AB259" s="118"/>
      <c r="AC259" s="118"/>
      <c r="AD259" s="119"/>
      <c r="AE259" s="118"/>
      <c r="AF259" s="152"/>
    </row>
    <row r="260" spans="1:32" x14ac:dyDescent="0.2">
      <c r="A260" s="121">
        <v>688</v>
      </c>
      <c r="B260" s="122" t="s">
        <v>956</v>
      </c>
      <c r="C260" s="123" t="s">
        <v>429</v>
      </c>
      <c r="D260" s="123" t="s">
        <v>15</v>
      </c>
      <c r="E260" s="124" t="s">
        <v>292</v>
      </c>
      <c r="F260" s="124" t="s">
        <v>674</v>
      </c>
      <c r="G260" s="124" t="s">
        <v>1134</v>
      </c>
      <c r="H260" s="122" t="s">
        <v>8</v>
      </c>
      <c r="I260" s="123">
        <v>21.153666000000001</v>
      </c>
      <c r="J260" s="123">
        <v>-101.73706</v>
      </c>
      <c r="K260" s="122"/>
      <c r="L260" s="125" t="str">
        <f t="shared" si="11"/>
        <v>Ver en Google Maps</v>
      </c>
      <c r="M260" s="122">
        <v>2</v>
      </c>
      <c r="N260" s="130"/>
      <c r="O260" s="109"/>
      <c r="P260" s="109"/>
      <c r="Q260" s="109"/>
      <c r="R260" s="109"/>
      <c r="S260" s="109"/>
      <c r="T260" s="109"/>
      <c r="U260" s="109"/>
      <c r="V260" s="109"/>
      <c r="W260" s="109"/>
      <c r="X260" s="109"/>
      <c r="Y260" s="109"/>
      <c r="Z260" s="109"/>
      <c r="AA260" s="109"/>
      <c r="AB260" s="109"/>
      <c r="AC260" s="109"/>
      <c r="AD260" s="110"/>
      <c r="AE260" s="109"/>
      <c r="AF260" s="151"/>
    </row>
    <row r="261" spans="1:32" x14ac:dyDescent="0.2">
      <c r="A261" s="112">
        <v>691</v>
      </c>
      <c r="B261" s="113" t="s">
        <v>956</v>
      </c>
      <c r="C261" s="114" t="s">
        <v>429</v>
      </c>
      <c r="D261" s="114" t="s">
        <v>17</v>
      </c>
      <c r="E261" s="115" t="s">
        <v>293</v>
      </c>
      <c r="F261" s="115" t="s">
        <v>675</v>
      </c>
      <c r="G261" s="115" t="s">
        <v>1135</v>
      </c>
      <c r="H261" s="113" t="s">
        <v>8</v>
      </c>
      <c r="I261" s="114">
        <v>21.136275999999999</v>
      </c>
      <c r="J261" s="114">
        <v>-101.72581099999999</v>
      </c>
      <c r="K261" s="113"/>
      <c r="L261" s="116" t="str">
        <f t="shared" si="11"/>
        <v>Ver en Google Maps</v>
      </c>
      <c r="M261" s="113">
        <v>1</v>
      </c>
      <c r="N261" s="129"/>
      <c r="O261" s="118"/>
      <c r="P261" s="118"/>
      <c r="Q261" s="118"/>
      <c r="R261" s="118"/>
      <c r="S261" s="118"/>
      <c r="T261" s="118"/>
      <c r="U261" s="118"/>
      <c r="V261" s="118"/>
      <c r="W261" s="118"/>
      <c r="X261" s="118"/>
      <c r="Y261" s="118"/>
      <c r="Z261" s="118"/>
      <c r="AA261" s="118"/>
      <c r="AB261" s="118"/>
      <c r="AC261" s="118"/>
      <c r="AD261" s="119"/>
      <c r="AE261" s="118"/>
      <c r="AF261" s="152"/>
    </row>
    <row r="262" spans="1:32" x14ac:dyDescent="0.2">
      <c r="A262" s="121">
        <v>692</v>
      </c>
      <c r="B262" s="122" t="s">
        <v>956</v>
      </c>
      <c r="C262" s="123" t="s">
        <v>429</v>
      </c>
      <c r="D262" s="123" t="s">
        <v>17</v>
      </c>
      <c r="E262" s="124" t="s">
        <v>294</v>
      </c>
      <c r="F262" s="124" t="s">
        <v>676</v>
      </c>
      <c r="G262" s="124" t="s">
        <v>1097</v>
      </c>
      <c r="H262" s="122" t="s">
        <v>8</v>
      </c>
      <c r="I262" s="123">
        <v>21.070143000000002</v>
      </c>
      <c r="J262" s="123">
        <v>-101.605958</v>
      </c>
      <c r="K262" s="122"/>
      <c r="L262" s="125" t="str">
        <f t="shared" si="11"/>
        <v>Ver en Google Maps</v>
      </c>
      <c r="M262" s="122">
        <v>1</v>
      </c>
      <c r="N262" s="130"/>
      <c r="O262" s="109"/>
      <c r="P262" s="109"/>
      <c r="Q262" s="109"/>
      <c r="R262" s="109"/>
      <c r="S262" s="109"/>
      <c r="T262" s="109"/>
      <c r="U262" s="109"/>
      <c r="V262" s="109"/>
      <c r="W262" s="109"/>
      <c r="X262" s="109"/>
      <c r="Y262" s="109"/>
      <c r="Z262" s="109"/>
      <c r="AA262" s="109"/>
      <c r="AB262" s="109"/>
      <c r="AC262" s="109"/>
      <c r="AD262" s="110"/>
      <c r="AE262" s="109"/>
      <c r="AF262" s="151"/>
    </row>
    <row r="263" spans="1:32" x14ac:dyDescent="0.2">
      <c r="A263" s="112">
        <v>695</v>
      </c>
      <c r="B263" s="113" t="s">
        <v>956</v>
      </c>
      <c r="C263" s="114" t="s">
        <v>429</v>
      </c>
      <c r="D263" s="114" t="s">
        <v>16</v>
      </c>
      <c r="E263" s="115" t="s">
        <v>295</v>
      </c>
      <c r="F263" s="115" t="s">
        <v>677</v>
      </c>
      <c r="G263" s="115" t="s">
        <v>1037</v>
      </c>
      <c r="H263" s="113" t="s">
        <v>8</v>
      </c>
      <c r="I263" s="114">
        <v>21.152899999999999</v>
      </c>
      <c r="J263" s="114">
        <v>-101.75817000000001</v>
      </c>
      <c r="K263" s="113"/>
      <c r="L263" s="116" t="str">
        <f t="shared" si="11"/>
        <v>Ver en Google Maps</v>
      </c>
      <c r="M263" s="113">
        <v>1</v>
      </c>
      <c r="N263" s="129"/>
      <c r="O263" s="118"/>
      <c r="P263" s="118"/>
      <c r="Q263" s="118"/>
      <c r="R263" s="118"/>
      <c r="S263" s="118"/>
      <c r="T263" s="118"/>
      <c r="U263" s="118"/>
      <c r="V263" s="118"/>
      <c r="W263" s="118"/>
      <c r="X263" s="118"/>
      <c r="Y263" s="118"/>
      <c r="Z263" s="118"/>
      <c r="AA263" s="118"/>
      <c r="AB263" s="118"/>
      <c r="AC263" s="118"/>
      <c r="AD263" s="119"/>
      <c r="AE263" s="118"/>
      <c r="AF263" s="152"/>
    </row>
    <row r="264" spans="1:32" x14ac:dyDescent="0.2">
      <c r="A264" s="121">
        <v>696</v>
      </c>
      <c r="B264" s="122" t="s">
        <v>956</v>
      </c>
      <c r="C264" s="123" t="s">
        <v>429</v>
      </c>
      <c r="D264" s="123" t="s">
        <v>16</v>
      </c>
      <c r="E264" s="124" t="s">
        <v>296</v>
      </c>
      <c r="F264" s="124" t="s">
        <v>678</v>
      </c>
      <c r="G264" s="124" t="s">
        <v>980</v>
      </c>
      <c r="H264" s="122" t="s">
        <v>8</v>
      </c>
      <c r="I264" s="123">
        <v>21.127970000000001</v>
      </c>
      <c r="J264" s="123">
        <v>-101.74544</v>
      </c>
      <c r="K264" s="122"/>
      <c r="L264" s="125" t="str">
        <f t="shared" si="11"/>
        <v>Ver en Google Maps</v>
      </c>
      <c r="M264" s="122">
        <v>1</v>
      </c>
      <c r="N264" s="130"/>
      <c r="O264" s="109"/>
      <c r="P264" s="109"/>
      <c r="Q264" s="109"/>
      <c r="R264" s="109"/>
      <c r="S264" s="109"/>
      <c r="T264" s="109"/>
      <c r="U264" s="109"/>
      <c r="V264" s="109"/>
      <c r="W264" s="109"/>
      <c r="X264" s="109"/>
      <c r="Y264" s="109"/>
      <c r="Z264" s="109"/>
      <c r="AA264" s="109"/>
      <c r="AB264" s="109"/>
      <c r="AC264" s="109"/>
      <c r="AD264" s="110"/>
      <c r="AE264" s="109"/>
      <c r="AF264" s="151"/>
    </row>
    <row r="265" spans="1:32" x14ac:dyDescent="0.2">
      <c r="A265" s="112">
        <v>697</v>
      </c>
      <c r="B265" s="113" t="s">
        <v>956</v>
      </c>
      <c r="C265" s="114" t="s">
        <v>429</v>
      </c>
      <c r="D265" s="114" t="s">
        <v>16</v>
      </c>
      <c r="E265" s="115" t="s">
        <v>297</v>
      </c>
      <c r="F265" s="115" t="s">
        <v>679</v>
      </c>
      <c r="G265" s="115" t="s">
        <v>1136</v>
      </c>
      <c r="H265" s="113" t="s">
        <v>8</v>
      </c>
      <c r="I265" s="114">
        <v>21.1477</v>
      </c>
      <c r="J265" s="114">
        <v>-101.73116</v>
      </c>
      <c r="K265" s="113"/>
      <c r="L265" s="116" t="str">
        <f t="shared" si="11"/>
        <v>Ver en Google Maps</v>
      </c>
      <c r="M265" s="113">
        <v>1</v>
      </c>
      <c r="N265" s="129"/>
      <c r="O265" s="118"/>
      <c r="P265" s="118"/>
      <c r="Q265" s="118"/>
      <c r="R265" s="118"/>
      <c r="S265" s="118"/>
      <c r="T265" s="118"/>
      <c r="U265" s="118"/>
      <c r="V265" s="118"/>
      <c r="W265" s="118"/>
      <c r="X265" s="118"/>
      <c r="Y265" s="118"/>
      <c r="Z265" s="118"/>
      <c r="AA265" s="118"/>
      <c r="AB265" s="118"/>
      <c r="AC265" s="118"/>
      <c r="AD265" s="119"/>
      <c r="AE265" s="118"/>
      <c r="AF265" s="152"/>
    </row>
    <row r="266" spans="1:32" x14ac:dyDescent="0.2">
      <c r="A266" s="121">
        <v>698</v>
      </c>
      <c r="B266" s="122" t="s">
        <v>956</v>
      </c>
      <c r="C266" s="123" t="s">
        <v>429</v>
      </c>
      <c r="D266" s="123" t="s">
        <v>17</v>
      </c>
      <c r="E266" s="124" t="s">
        <v>298</v>
      </c>
      <c r="F266" s="124" t="s">
        <v>680</v>
      </c>
      <c r="G266" s="124" t="s">
        <v>1137</v>
      </c>
      <c r="H266" s="122" t="s">
        <v>8</v>
      </c>
      <c r="I266" s="123">
        <v>21.16658</v>
      </c>
      <c r="J266" s="123">
        <v>-101.75558700000001</v>
      </c>
      <c r="K266" s="122"/>
      <c r="L266" s="125" t="str">
        <f t="shared" si="11"/>
        <v>Ver en Google Maps</v>
      </c>
      <c r="M266" s="122">
        <v>1</v>
      </c>
      <c r="N266" s="130"/>
      <c r="O266" s="109"/>
      <c r="P266" s="109"/>
      <c r="Q266" s="109"/>
      <c r="R266" s="109"/>
      <c r="S266" s="109"/>
      <c r="T266" s="109"/>
      <c r="U266" s="109"/>
      <c r="V266" s="109"/>
      <c r="W266" s="109"/>
      <c r="X266" s="109"/>
      <c r="Y266" s="109"/>
      <c r="Z266" s="109"/>
      <c r="AA266" s="109"/>
      <c r="AB266" s="109"/>
      <c r="AC266" s="109"/>
      <c r="AD266" s="110"/>
      <c r="AE266" s="109"/>
      <c r="AF266" s="151"/>
    </row>
    <row r="267" spans="1:32" x14ac:dyDescent="0.2">
      <c r="A267" s="112">
        <v>700</v>
      </c>
      <c r="B267" s="113" t="s">
        <v>956</v>
      </c>
      <c r="C267" s="114" t="s">
        <v>429</v>
      </c>
      <c r="D267" s="114" t="s">
        <v>16</v>
      </c>
      <c r="E267" s="115" t="s">
        <v>299</v>
      </c>
      <c r="F267" s="115" t="s">
        <v>681</v>
      </c>
      <c r="G267" s="115" t="s">
        <v>300</v>
      </c>
      <c r="H267" s="113" t="s">
        <v>8</v>
      </c>
      <c r="I267" s="114">
        <v>21.0946</v>
      </c>
      <c r="J267" s="114">
        <v>-101.576245</v>
      </c>
      <c r="K267" s="113"/>
      <c r="L267" s="116" t="str">
        <f t="shared" si="11"/>
        <v>Ver en Google Maps</v>
      </c>
      <c r="M267" s="113">
        <v>1</v>
      </c>
      <c r="N267" s="129"/>
      <c r="O267" s="118"/>
      <c r="P267" s="118"/>
      <c r="Q267" s="118"/>
      <c r="R267" s="118"/>
      <c r="S267" s="118"/>
      <c r="T267" s="118"/>
      <c r="U267" s="118"/>
      <c r="V267" s="118"/>
      <c r="W267" s="118"/>
      <c r="X267" s="118"/>
      <c r="Y267" s="118"/>
      <c r="Z267" s="118"/>
      <c r="AA267" s="118"/>
      <c r="AB267" s="118"/>
      <c r="AC267" s="118"/>
      <c r="AD267" s="119"/>
      <c r="AE267" s="118"/>
      <c r="AF267" s="152"/>
    </row>
    <row r="268" spans="1:32" x14ac:dyDescent="0.2">
      <c r="A268" s="121">
        <v>704</v>
      </c>
      <c r="B268" s="122" t="s">
        <v>956</v>
      </c>
      <c r="C268" s="123" t="s">
        <v>429</v>
      </c>
      <c r="D268" s="123" t="s">
        <v>15</v>
      </c>
      <c r="E268" s="124" t="s">
        <v>301</v>
      </c>
      <c r="F268" s="124" t="s">
        <v>682</v>
      </c>
      <c r="G268" s="124" t="s">
        <v>1138</v>
      </c>
      <c r="H268" s="122" t="s">
        <v>8</v>
      </c>
      <c r="I268" s="123">
        <v>21.094339999999999</v>
      </c>
      <c r="J268" s="123">
        <v>-101.65891000000001</v>
      </c>
      <c r="K268" s="122"/>
      <c r="L268" s="125" t="str">
        <f t="shared" si="11"/>
        <v>Ver en Google Maps</v>
      </c>
      <c r="M268" s="122">
        <v>2</v>
      </c>
      <c r="N268" s="130"/>
      <c r="O268" s="109"/>
      <c r="P268" s="109"/>
      <c r="Q268" s="109"/>
      <c r="R268" s="109"/>
      <c r="S268" s="109"/>
      <c r="T268" s="109"/>
      <c r="U268" s="109"/>
      <c r="V268" s="109"/>
      <c r="W268" s="109"/>
      <c r="X268" s="109"/>
      <c r="Y268" s="109"/>
      <c r="Z268" s="109"/>
      <c r="AA268" s="109"/>
      <c r="AB268" s="109"/>
      <c r="AC268" s="109"/>
      <c r="AD268" s="110"/>
      <c r="AE268" s="109"/>
      <c r="AF268" s="151"/>
    </row>
    <row r="269" spans="1:32" x14ac:dyDescent="0.2">
      <c r="A269" s="112">
        <v>705</v>
      </c>
      <c r="B269" s="113" t="s">
        <v>956</v>
      </c>
      <c r="C269" s="114" t="s">
        <v>429</v>
      </c>
      <c r="D269" s="114" t="s">
        <v>15</v>
      </c>
      <c r="E269" s="115" t="s">
        <v>302</v>
      </c>
      <c r="F269" s="115" t="s">
        <v>683</v>
      </c>
      <c r="G269" s="115" t="s">
        <v>975</v>
      </c>
      <c r="H269" s="113" t="s">
        <v>8</v>
      </c>
      <c r="I269" s="114">
        <v>21.128640000000001</v>
      </c>
      <c r="J269" s="114">
        <v>-101.67519</v>
      </c>
      <c r="K269" s="113" t="s">
        <v>139</v>
      </c>
      <c r="L269" s="116" t="str">
        <f t="shared" si="11"/>
        <v>Ver en Google Maps</v>
      </c>
      <c r="M269" s="113">
        <v>2</v>
      </c>
      <c r="N269" s="117">
        <v>45939</v>
      </c>
      <c r="O269" s="118">
        <f>DAY('BD1'!$N269)</f>
        <v>9</v>
      </c>
      <c r="P269" s="118">
        <f>MONTH('BD1'!$N269)</f>
        <v>10</v>
      </c>
      <c r="Q269" s="118">
        <f>YEAR('BD1'!$N269)</f>
        <v>2025</v>
      </c>
      <c r="R269" s="118">
        <v>1</v>
      </c>
      <c r="S269" s="118" t="s">
        <v>138</v>
      </c>
      <c r="T269" s="118" t="s">
        <v>138</v>
      </c>
      <c r="U269" s="118" t="s">
        <v>138</v>
      </c>
      <c r="V269" s="118" t="s">
        <v>138</v>
      </c>
      <c r="W269" s="118" t="s">
        <v>138</v>
      </c>
      <c r="X269" s="118" t="s">
        <v>138</v>
      </c>
      <c r="Y269" s="118" t="s">
        <v>138</v>
      </c>
      <c r="Z269" s="118" t="s">
        <v>138</v>
      </c>
      <c r="AA269" s="118">
        <v>28.35</v>
      </c>
      <c r="AB269" s="118">
        <v>20.71</v>
      </c>
      <c r="AC269" s="118" t="s">
        <v>1418</v>
      </c>
      <c r="AD269" s="119" t="s">
        <v>957</v>
      </c>
      <c r="AE269" s="118">
        <f t="shared" ref="AE269:AE319" si="12">COUNTIF(S269:Z269, "si")</f>
        <v>8</v>
      </c>
      <c r="AF269" s="152" t="str">
        <f t="shared" si="10"/>
        <v>Estable</v>
      </c>
    </row>
    <row r="270" spans="1:32" x14ac:dyDescent="0.2">
      <c r="A270" s="121">
        <v>706</v>
      </c>
      <c r="B270" s="122" t="s">
        <v>956</v>
      </c>
      <c r="C270" s="123" t="s">
        <v>429</v>
      </c>
      <c r="D270" s="123" t="s">
        <v>15</v>
      </c>
      <c r="E270" s="124" t="s">
        <v>303</v>
      </c>
      <c r="F270" s="124" t="s">
        <v>684</v>
      </c>
      <c r="G270" s="124" t="s">
        <v>1139</v>
      </c>
      <c r="H270" s="122" t="s">
        <v>8</v>
      </c>
      <c r="I270" s="123">
        <v>21.132529999999999</v>
      </c>
      <c r="J270" s="123">
        <v>-101.64812000000001</v>
      </c>
      <c r="K270" s="122" t="s">
        <v>139</v>
      </c>
      <c r="L270" s="125" t="str">
        <f t="shared" si="11"/>
        <v>Ver en Google Maps</v>
      </c>
      <c r="M270" s="122">
        <v>2</v>
      </c>
      <c r="N270" s="108">
        <v>45931</v>
      </c>
      <c r="O270" s="109">
        <f>DAY('BD1'!$N270)</f>
        <v>1</v>
      </c>
      <c r="P270" s="109">
        <f>MONTH('BD1'!$N270)</f>
        <v>10</v>
      </c>
      <c r="Q270" s="109">
        <f>YEAR('BD1'!$N270)</f>
        <v>2025</v>
      </c>
      <c r="R270" s="109">
        <v>1</v>
      </c>
      <c r="S270" s="109" t="s">
        <v>138</v>
      </c>
      <c r="T270" s="109" t="s">
        <v>138</v>
      </c>
      <c r="U270" s="109" t="s">
        <v>138</v>
      </c>
      <c r="V270" s="109" t="s">
        <v>138</v>
      </c>
      <c r="W270" s="109" t="s">
        <v>138</v>
      </c>
      <c r="X270" s="109" t="s">
        <v>138</v>
      </c>
      <c r="Y270" s="109" t="s">
        <v>138</v>
      </c>
      <c r="Z270" s="109" t="s">
        <v>934</v>
      </c>
      <c r="AA270" s="109">
        <v>13.2</v>
      </c>
      <c r="AB270" s="109">
        <v>9.98</v>
      </c>
      <c r="AC270" s="110" t="s">
        <v>960</v>
      </c>
      <c r="AD270" s="110" t="s">
        <v>954</v>
      </c>
      <c r="AE270" s="109">
        <f t="shared" si="12"/>
        <v>7</v>
      </c>
      <c r="AF270" s="151" t="str">
        <f t="shared" si="10"/>
        <v>Funcional con observaciones</v>
      </c>
    </row>
    <row r="271" spans="1:32" x14ac:dyDescent="0.2">
      <c r="A271" s="112">
        <v>707</v>
      </c>
      <c r="B271" s="113" t="s">
        <v>956</v>
      </c>
      <c r="C271" s="114" t="s">
        <v>429</v>
      </c>
      <c r="D271" s="114" t="s">
        <v>15</v>
      </c>
      <c r="E271" s="115" t="s">
        <v>304</v>
      </c>
      <c r="F271" s="115" t="s">
        <v>685</v>
      </c>
      <c r="G271" s="115" t="s">
        <v>1140</v>
      </c>
      <c r="H271" s="113" t="s">
        <v>8</v>
      </c>
      <c r="I271" s="114">
        <v>21.110569999999999</v>
      </c>
      <c r="J271" s="114">
        <v>-101.69683999999999</v>
      </c>
      <c r="K271" s="113" t="s">
        <v>139</v>
      </c>
      <c r="L271" s="116" t="str">
        <f t="shared" si="11"/>
        <v>Ver en Google Maps</v>
      </c>
      <c r="M271" s="113">
        <v>2</v>
      </c>
      <c r="N271" s="117">
        <v>45932</v>
      </c>
      <c r="O271" s="118">
        <f>DAY('BD1'!$N271)</f>
        <v>2</v>
      </c>
      <c r="P271" s="118">
        <f>MONTH('BD1'!$N271)</f>
        <v>10</v>
      </c>
      <c r="Q271" s="118">
        <f>YEAR('BD1'!$N271)</f>
        <v>2025</v>
      </c>
      <c r="R271" s="118">
        <v>1</v>
      </c>
      <c r="S271" s="118" t="s">
        <v>138</v>
      </c>
      <c r="T271" s="118" t="s">
        <v>138</v>
      </c>
      <c r="U271" s="118" t="s">
        <v>138</v>
      </c>
      <c r="V271" s="118" t="s">
        <v>138</v>
      </c>
      <c r="W271" s="118" t="s">
        <v>138</v>
      </c>
      <c r="X271" s="118" t="s">
        <v>138</v>
      </c>
      <c r="Y271" s="118" t="s">
        <v>138</v>
      </c>
      <c r="Z271" s="118" t="s">
        <v>934</v>
      </c>
      <c r="AA271" s="118">
        <v>7.69</v>
      </c>
      <c r="AB271" s="118">
        <v>29.41</v>
      </c>
      <c r="AC271" s="119" t="s">
        <v>960</v>
      </c>
      <c r="AD271" s="119" t="s">
        <v>954</v>
      </c>
      <c r="AE271" s="118">
        <f t="shared" si="12"/>
        <v>7</v>
      </c>
      <c r="AF271" s="152" t="str">
        <f t="shared" si="10"/>
        <v>Funcional con observaciones</v>
      </c>
    </row>
    <row r="272" spans="1:32" x14ac:dyDescent="0.2">
      <c r="A272" s="121">
        <v>708</v>
      </c>
      <c r="B272" s="122" t="s">
        <v>956</v>
      </c>
      <c r="C272" s="123" t="s">
        <v>429</v>
      </c>
      <c r="D272" s="123" t="s">
        <v>15</v>
      </c>
      <c r="E272" s="124" t="s">
        <v>305</v>
      </c>
      <c r="F272" s="124" t="s">
        <v>686</v>
      </c>
      <c r="G272" s="124" t="s">
        <v>1012</v>
      </c>
      <c r="H272" s="122" t="s">
        <v>8</v>
      </c>
      <c r="I272" s="123">
        <v>21.140149999999998</v>
      </c>
      <c r="J272" s="123">
        <v>-101.69775</v>
      </c>
      <c r="K272" s="122" t="s">
        <v>139</v>
      </c>
      <c r="L272" s="125" t="str">
        <f t="shared" si="11"/>
        <v>Ver en Google Maps</v>
      </c>
      <c r="M272" s="122">
        <v>2</v>
      </c>
      <c r="N272" s="108">
        <v>45933</v>
      </c>
      <c r="O272" s="109">
        <f>DAY('BD1'!$N272)</f>
        <v>3</v>
      </c>
      <c r="P272" s="109">
        <f>MONTH('BD1'!$N272)</f>
        <v>10</v>
      </c>
      <c r="Q272" s="109">
        <f>YEAR('BD1'!$N272)</f>
        <v>2025</v>
      </c>
      <c r="R272" s="109">
        <v>1</v>
      </c>
      <c r="S272" s="109" t="s">
        <v>138</v>
      </c>
      <c r="T272" s="109" t="s">
        <v>138</v>
      </c>
      <c r="U272" s="109" t="s">
        <v>138</v>
      </c>
      <c r="V272" s="109" t="s">
        <v>138</v>
      </c>
      <c r="W272" s="109" t="s">
        <v>138</v>
      </c>
      <c r="X272" s="109" t="s">
        <v>138</v>
      </c>
      <c r="Y272" s="109" t="s">
        <v>138</v>
      </c>
      <c r="Z272" s="109" t="s">
        <v>138</v>
      </c>
      <c r="AA272" s="109">
        <v>47.69</v>
      </c>
      <c r="AB272" s="109">
        <v>17.61</v>
      </c>
      <c r="AC272" s="110" t="s">
        <v>967</v>
      </c>
      <c r="AD272" s="110" t="s">
        <v>954</v>
      </c>
      <c r="AE272" s="109">
        <f t="shared" si="12"/>
        <v>8</v>
      </c>
      <c r="AF272" s="151" t="str">
        <f t="shared" si="10"/>
        <v>Estable</v>
      </c>
    </row>
    <row r="273" spans="1:32" x14ac:dyDescent="0.2">
      <c r="A273" s="112">
        <v>709</v>
      </c>
      <c r="B273" s="113" t="s">
        <v>956</v>
      </c>
      <c r="C273" s="114" t="s">
        <v>429</v>
      </c>
      <c r="D273" s="114" t="s">
        <v>15</v>
      </c>
      <c r="E273" s="115" t="s">
        <v>306</v>
      </c>
      <c r="F273" s="115" t="s">
        <v>687</v>
      </c>
      <c r="G273" s="115" t="s">
        <v>1122</v>
      </c>
      <c r="H273" s="113" t="s">
        <v>8</v>
      </c>
      <c r="I273" s="114">
        <v>21.120509999999999</v>
      </c>
      <c r="J273" s="114">
        <v>-101.71329</v>
      </c>
      <c r="K273" s="113" t="s">
        <v>139</v>
      </c>
      <c r="L273" s="116" t="str">
        <f t="shared" si="11"/>
        <v>Ver en Google Maps</v>
      </c>
      <c r="M273" s="113">
        <v>2</v>
      </c>
      <c r="N273" s="117">
        <v>45933</v>
      </c>
      <c r="O273" s="118">
        <f>DAY('BD1'!$N273)</f>
        <v>3</v>
      </c>
      <c r="P273" s="118">
        <f>MONTH('BD1'!$N273)</f>
        <v>10</v>
      </c>
      <c r="Q273" s="118">
        <f>YEAR('BD1'!$N273)</f>
        <v>2025</v>
      </c>
      <c r="R273" s="118">
        <v>1</v>
      </c>
      <c r="S273" s="118" t="s">
        <v>138</v>
      </c>
      <c r="T273" s="118" t="s">
        <v>138</v>
      </c>
      <c r="U273" s="118" t="s">
        <v>138</v>
      </c>
      <c r="V273" s="118" t="s">
        <v>138</v>
      </c>
      <c r="W273" s="118" t="s">
        <v>138</v>
      </c>
      <c r="X273" s="118" t="s">
        <v>138</v>
      </c>
      <c r="Y273" s="118" t="s">
        <v>138</v>
      </c>
      <c r="Z273" s="118" t="s">
        <v>138</v>
      </c>
      <c r="AA273" s="118">
        <v>22.91</v>
      </c>
      <c r="AB273" s="118">
        <v>14.64</v>
      </c>
      <c r="AC273" s="119" t="s">
        <v>967</v>
      </c>
      <c r="AD273" s="119" t="s">
        <v>954</v>
      </c>
      <c r="AE273" s="118">
        <f t="shared" si="12"/>
        <v>8</v>
      </c>
      <c r="AF273" s="152" t="str">
        <f t="shared" si="10"/>
        <v>Estable</v>
      </c>
    </row>
    <row r="274" spans="1:32" x14ac:dyDescent="0.2">
      <c r="A274" s="121">
        <v>710</v>
      </c>
      <c r="B274" s="122" t="s">
        <v>956</v>
      </c>
      <c r="C274" s="123" t="s">
        <v>429</v>
      </c>
      <c r="D274" s="123" t="s">
        <v>15</v>
      </c>
      <c r="E274" s="124" t="s">
        <v>307</v>
      </c>
      <c r="F274" s="124" t="s">
        <v>688</v>
      </c>
      <c r="G274" s="124" t="s">
        <v>1141</v>
      </c>
      <c r="H274" s="122" t="s">
        <v>8</v>
      </c>
      <c r="I274" s="123">
        <v>21.14498</v>
      </c>
      <c r="J274" s="123">
        <v>-101.67821000000001</v>
      </c>
      <c r="K274" s="122" t="s">
        <v>139</v>
      </c>
      <c r="L274" s="125" t="str">
        <f t="shared" si="11"/>
        <v>Ver en Google Maps</v>
      </c>
      <c r="M274" s="122">
        <v>2</v>
      </c>
      <c r="N274" s="108">
        <v>45929</v>
      </c>
      <c r="O274" s="109">
        <f>DAY('BD1'!$N274)</f>
        <v>29</v>
      </c>
      <c r="P274" s="109">
        <f>MONTH('BD1'!$N274)</f>
        <v>9</v>
      </c>
      <c r="Q274" s="109">
        <f>YEAR('BD1'!$N274)</f>
        <v>2025</v>
      </c>
      <c r="R274" s="109">
        <v>1</v>
      </c>
      <c r="S274" s="109" t="s">
        <v>138</v>
      </c>
      <c r="T274" s="109" t="s">
        <v>138</v>
      </c>
      <c r="U274" s="109" t="s">
        <v>138</v>
      </c>
      <c r="V274" s="109" t="s">
        <v>138</v>
      </c>
      <c r="W274" s="109" t="s">
        <v>138</v>
      </c>
      <c r="X274" s="109" t="s">
        <v>138</v>
      </c>
      <c r="Y274" s="109" t="s">
        <v>138</v>
      </c>
      <c r="Z274" s="109" t="s">
        <v>138</v>
      </c>
      <c r="AA274" s="109">
        <v>28.13</v>
      </c>
      <c r="AB274" s="109">
        <v>37.54</v>
      </c>
      <c r="AC274" s="110" t="s">
        <v>967</v>
      </c>
      <c r="AD274" s="110" t="s">
        <v>954</v>
      </c>
      <c r="AE274" s="109">
        <f t="shared" si="12"/>
        <v>8</v>
      </c>
      <c r="AF274" s="151" t="str">
        <f t="shared" si="10"/>
        <v>Estable</v>
      </c>
    </row>
    <row r="275" spans="1:32" x14ac:dyDescent="0.2">
      <c r="A275" s="112">
        <v>711</v>
      </c>
      <c r="B275" s="113" t="s">
        <v>956</v>
      </c>
      <c r="C275" s="114" t="s">
        <v>429</v>
      </c>
      <c r="D275" s="114" t="s">
        <v>15</v>
      </c>
      <c r="E275" s="115" t="s">
        <v>308</v>
      </c>
      <c r="F275" s="115" t="s">
        <v>689</v>
      </c>
      <c r="G275" s="115" t="s">
        <v>1142</v>
      </c>
      <c r="H275" s="113" t="s">
        <v>8</v>
      </c>
      <c r="I275" s="114">
        <v>21.076360000000001</v>
      </c>
      <c r="J275" s="114">
        <v>-101.61143</v>
      </c>
      <c r="K275" s="113"/>
      <c r="L275" s="116" t="str">
        <f t="shared" si="11"/>
        <v>Ver en Google Maps</v>
      </c>
      <c r="M275" s="113">
        <v>2</v>
      </c>
      <c r="N275" s="129"/>
      <c r="O275" s="118"/>
      <c r="P275" s="118"/>
      <c r="Q275" s="118"/>
      <c r="R275" s="118"/>
      <c r="S275" s="118"/>
      <c r="T275" s="118"/>
      <c r="U275" s="118"/>
      <c r="V275" s="118"/>
      <c r="W275" s="118"/>
      <c r="X275" s="118"/>
      <c r="Y275" s="118"/>
      <c r="Z275" s="118"/>
      <c r="AA275" s="118"/>
      <c r="AB275" s="118"/>
      <c r="AC275" s="118"/>
      <c r="AD275" s="119"/>
      <c r="AE275" s="118"/>
      <c r="AF275" s="152"/>
    </row>
    <row r="276" spans="1:32" x14ac:dyDescent="0.2">
      <c r="A276" s="121">
        <v>713</v>
      </c>
      <c r="B276" s="122" t="s">
        <v>956</v>
      </c>
      <c r="C276" s="123" t="s">
        <v>429</v>
      </c>
      <c r="D276" s="123" t="s">
        <v>15</v>
      </c>
      <c r="E276" s="124" t="s">
        <v>309</v>
      </c>
      <c r="F276" s="124" t="s">
        <v>690</v>
      </c>
      <c r="G276" s="124" t="s">
        <v>73</v>
      </c>
      <c r="H276" s="122" t="s">
        <v>8</v>
      </c>
      <c r="I276" s="123">
        <v>21.109719999999999</v>
      </c>
      <c r="J276" s="123">
        <v>-101.63029</v>
      </c>
      <c r="K276" s="122" t="s">
        <v>139</v>
      </c>
      <c r="L276" s="125" t="str">
        <f t="shared" si="11"/>
        <v>Ver en Google Maps</v>
      </c>
      <c r="M276" s="122">
        <v>2</v>
      </c>
      <c r="N276" s="108">
        <v>45934</v>
      </c>
      <c r="O276" s="109">
        <f>DAY('BD1'!$N276)</f>
        <v>4</v>
      </c>
      <c r="P276" s="109">
        <f>MONTH('BD1'!$N276)</f>
        <v>10</v>
      </c>
      <c r="Q276" s="109">
        <f>YEAR('BD1'!$N276)</f>
        <v>2025</v>
      </c>
      <c r="R276" s="109">
        <v>1</v>
      </c>
      <c r="S276" s="109" t="s">
        <v>138</v>
      </c>
      <c r="T276" s="109" t="s">
        <v>138</v>
      </c>
      <c r="U276" s="109" t="s">
        <v>138</v>
      </c>
      <c r="V276" s="109" t="s">
        <v>138</v>
      </c>
      <c r="W276" s="109" t="s">
        <v>138</v>
      </c>
      <c r="X276" s="109" t="s">
        <v>138</v>
      </c>
      <c r="Y276" s="109" t="s">
        <v>138</v>
      </c>
      <c r="Z276" s="109" t="s">
        <v>138</v>
      </c>
      <c r="AA276" s="109">
        <v>18.2</v>
      </c>
      <c r="AB276" s="109">
        <v>13.59</v>
      </c>
      <c r="AC276" s="110" t="s">
        <v>967</v>
      </c>
      <c r="AD276" s="110" t="s">
        <v>957</v>
      </c>
      <c r="AE276" s="109">
        <f t="shared" si="12"/>
        <v>8</v>
      </c>
      <c r="AF276" s="151" t="str">
        <f t="shared" si="10"/>
        <v>Estable</v>
      </c>
    </row>
    <row r="277" spans="1:32" x14ac:dyDescent="0.2">
      <c r="A277" s="112">
        <v>714</v>
      </c>
      <c r="B277" s="113" t="s">
        <v>956</v>
      </c>
      <c r="C277" s="114" t="s">
        <v>429</v>
      </c>
      <c r="D277" s="114" t="s">
        <v>15</v>
      </c>
      <c r="E277" s="115" t="s">
        <v>310</v>
      </c>
      <c r="F277" s="115" t="s">
        <v>691</v>
      </c>
      <c r="G277" s="115" t="s">
        <v>1143</v>
      </c>
      <c r="H277" s="113" t="s">
        <v>8</v>
      </c>
      <c r="I277" s="114">
        <v>21.08868</v>
      </c>
      <c r="J277" s="114">
        <v>-101.69045</v>
      </c>
      <c r="K277" s="113"/>
      <c r="L277" s="116" t="str">
        <f t="shared" si="11"/>
        <v>Ver en Google Maps</v>
      </c>
      <c r="M277" s="113">
        <v>2</v>
      </c>
      <c r="N277" s="129"/>
      <c r="O277" s="118"/>
      <c r="P277" s="118"/>
      <c r="Q277" s="118"/>
      <c r="R277" s="118"/>
      <c r="S277" s="118"/>
      <c r="T277" s="118"/>
      <c r="U277" s="118"/>
      <c r="V277" s="118"/>
      <c r="W277" s="118"/>
      <c r="X277" s="118"/>
      <c r="Y277" s="118"/>
      <c r="Z277" s="118"/>
      <c r="AA277" s="118"/>
      <c r="AB277" s="118"/>
      <c r="AC277" s="118"/>
      <c r="AD277" s="119"/>
      <c r="AE277" s="118"/>
      <c r="AF277" s="152"/>
    </row>
    <row r="278" spans="1:32" x14ac:dyDescent="0.2">
      <c r="A278" s="121">
        <v>716</v>
      </c>
      <c r="B278" s="122" t="s">
        <v>956</v>
      </c>
      <c r="C278" s="123" t="s">
        <v>429</v>
      </c>
      <c r="D278" s="123" t="s">
        <v>15</v>
      </c>
      <c r="E278" s="124" t="s">
        <v>311</v>
      </c>
      <c r="F278" s="124" t="s">
        <v>692</v>
      </c>
      <c r="G278" s="124" t="s">
        <v>43</v>
      </c>
      <c r="H278" s="122" t="s">
        <v>8</v>
      </c>
      <c r="I278" s="123">
        <v>21.129110000000001</v>
      </c>
      <c r="J278" s="123">
        <v>-101.59999000000001</v>
      </c>
      <c r="K278" s="122" t="s">
        <v>3057</v>
      </c>
      <c r="L278" s="125" t="str">
        <f t="shared" si="11"/>
        <v>Ver en Google Maps</v>
      </c>
      <c r="M278" s="122">
        <v>2</v>
      </c>
      <c r="N278" s="108">
        <v>45931</v>
      </c>
      <c r="O278" s="109">
        <f>DAY('BD1'!$N278)</f>
        <v>1</v>
      </c>
      <c r="P278" s="109">
        <f>MONTH('BD1'!$N278)</f>
        <v>10</v>
      </c>
      <c r="Q278" s="109">
        <f>YEAR('BD1'!$N278)</f>
        <v>2025</v>
      </c>
      <c r="R278" s="109">
        <v>1</v>
      </c>
      <c r="S278" s="109" t="s">
        <v>138</v>
      </c>
      <c r="T278" s="109" t="s">
        <v>138</v>
      </c>
      <c r="U278" s="109" t="s">
        <v>138</v>
      </c>
      <c r="V278" s="109" t="s">
        <v>934</v>
      </c>
      <c r="W278" s="109" t="s">
        <v>138</v>
      </c>
      <c r="X278" s="109" t="s">
        <v>138</v>
      </c>
      <c r="Y278" s="109" t="s">
        <v>138</v>
      </c>
      <c r="Z278" s="109" t="s">
        <v>138</v>
      </c>
      <c r="AA278" s="109">
        <v>15.65</v>
      </c>
      <c r="AB278" s="109">
        <v>27.47</v>
      </c>
      <c r="AC278" s="110" t="s">
        <v>963</v>
      </c>
      <c r="AD278" s="110" t="s">
        <v>957</v>
      </c>
      <c r="AE278" s="109">
        <f t="shared" si="12"/>
        <v>7</v>
      </c>
      <c r="AF278" s="151" t="str">
        <f t="shared" si="10"/>
        <v>Funcional con observaciones</v>
      </c>
    </row>
    <row r="279" spans="1:32" x14ac:dyDescent="0.2">
      <c r="A279" s="112">
        <v>717</v>
      </c>
      <c r="B279" s="113" t="s">
        <v>956</v>
      </c>
      <c r="C279" s="114" t="s">
        <v>429</v>
      </c>
      <c r="D279" s="114" t="s">
        <v>15</v>
      </c>
      <c r="E279" s="115" t="s">
        <v>312</v>
      </c>
      <c r="F279" s="115" t="s">
        <v>693</v>
      </c>
      <c r="G279" s="115" t="s">
        <v>1144</v>
      </c>
      <c r="H279" s="113" t="s">
        <v>8</v>
      </c>
      <c r="I279" s="114">
        <v>21.11544</v>
      </c>
      <c r="J279" s="114">
        <v>-101.58418</v>
      </c>
      <c r="K279" s="113"/>
      <c r="L279" s="116" t="str">
        <f t="shared" si="11"/>
        <v>Ver en Google Maps</v>
      </c>
      <c r="M279" s="113">
        <v>2</v>
      </c>
      <c r="N279" s="129"/>
      <c r="O279" s="118"/>
      <c r="P279" s="118"/>
      <c r="Q279" s="118"/>
      <c r="R279" s="118"/>
      <c r="S279" s="118"/>
      <c r="T279" s="118"/>
      <c r="U279" s="118"/>
      <c r="V279" s="118"/>
      <c r="W279" s="118"/>
      <c r="X279" s="118"/>
      <c r="Y279" s="118"/>
      <c r="Z279" s="118"/>
      <c r="AA279" s="118"/>
      <c r="AB279" s="118"/>
      <c r="AC279" s="118"/>
      <c r="AD279" s="119"/>
      <c r="AE279" s="118"/>
      <c r="AF279" s="152"/>
    </row>
    <row r="280" spans="1:32" x14ac:dyDescent="0.2">
      <c r="A280" s="121">
        <v>722</v>
      </c>
      <c r="B280" s="122" t="s">
        <v>956</v>
      </c>
      <c r="C280" s="123" t="s">
        <v>429</v>
      </c>
      <c r="D280" s="123" t="s">
        <v>15</v>
      </c>
      <c r="E280" s="124" t="s">
        <v>313</v>
      </c>
      <c r="F280" s="124" t="s">
        <v>694</v>
      </c>
      <c r="G280" s="124" t="s">
        <v>1032</v>
      </c>
      <c r="H280" s="122" t="s">
        <v>8</v>
      </c>
      <c r="I280" s="123">
        <v>21.138069999999999</v>
      </c>
      <c r="J280" s="123">
        <v>-101.74854000000001</v>
      </c>
      <c r="K280" s="122" t="s">
        <v>139</v>
      </c>
      <c r="L280" s="125" t="str">
        <f t="shared" si="11"/>
        <v>Ver en Google Maps</v>
      </c>
      <c r="M280" s="122">
        <v>2</v>
      </c>
      <c r="N280" s="108">
        <v>45930</v>
      </c>
      <c r="O280" s="109">
        <f>DAY('BD1'!$N280)</f>
        <v>30</v>
      </c>
      <c r="P280" s="109">
        <f>MONTH('BD1'!$N280)</f>
        <v>9</v>
      </c>
      <c r="Q280" s="109">
        <f>YEAR('BD1'!$N280)</f>
        <v>2025</v>
      </c>
      <c r="R280" s="109">
        <v>1</v>
      </c>
      <c r="S280" s="109" t="s">
        <v>138</v>
      </c>
      <c r="T280" s="109" t="s">
        <v>934</v>
      </c>
      <c r="U280" s="109" t="s">
        <v>138</v>
      </c>
      <c r="V280" s="109" t="s">
        <v>934</v>
      </c>
      <c r="W280" s="109" t="s">
        <v>138</v>
      </c>
      <c r="X280" s="109" t="s">
        <v>138</v>
      </c>
      <c r="Y280" s="109" t="s">
        <v>934</v>
      </c>
      <c r="Z280" s="109" t="s">
        <v>934</v>
      </c>
      <c r="AA280" s="109">
        <v>0</v>
      </c>
      <c r="AB280" s="109">
        <v>0</v>
      </c>
      <c r="AC280" s="110" t="s">
        <v>973</v>
      </c>
      <c r="AD280" s="110" t="s">
        <v>957</v>
      </c>
      <c r="AE280" s="109">
        <f t="shared" si="12"/>
        <v>4</v>
      </c>
      <c r="AF280" s="151" t="str">
        <f t="shared" si="10"/>
        <v>Parcialmente funcional</v>
      </c>
    </row>
    <row r="281" spans="1:32" x14ac:dyDescent="0.2">
      <c r="A281" s="112">
        <v>723</v>
      </c>
      <c r="B281" s="113" t="s">
        <v>956</v>
      </c>
      <c r="C281" s="114" t="s">
        <v>429</v>
      </c>
      <c r="D281" s="114" t="s">
        <v>15</v>
      </c>
      <c r="E281" s="115" t="s">
        <v>314</v>
      </c>
      <c r="F281" s="115" t="s">
        <v>695</v>
      </c>
      <c r="G281" s="115" t="s">
        <v>1023</v>
      </c>
      <c r="H281" s="113" t="s">
        <v>8</v>
      </c>
      <c r="I281" s="114">
        <v>21.06194</v>
      </c>
      <c r="J281" s="114">
        <v>-101.62239</v>
      </c>
      <c r="K281" s="113"/>
      <c r="L281" s="116" t="str">
        <f t="shared" si="11"/>
        <v>Ver en Google Maps</v>
      </c>
      <c r="M281" s="113">
        <v>2</v>
      </c>
      <c r="N281" s="129"/>
      <c r="O281" s="118"/>
      <c r="P281" s="118"/>
      <c r="Q281" s="118"/>
      <c r="R281" s="118"/>
      <c r="S281" s="118"/>
      <c r="T281" s="118"/>
      <c r="U281" s="118"/>
      <c r="V281" s="118"/>
      <c r="W281" s="118"/>
      <c r="X281" s="118"/>
      <c r="Y281" s="118"/>
      <c r="Z281" s="118"/>
      <c r="AA281" s="118"/>
      <c r="AB281" s="118"/>
      <c r="AC281" s="118"/>
      <c r="AD281" s="119"/>
      <c r="AE281" s="118"/>
      <c r="AF281" s="152"/>
    </row>
    <row r="282" spans="1:32" x14ac:dyDescent="0.2">
      <c r="A282" s="121">
        <v>725</v>
      </c>
      <c r="B282" s="122" t="s">
        <v>956</v>
      </c>
      <c r="C282" s="123" t="s">
        <v>429</v>
      </c>
      <c r="D282" s="123" t="s">
        <v>15</v>
      </c>
      <c r="E282" s="124" t="s">
        <v>315</v>
      </c>
      <c r="F282" s="124" t="s">
        <v>696</v>
      </c>
      <c r="G282" s="124" t="s">
        <v>1130</v>
      </c>
      <c r="H282" s="122" t="s">
        <v>8</v>
      </c>
      <c r="I282" s="123">
        <v>21.093606000000001</v>
      </c>
      <c r="J282" s="123">
        <v>-101.60470100000001</v>
      </c>
      <c r="K282" s="122"/>
      <c r="L282" s="125" t="str">
        <f t="shared" si="11"/>
        <v>Ver en Google Maps</v>
      </c>
      <c r="M282" s="122">
        <v>2</v>
      </c>
      <c r="N282" s="130"/>
      <c r="O282" s="109"/>
      <c r="P282" s="109"/>
      <c r="Q282" s="109"/>
      <c r="R282" s="109"/>
      <c r="S282" s="109"/>
      <c r="T282" s="109"/>
      <c r="U282" s="109"/>
      <c r="V282" s="109"/>
      <c r="W282" s="109"/>
      <c r="X282" s="109"/>
      <c r="Y282" s="109"/>
      <c r="Z282" s="109"/>
      <c r="AA282" s="109"/>
      <c r="AB282" s="109"/>
      <c r="AC282" s="109"/>
      <c r="AD282" s="110"/>
      <c r="AE282" s="109"/>
      <c r="AF282" s="151"/>
    </row>
    <row r="283" spans="1:32" x14ac:dyDescent="0.2">
      <c r="A283" s="112">
        <v>728</v>
      </c>
      <c r="B283" s="113" t="s">
        <v>956</v>
      </c>
      <c r="C283" s="114" t="s">
        <v>429</v>
      </c>
      <c r="D283" s="114" t="s">
        <v>15</v>
      </c>
      <c r="E283" s="115" t="s">
        <v>316</v>
      </c>
      <c r="F283" s="115" t="s">
        <v>697</v>
      </c>
      <c r="G283" s="115" t="s">
        <v>1098</v>
      </c>
      <c r="H283" s="113" t="s">
        <v>8</v>
      </c>
      <c r="I283" s="114">
        <v>21.143560000000001</v>
      </c>
      <c r="J283" s="114">
        <v>-101.73779</v>
      </c>
      <c r="K283" s="113"/>
      <c r="L283" s="116" t="str">
        <f t="shared" si="11"/>
        <v>Ver en Google Maps</v>
      </c>
      <c r="M283" s="113">
        <v>2</v>
      </c>
      <c r="N283" s="129"/>
      <c r="O283" s="118"/>
      <c r="P283" s="118"/>
      <c r="Q283" s="118"/>
      <c r="R283" s="118"/>
      <c r="S283" s="118"/>
      <c r="T283" s="118"/>
      <c r="U283" s="118"/>
      <c r="V283" s="118"/>
      <c r="W283" s="118"/>
      <c r="X283" s="118"/>
      <c r="Y283" s="118"/>
      <c r="Z283" s="118"/>
      <c r="AA283" s="118"/>
      <c r="AB283" s="118"/>
      <c r="AC283" s="118"/>
      <c r="AD283" s="119"/>
      <c r="AE283" s="118"/>
      <c r="AF283" s="152"/>
    </row>
    <row r="284" spans="1:32" x14ac:dyDescent="0.2">
      <c r="A284" s="121">
        <v>729</v>
      </c>
      <c r="B284" s="122" t="s">
        <v>956</v>
      </c>
      <c r="C284" s="123" t="s">
        <v>429</v>
      </c>
      <c r="D284" s="123" t="s">
        <v>15</v>
      </c>
      <c r="E284" s="124" t="s">
        <v>317</v>
      </c>
      <c r="F284" s="124" t="s">
        <v>698</v>
      </c>
      <c r="G284" s="124" t="s">
        <v>1082</v>
      </c>
      <c r="H284" s="122" t="s">
        <v>8</v>
      </c>
      <c r="I284" s="123">
        <v>21.095689</v>
      </c>
      <c r="J284" s="123">
        <v>-101.749883</v>
      </c>
      <c r="K284" s="122"/>
      <c r="L284" s="125" t="str">
        <f t="shared" si="11"/>
        <v>Ver en Google Maps</v>
      </c>
      <c r="M284" s="122">
        <v>2</v>
      </c>
      <c r="N284" s="130"/>
      <c r="O284" s="109"/>
      <c r="P284" s="109"/>
      <c r="Q284" s="109"/>
      <c r="R284" s="109"/>
      <c r="S284" s="109"/>
      <c r="T284" s="109"/>
      <c r="U284" s="109"/>
      <c r="V284" s="109"/>
      <c r="W284" s="109"/>
      <c r="X284" s="109"/>
      <c r="Y284" s="109"/>
      <c r="Z284" s="109"/>
      <c r="AA284" s="109"/>
      <c r="AB284" s="109"/>
      <c r="AC284" s="109"/>
      <c r="AD284" s="110"/>
      <c r="AE284" s="109"/>
      <c r="AF284" s="151"/>
    </row>
    <row r="285" spans="1:32" x14ac:dyDescent="0.2">
      <c r="A285" s="112">
        <v>730</v>
      </c>
      <c r="B285" s="113" t="s">
        <v>956</v>
      </c>
      <c r="C285" s="114" t="s">
        <v>429</v>
      </c>
      <c r="D285" s="114" t="s">
        <v>15</v>
      </c>
      <c r="E285" s="115" t="s">
        <v>318</v>
      </c>
      <c r="F285" s="115" t="s">
        <v>699</v>
      </c>
      <c r="G285" s="115" t="s">
        <v>1010</v>
      </c>
      <c r="H285" s="113" t="s">
        <v>8</v>
      </c>
      <c r="I285" s="114">
        <v>21.104320000000001</v>
      </c>
      <c r="J285" s="114">
        <v>-101.70788</v>
      </c>
      <c r="K285" s="113"/>
      <c r="L285" s="116" t="str">
        <f t="shared" si="11"/>
        <v>Ver en Google Maps</v>
      </c>
      <c r="M285" s="113">
        <v>2</v>
      </c>
      <c r="N285" s="129"/>
      <c r="O285" s="118"/>
      <c r="P285" s="118"/>
      <c r="Q285" s="118"/>
      <c r="R285" s="118"/>
      <c r="S285" s="118"/>
      <c r="T285" s="118"/>
      <c r="U285" s="118"/>
      <c r="V285" s="118"/>
      <c r="W285" s="118"/>
      <c r="X285" s="118"/>
      <c r="Y285" s="118"/>
      <c r="Z285" s="118"/>
      <c r="AA285" s="118"/>
      <c r="AB285" s="118"/>
      <c r="AC285" s="118"/>
      <c r="AD285" s="119"/>
      <c r="AE285" s="118"/>
      <c r="AF285" s="152"/>
    </row>
    <row r="286" spans="1:32" x14ac:dyDescent="0.2">
      <c r="A286" s="121">
        <v>732</v>
      </c>
      <c r="B286" s="122" t="s">
        <v>956</v>
      </c>
      <c r="C286" s="123" t="s">
        <v>429</v>
      </c>
      <c r="D286" s="123" t="s">
        <v>15</v>
      </c>
      <c r="E286" s="124" t="s">
        <v>319</v>
      </c>
      <c r="F286" s="124" t="s">
        <v>700</v>
      </c>
      <c r="G286" s="124" t="s">
        <v>1145</v>
      </c>
      <c r="H286" s="122" t="s">
        <v>8</v>
      </c>
      <c r="I286" s="123">
        <v>21.071750000000002</v>
      </c>
      <c r="J286" s="123">
        <v>-101.63218000000001</v>
      </c>
      <c r="K286" s="122"/>
      <c r="L286" s="125" t="str">
        <f t="shared" si="11"/>
        <v>Ver en Google Maps</v>
      </c>
      <c r="M286" s="122">
        <v>2</v>
      </c>
      <c r="N286" s="130"/>
      <c r="O286" s="109"/>
      <c r="P286" s="109"/>
      <c r="Q286" s="109"/>
      <c r="R286" s="109"/>
      <c r="S286" s="109"/>
      <c r="T286" s="109"/>
      <c r="U286" s="109"/>
      <c r="V286" s="109"/>
      <c r="W286" s="109"/>
      <c r="X286" s="109"/>
      <c r="Y286" s="109"/>
      <c r="Z286" s="109"/>
      <c r="AA286" s="109"/>
      <c r="AB286" s="109"/>
      <c r="AC286" s="109"/>
      <c r="AD286" s="110"/>
      <c r="AE286" s="109"/>
      <c r="AF286" s="151"/>
    </row>
    <row r="287" spans="1:32" x14ac:dyDescent="0.2">
      <c r="A287" s="112">
        <v>734</v>
      </c>
      <c r="B287" s="113" t="s">
        <v>956</v>
      </c>
      <c r="C287" s="114" t="s">
        <v>429</v>
      </c>
      <c r="D287" s="114" t="s">
        <v>15</v>
      </c>
      <c r="E287" s="115" t="s">
        <v>320</v>
      </c>
      <c r="F287" s="115" t="s">
        <v>701</v>
      </c>
      <c r="G287" s="115" t="s">
        <v>1036</v>
      </c>
      <c r="H287" s="113" t="s">
        <v>8</v>
      </c>
      <c r="I287" s="114">
        <v>21.128499999999999</v>
      </c>
      <c r="J287" s="114">
        <v>-101.71902</v>
      </c>
      <c r="K287" s="113"/>
      <c r="L287" s="116" t="str">
        <f t="shared" si="11"/>
        <v>Ver en Google Maps</v>
      </c>
      <c r="M287" s="113">
        <v>2</v>
      </c>
      <c r="N287" s="129"/>
      <c r="O287" s="118"/>
      <c r="P287" s="118"/>
      <c r="Q287" s="118"/>
      <c r="R287" s="118"/>
      <c r="S287" s="118"/>
      <c r="T287" s="118"/>
      <c r="U287" s="118"/>
      <c r="V287" s="118"/>
      <c r="W287" s="118"/>
      <c r="X287" s="118"/>
      <c r="Y287" s="118"/>
      <c r="Z287" s="118"/>
      <c r="AA287" s="118"/>
      <c r="AB287" s="118"/>
      <c r="AC287" s="118"/>
      <c r="AD287" s="119"/>
      <c r="AE287" s="118"/>
      <c r="AF287" s="152"/>
    </row>
    <row r="288" spans="1:32" x14ac:dyDescent="0.2">
      <c r="A288" s="121">
        <v>736</v>
      </c>
      <c r="B288" s="122" t="s">
        <v>956</v>
      </c>
      <c r="C288" s="123" t="s">
        <v>429</v>
      </c>
      <c r="D288" s="123" t="s">
        <v>15</v>
      </c>
      <c r="E288" s="124" t="s">
        <v>321</v>
      </c>
      <c r="F288" s="124" t="s">
        <v>702</v>
      </c>
      <c r="G288" s="124" t="s">
        <v>1078</v>
      </c>
      <c r="H288" s="122" t="s">
        <v>8</v>
      </c>
      <c r="I288" s="123">
        <v>21.069682</v>
      </c>
      <c r="J288" s="123">
        <v>-101.58709500000001</v>
      </c>
      <c r="K288" s="122"/>
      <c r="L288" s="125" t="str">
        <f t="shared" si="11"/>
        <v>Ver en Google Maps</v>
      </c>
      <c r="M288" s="122">
        <v>2</v>
      </c>
      <c r="N288" s="130"/>
      <c r="O288" s="109"/>
      <c r="P288" s="109"/>
      <c r="Q288" s="109"/>
      <c r="R288" s="109"/>
      <c r="S288" s="109"/>
      <c r="T288" s="109"/>
      <c r="U288" s="109"/>
      <c r="V288" s="109"/>
      <c r="W288" s="109"/>
      <c r="X288" s="109"/>
      <c r="Y288" s="109"/>
      <c r="Z288" s="109"/>
      <c r="AA288" s="109"/>
      <c r="AB288" s="109"/>
      <c r="AC288" s="109"/>
      <c r="AD288" s="110"/>
      <c r="AE288" s="109"/>
      <c r="AF288" s="151"/>
    </row>
    <row r="289" spans="1:32" x14ac:dyDescent="0.2">
      <c r="A289" s="112">
        <v>737</v>
      </c>
      <c r="B289" s="113" t="s">
        <v>956</v>
      </c>
      <c r="C289" s="114" t="s">
        <v>429</v>
      </c>
      <c r="D289" s="114" t="s">
        <v>15</v>
      </c>
      <c r="E289" s="115" t="s">
        <v>322</v>
      </c>
      <c r="F289" s="115" t="s">
        <v>703</v>
      </c>
      <c r="G289" s="115" t="s">
        <v>1092</v>
      </c>
      <c r="H289" s="113" t="s">
        <v>8</v>
      </c>
      <c r="I289" s="114">
        <v>21.057649999999999</v>
      </c>
      <c r="J289" s="114">
        <v>-101.63799</v>
      </c>
      <c r="K289" s="113"/>
      <c r="L289" s="116" t="str">
        <f t="shared" si="11"/>
        <v>Ver en Google Maps</v>
      </c>
      <c r="M289" s="113">
        <v>2</v>
      </c>
      <c r="N289" s="129"/>
      <c r="O289" s="118"/>
      <c r="P289" s="118"/>
      <c r="Q289" s="118"/>
      <c r="R289" s="118"/>
      <c r="S289" s="118"/>
      <c r="T289" s="118"/>
      <c r="U289" s="118"/>
      <c r="V289" s="118"/>
      <c r="W289" s="118"/>
      <c r="X289" s="118"/>
      <c r="Y289" s="118"/>
      <c r="Z289" s="118"/>
      <c r="AA289" s="118"/>
      <c r="AB289" s="118"/>
      <c r="AC289" s="118"/>
      <c r="AD289" s="119"/>
      <c r="AE289" s="118"/>
      <c r="AF289" s="152"/>
    </row>
    <row r="290" spans="1:32" x14ac:dyDescent="0.2">
      <c r="A290" s="121">
        <v>739</v>
      </c>
      <c r="B290" s="122" t="s">
        <v>956</v>
      </c>
      <c r="C290" s="123" t="s">
        <v>429</v>
      </c>
      <c r="D290" s="123" t="s">
        <v>15</v>
      </c>
      <c r="E290" s="124" t="s">
        <v>323</v>
      </c>
      <c r="F290" s="124" t="s">
        <v>704</v>
      </c>
      <c r="G290" s="124" t="s">
        <v>1146</v>
      </c>
      <c r="H290" s="122" t="s">
        <v>8</v>
      </c>
      <c r="I290" s="123">
        <v>21.118880000000001</v>
      </c>
      <c r="J290" s="123">
        <v>-101.60182</v>
      </c>
      <c r="K290" s="122"/>
      <c r="L290" s="125" t="str">
        <f t="shared" si="11"/>
        <v>Ver en Google Maps</v>
      </c>
      <c r="M290" s="122">
        <v>2</v>
      </c>
      <c r="N290" s="130"/>
      <c r="O290" s="109"/>
      <c r="P290" s="109"/>
      <c r="Q290" s="109"/>
      <c r="R290" s="109"/>
      <c r="S290" s="109"/>
      <c r="T290" s="109"/>
      <c r="U290" s="109"/>
      <c r="V290" s="109"/>
      <c r="W290" s="109"/>
      <c r="X290" s="109"/>
      <c r="Y290" s="109"/>
      <c r="Z290" s="109"/>
      <c r="AA290" s="109"/>
      <c r="AB290" s="109"/>
      <c r="AC290" s="109"/>
      <c r="AD290" s="110"/>
      <c r="AE290" s="109"/>
      <c r="AF290" s="151"/>
    </row>
    <row r="291" spans="1:32" x14ac:dyDescent="0.2">
      <c r="A291" s="112">
        <v>745</v>
      </c>
      <c r="B291" s="113" t="s">
        <v>956</v>
      </c>
      <c r="C291" s="114" t="s">
        <v>429</v>
      </c>
      <c r="D291" s="114" t="s">
        <v>17</v>
      </c>
      <c r="E291" s="115" t="s">
        <v>324</v>
      </c>
      <c r="F291" s="115" t="s">
        <v>705</v>
      </c>
      <c r="G291" s="115" t="s">
        <v>1125</v>
      </c>
      <c r="H291" s="113" t="s">
        <v>8</v>
      </c>
      <c r="I291" s="114">
        <v>21.143298999999999</v>
      </c>
      <c r="J291" s="114">
        <v>-101.768438</v>
      </c>
      <c r="K291" s="113"/>
      <c r="L291" s="116" t="str">
        <f t="shared" si="11"/>
        <v>Ver en Google Maps</v>
      </c>
      <c r="M291" s="113">
        <v>1</v>
      </c>
      <c r="N291" s="129"/>
      <c r="O291" s="118"/>
      <c r="P291" s="118"/>
      <c r="Q291" s="118"/>
      <c r="R291" s="118"/>
      <c r="S291" s="118"/>
      <c r="T291" s="118"/>
      <c r="U291" s="118"/>
      <c r="V291" s="118"/>
      <c r="W291" s="118"/>
      <c r="X291" s="118"/>
      <c r="Y291" s="118"/>
      <c r="Z291" s="118"/>
      <c r="AA291" s="118"/>
      <c r="AB291" s="118"/>
      <c r="AC291" s="118"/>
      <c r="AD291" s="119"/>
      <c r="AE291" s="118"/>
      <c r="AF291" s="152"/>
    </row>
    <row r="292" spans="1:32" x14ac:dyDescent="0.2">
      <c r="A292" s="121">
        <v>746</v>
      </c>
      <c r="B292" s="122" t="s">
        <v>956</v>
      </c>
      <c r="C292" s="123" t="s">
        <v>429</v>
      </c>
      <c r="D292" s="123" t="s">
        <v>17</v>
      </c>
      <c r="E292" s="124" t="s">
        <v>325</v>
      </c>
      <c r="F292" s="124" t="s">
        <v>706</v>
      </c>
      <c r="G292" s="124" t="s">
        <v>1147</v>
      </c>
      <c r="H292" s="122" t="s">
        <v>8</v>
      </c>
      <c r="I292" s="123">
        <v>21.083580000000001</v>
      </c>
      <c r="J292" s="123">
        <v>-101.648144</v>
      </c>
      <c r="K292" s="122"/>
      <c r="L292" s="125" t="str">
        <f t="shared" si="11"/>
        <v>Ver en Google Maps</v>
      </c>
      <c r="M292" s="122">
        <v>1</v>
      </c>
      <c r="N292" s="130"/>
      <c r="O292" s="109"/>
      <c r="P292" s="109"/>
      <c r="Q292" s="109"/>
      <c r="R292" s="109"/>
      <c r="S292" s="109"/>
      <c r="T292" s="109"/>
      <c r="U292" s="109"/>
      <c r="V292" s="109"/>
      <c r="W292" s="109"/>
      <c r="X292" s="109"/>
      <c r="Y292" s="109"/>
      <c r="Z292" s="109"/>
      <c r="AA292" s="109"/>
      <c r="AB292" s="109"/>
      <c r="AC292" s="109"/>
      <c r="AD292" s="110"/>
      <c r="AE292" s="109"/>
      <c r="AF292" s="151"/>
    </row>
    <row r="293" spans="1:32" x14ac:dyDescent="0.2">
      <c r="A293" s="112">
        <v>747</v>
      </c>
      <c r="B293" s="113" t="s">
        <v>956</v>
      </c>
      <c r="C293" s="114" t="s">
        <v>429</v>
      </c>
      <c r="D293" s="114" t="s">
        <v>16</v>
      </c>
      <c r="E293" s="115" t="s">
        <v>326</v>
      </c>
      <c r="F293" s="115" t="s">
        <v>707</v>
      </c>
      <c r="G293" s="115" t="s">
        <v>1148</v>
      </c>
      <c r="H293" s="113" t="s">
        <v>8</v>
      </c>
      <c r="I293" s="114">
        <v>21.097518999999998</v>
      </c>
      <c r="J293" s="114">
        <v>-101.606953</v>
      </c>
      <c r="K293" s="113"/>
      <c r="L293" s="116" t="str">
        <f t="shared" si="11"/>
        <v>Ver en Google Maps</v>
      </c>
      <c r="M293" s="113">
        <v>1</v>
      </c>
      <c r="N293" s="129"/>
      <c r="O293" s="118"/>
      <c r="P293" s="118"/>
      <c r="Q293" s="118"/>
      <c r="R293" s="118"/>
      <c r="S293" s="118"/>
      <c r="T293" s="118"/>
      <c r="U293" s="118"/>
      <c r="V293" s="118"/>
      <c r="W293" s="118"/>
      <c r="X293" s="118"/>
      <c r="Y293" s="118"/>
      <c r="Z293" s="118"/>
      <c r="AA293" s="118"/>
      <c r="AB293" s="118"/>
      <c r="AC293" s="118"/>
      <c r="AD293" s="119"/>
      <c r="AE293" s="118"/>
      <c r="AF293" s="152"/>
    </row>
    <row r="294" spans="1:32" x14ac:dyDescent="0.2">
      <c r="A294" s="121">
        <v>749</v>
      </c>
      <c r="B294" s="122" t="s">
        <v>956</v>
      </c>
      <c r="C294" s="123" t="s">
        <v>429</v>
      </c>
      <c r="D294" s="123" t="s">
        <v>15</v>
      </c>
      <c r="E294" s="124" t="s">
        <v>327</v>
      </c>
      <c r="F294" s="124" t="s">
        <v>708</v>
      </c>
      <c r="G294" s="124" t="s">
        <v>1104</v>
      </c>
      <c r="H294" s="122" t="s">
        <v>8</v>
      </c>
      <c r="I294" s="123">
        <v>21.082003</v>
      </c>
      <c r="J294" s="123">
        <v>-101.62056</v>
      </c>
      <c r="K294" s="122"/>
      <c r="L294" s="125" t="str">
        <f t="shared" si="11"/>
        <v>Ver en Google Maps</v>
      </c>
      <c r="M294" s="122">
        <v>2</v>
      </c>
      <c r="N294" s="130"/>
      <c r="O294" s="109"/>
      <c r="P294" s="109"/>
      <c r="Q294" s="109"/>
      <c r="R294" s="109"/>
      <c r="S294" s="109"/>
      <c r="T294" s="109"/>
      <c r="U294" s="109"/>
      <c r="V294" s="109"/>
      <c r="W294" s="109"/>
      <c r="X294" s="109"/>
      <c r="Y294" s="109"/>
      <c r="Z294" s="109"/>
      <c r="AA294" s="109"/>
      <c r="AB294" s="109"/>
      <c r="AC294" s="109"/>
      <c r="AD294" s="110"/>
      <c r="AE294" s="109"/>
      <c r="AF294" s="151"/>
    </row>
    <row r="295" spans="1:32" x14ac:dyDescent="0.2">
      <c r="A295" s="112">
        <v>750</v>
      </c>
      <c r="B295" s="113" t="s">
        <v>956</v>
      </c>
      <c r="C295" s="114" t="s">
        <v>429</v>
      </c>
      <c r="D295" s="114" t="s">
        <v>16</v>
      </c>
      <c r="E295" s="115" t="s">
        <v>328</v>
      </c>
      <c r="F295" s="115" t="s">
        <v>709</v>
      </c>
      <c r="G295" s="115" t="s">
        <v>117</v>
      </c>
      <c r="H295" s="113" t="s">
        <v>8</v>
      </c>
      <c r="I295" s="114">
        <v>21.085061</v>
      </c>
      <c r="J295" s="114">
        <v>-101.591691</v>
      </c>
      <c r="K295" s="113"/>
      <c r="L295" s="116" t="str">
        <f t="shared" si="11"/>
        <v>Ver en Google Maps</v>
      </c>
      <c r="M295" s="113">
        <v>1</v>
      </c>
      <c r="N295" s="129"/>
      <c r="O295" s="118"/>
      <c r="P295" s="118"/>
      <c r="Q295" s="118"/>
      <c r="R295" s="118"/>
      <c r="S295" s="118"/>
      <c r="T295" s="118"/>
      <c r="U295" s="118"/>
      <c r="V295" s="118"/>
      <c r="W295" s="118"/>
      <c r="X295" s="118"/>
      <c r="Y295" s="118"/>
      <c r="Z295" s="118"/>
      <c r="AA295" s="118"/>
      <c r="AB295" s="118"/>
      <c r="AC295" s="118"/>
      <c r="AD295" s="119"/>
      <c r="AE295" s="118"/>
      <c r="AF295" s="152"/>
    </row>
    <row r="296" spans="1:32" x14ac:dyDescent="0.2">
      <c r="A296" s="121">
        <v>755</v>
      </c>
      <c r="B296" s="122" t="s">
        <v>956</v>
      </c>
      <c r="C296" s="123" t="s">
        <v>429</v>
      </c>
      <c r="D296" s="123" t="s">
        <v>15</v>
      </c>
      <c r="E296" s="124" t="s">
        <v>329</v>
      </c>
      <c r="F296" s="124" t="s">
        <v>710</v>
      </c>
      <c r="G296" s="124" t="s">
        <v>330</v>
      </c>
      <c r="H296" s="122" t="s">
        <v>8</v>
      </c>
      <c r="I296" s="123">
        <v>21.188616</v>
      </c>
      <c r="J296" s="123">
        <v>-101.764533</v>
      </c>
      <c r="K296" s="122"/>
      <c r="L296" s="125" t="str">
        <f t="shared" si="11"/>
        <v>Ver en Google Maps</v>
      </c>
      <c r="M296" s="122">
        <v>2</v>
      </c>
      <c r="N296" s="130"/>
      <c r="O296" s="109"/>
      <c r="P296" s="109"/>
      <c r="Q296" s="109"/>
      <c r="R296" s="109"/>
      <c r="S296" s="109"/>
      <c r="T296" s="109"/>
      <c r="U296" s="109"/>
      <c r="V296" s="109"/>
      <c r="W296" s="109"/>
      <c r="X296" s="109"/>
      <c r="Y296" s="109"/>
      <c r="Z296" s="109"/>
      <c r="AA296" s="109"/>
      <c r="AB296" s="109"/>
      <c r="AC296" s="109"/>
      <c r="AD296" s="110"/>
      <c r="AE296" s="109"/>
      <c r="AF296" s="151"/>
    </row>
    <row r="297" spans="1:32" x14ac:dyDescent="0.2">
      <c r="A297" s="112">
        <v>756</v>
      </c>
      <c r="B297" s="113" t="s">
        <v>956</v>
      </c>
      <c r="C297" s="114" t="s">
        <v>14</v>
      </c>
      <c r="D297" s="114" t="s">
        <v>404</v>
      </c>
      <c r="E297" s="115" t="s">
        <v>331</v>
      </c>
      <c r="F297" s="115" t="s">
        <v>711</v>
      </c>
      <c r="G297" s="115" t="s">
        <v>1149</v>
      </c>
      <c r="H297" s="113" t="s">
        <v>8</v>
      </c>
      <c r="I297" s="114">
        <v>21.12473</v>
      </c>
      <c r="J297" s="114">
        <v>-101.60183000000001</v>
      </c>
      <c r="K297" s="113"/>
      <c r="L297" s="116" t="str">
        <f t="shared" si="11"/>
        <v>Ver en Google Maps</v>
      </c>
      <c r="M297" s="113">
        <v>1</v>
      </c>
      <c r="N297" s="129"/>
      <c r="O297" s="118"/>
      <c r="P297" s="118"/>
      <c r="Q297" s="118"/>
      <c r="R297" s="118"/>
      <c r="S297" s="118"/>
      <c r="T297" s="118"/>
      <c r="U297" s="118"/>
      <c r="V297" s="118"/>
      <c r="W297" s="118"/>
      <c r="X297" s="118"/>
      <c r="Y297" s="118"/>
      <c r="Z297" s="118"/>
      <c r="AA297" s="118"/>
      <c r="AB297" s="118"/>
      <c r="AC297" s="118"/>
      <c r="AD297" s="119"/>
      <c r="AE297" s="118"/>
      <c r="AF297" s="152"/>
    </row>
    <row r="298" spans="1:32" x14ac:dyDescent="0.2">
      <c r="A298" s="121">
        <v>757</v>
      </c>
      <c r="B298" s="122" t="s">
        <v>956</v>
      </c>
      <c r="C298" s="123" t="s">
        <v>429</v>
      </c>
      <c r="D298" s="123" t="s">
        <v>16</v>
      </c>
      <c r="E298" s="124" t="s">
        <v>332</v>
      </c>
      <c r="F298" s="124" t="s">
        <v>712</v>
      </c>
      <c r="G298" s="124" t="s">
        <v>145</v>
      </c>
      <c r="H298" s="122" t="s">
        <v>8</v>
      </c>
      <c r="I298" s="123">
        <v>21.134125000000001</v>
      </c>
      <c r="J298" s="123">
        <v>-101.774197</v>
      </c>
      <c r="K298" s="122"/>
      <c r="L298" s="125" t="str">
        <f t="shared" si="11"/>
        <v>Ver en Google Maps</v>
      </c>
      <c r="M298" s="122">
        <v>1</v>
      </c>
      <c r="N298" s="130"/>
      <c r="O298" s="109"/>
      <c r="P298" s="109"/>
      <c r="Q298" s="109"/>
      <c r="R298" s="109"/>
      <c r="S298" s="109"/>
      <c r="T298" s="109"/>
      <c r="U298" s="109"/>
      <c r="V298" s="109"/>
      <c r="W298" s="109"/>
      <c r="X298" s="109"/>
      <c r="Y298" s="109"/>
      <c r="Z298" s="109"/>
      <c r="AA298" s="109"/>
      <c r="AB298" s="109"/>
      <c r="AC298" s="109"/>
      <c r="AD298" s="110"/>
      <c r="AE298" s="109"/>
      <c r="AF298" s="151"/>
    </row>
    <row r="299" spans="1:32" x14ac:dyDescent="0.2">
      <c r="A299" s="112">
        <v>758</v>
      </c>
      <c r="B299" s="113" t="s">
        <v>956</v>
      </c>
      <c r="C299" s="114" t="s">
        <v>429</v>
      </c>
      <c r="D299" s="114" t="s">
        <v>15</v>
      </c>
      <c r="E299" s="115" t="s">
        <v>333</v>
      </c>
      <c r="F299" s="115" t="s">
        <v>713</v>
      </c>
      <c r="G299" s="115" t="s">
        <v>145</v>
      </c>
      <c r="H299" s="113" t="s">
        <v>8</v>
      </c>
      <c r="I299" s="114">
        <v>21.134758000000001</v>
      </c>
      <c r="J299" s="114">
        <v>-101.774316</v>
      </c>
      <c r="K299" s="113"/>
      <c r="L299" s="116" t="str">
        <f t="shared" si="11"/>
        <v>Ver en Google Maps</v>
      </c>
      <c r="M299" s="113">
        <v>2</v>
      </c>
      <c r="N299" s="129"/>
      <c r="O299" s="118"/>
      <c r="P299" s="118"/>
      <c r="Q299" s="118"/>
      <c r="R299" s="118"/>
      <c r="S299" s="118"/>
      <c r="T299" s="118"/>
      <c r="U299" s="118"/>
      <c r="V299" s="118"/>
      <c r="W299" s="118"/>
      <c r="X299" s="118"/>
      <c r="Y299" s="118"/>
      <c r="Z299" s="118"/>
      <c r="AA299" s="118"/>
      <c r="AB299" s="118"/>
      <c r="AC299" s="118"/>
      <c r="AD299" s="119"/>
      <c r="AE299" s="118"/>
      <c r="AF299" s="152"/>
    </row>
    <row r="300" spans="1:32" x14ac:dyDescent="0.2">
      <c r="A300" s="121">
        <v>759</v>
      </c>
      <c r="B300" s="122" t="s">
        <v>956</v>
      </c>
      <c r="C300" s="123" t="s">
        <v>429</v>
      </c>
      <c r="D300" s="123" t="s">
        <v>17</v>
      </c>
      <c r="E300" s="124" t="s">
        <v>334</v>
      </c>
      <c r="F300" s="124" t="s">
        <v>714</v>
      </c>
      <c r="G300" s="124" t="s">
        <v>1150</v>
      </c>
      <c r="H300" s="122" t="s">
        <v>8</v>
      </c>
      <c r="I300" s="123">
        <v>21.070872000000001</v>
      </c>
      <c r="J300" s="123">
        <v>-101.62791900000001</v>
      </c>
      <c r="K300" s="122"/>
      <c r="L300" s="125" t="str">
        <f t="shared" si="11"/>
        <v>Ver en Google Maps</v>
      </c>
      <c r="M300" s="122">
        <v>1</v>
      </c>
      <c r="N300" s="130"/>
      <c r="O300" s="109"/>
      <c r="P300" s="109"/>
      <c r="Q300" s="109"/>
      <c r="R300" s="109"/>
      <c r="S300" s="109"/>
      <c r="T300" s="109"/>
      <c r="U300" s="109"/>
      <c r="V300" s="109"/>
      <c r="W300" s="109"/>
      <c r="X300" s="109"/>
      <c r="Y300" s="109"/>
      <c r="Z300" s="109"/>
      <c r="AA300" s="109"/>
      <c r="AB300" s="109"/>
      <c r="AC300" s="109"/>
      <c r="AD300" s="110"/>
      <c r="AE300" s="109"/>
      <c r="AF300" s="151"/>
    </row>
    <row r="301" spans="1:32" x14ac:dyDescent="0.2">
      <c r="A301" s="112">
        <v>760</v>
      </c>
      <c r="B301" s="113" t="s">
        <v>956</v>
      </c>
      <c r="C301" s="114" t="s">
        <v>429</v>
      </c>
      <c r="D301" s="114" t="s">
        <v>17</v>
      </c>
      <c r="E301" s="115" t="s">
        <v>335</v>
      </c>
      <c r="F301" s="115" t="s">
        <v>715</v>
      </c>
      <c r="G301" s="115" t="s">
        <v>1151</v>
      </c>
      <c r="H301" s="113" t="s">
        <v>8</v>
      </c>
      <c r="I301" s="114">
        <v>21.150936999999999</v>
      </c>
      <c r="J301" s="114">
        <v>-101.746589</v>
      </c>
      <c r="K301" s="113"/>
      <c r="L301" s="116" t="str">
        <f t="shared" si="11"/>
        <v>Ver en Google Maps</v>
      </c>
      <c r="M301" s="113">
        <v>1</v>
      </c>
      <c r="N301" s="129"/>
      <c r="O301" s="118"/>
      <c r="P301" s="118"/>
      <c r="Q301" s="118"/>
      <c r="R301" s="118"/>
      <c r="S301" s="118"/>
      <c r="T301" s="118"/>
      <c r="U301" s="118"/>
      <c r="V301" s="118"/>
      <c r="W301" s="118"/>
      <c r="X301" s="118"/>
      <c r="Y301" s="118"/>
      <c r="Z301" s="118"/>
      <c r="AA301" s="118"/>
      <c r="AB301" s="118"/>
      <c r="AC301" s="118"/>
      <c r="AD301" s="119"/>
      <c r="AE301" s="118"/>
      <c r="AF301" s="152"/>
    </row>
    <row r="302" spans="1:32" x14ac:dyDescent="0.2">
      <c r="A302" s="121">
        <v>761</v>
      </c>
      <c r="B302" s="122" t="s">
        <v>956</v>
      </c>
      <c r="C302" s="123" t="s">
        <v>429</v>
      </c>
      <c r="D302" s="123" t="s">
        <v>336</v>
      </c>
      <c r="E302" s="124" t="s">
        <v>716</v>
      </c>
      <c r="F302" s="124" t="s">
        <v>717</v>
      </c>
      <c r="G302" s="124" t="s">
        <v>1078</v>
      </c>
      <c r="H302" s="122" t="s">
        <v>8</v>
      </c>
      <c r="I302" s="123">
        <v>21.063869</v>
      </c>
      <c r="J302" s="123">
        <v>-101.581649</v>
      </c>
      <c r="K302" s="122"/>
      <c r="L302" s="125" t="str">
        <f t="shared" si="11"/>
        <v>Ver en Google Maps</v>
      </c>
      <c r="M302" s="122">
        <v>2</v>
      </c>
      <c r="N302" s="130"/>
      <c r="O302" s="109"/>
      <c r="P302" s="109"/>
      <c r="Q302" s="109"/>
      <c r="R302" s="109"/>
      <c r="S302" s="109"/>
      <c r="T302" s="109"/>
      <c r="U302" s="109"/>
      <c r="V302" s="109"/>
      <c r="W302" s="109"/>
      <c r="X302" s="109"/>
      <c r="Y302" s="109"/>
      <c r="Z302" s="109"/>
      <c r="AA302" s="109"/>
      <c r="AB302" s="109"/>
      <c r="AC302" s="109"/>
      <c r="AD302" s="110"/>
      <c r="AE302" s="109"/>
      <c r="AF302" s="151"/>
    </row>
    <row r="303" spans="1:32" x14ac:dyDescent="0.2">
      <c r="A303" s="112">
        <v>762</v>
      </c>
      <c r="B303" s="113" t="s">
        <v>956</v>
      </c>
      <c r="C303" s="114" t="s">
        <v>429</v>
      </c>
      <c r="D303" s="114" t="s">
        <v>17</v>
      </c>
      <c r="E303" s="115" t="s">
        <v>337</v>
      </c>
      <c r="F303" s="115" t="s">
        <v>718</v>
      </c>
      <c r="G303" s="115" t="s">
        <v>1064</v>
      </c>
      <c r="H303" s="113" t="s">
        <v>8</v>
      </c>
      <c r="I303" s="114">
        <v>21.099747000000001</v>
      </c>
      <c r="J303" s="114">
        <v>-101.576886</v>
      </c>
      <c r="K303" s="113"/>
      <c r="L303" s="116" t="str">
        <f t="shared" si="11"/>
        <v>Ver en Google Maps</v>
      </c>
      <c r="M303" s="113">
        <v>1</v>
      </c>
      <c r="N303" s="129"/>
      <c r="O303" s="118"/>
      <c r="P303" s="118"/>
      <c r="Q303" s="118"/>
      <c r="R303" s="118"/>
      <c r="S303" s="118"/>
      <c r="T303" s="118"/>
      <c r="U303" s="118"/>
      <c r="V303" s="118"/>
      <c r="W303" s="118"/>
      <c r="X303" s="118"/>
      <c r="Y303" s="118"/>
      <c r="Z303" s="118"/>
      <c r="AA303" s="118"/>
      <c r="AB303" s="118"/>
      <c r="AC303" s="118"/>
      <c r="AD303" s="119"/>
      <c r="AE303" s="118"/>
      <c r="AF303" s="152"/>
    </row>
    <row r="304" spans="1:32" x14ac:dyDescent="0.2">
      <c r="A304" s="121">
        <v>763</v>
      </c>
      <c r="B304" s="122" t="s">
        <v>956</v>
      </c>
      <c r="C304" s="123" t="s">
        <v>429</v>
      </c>
      <c r="D304" s="123" t="s">
        <v>15</v>
      </c>
      <c r="E304" s="124" t="s">
        <v>338</v>
      </c>
      <c r="F304" s="124" t="s">
        <v>719</v>
      </c>
      <c r="G304" s="124" t="s">
        <v>1151</v>
      </c>
      <c r="H304" s="122" t="s">
        <v>8</v>
      </c>
      <c r="I304" s="123">
        <v>21.152619000000001</v>
      </c>
      <c r="J304" s="123">
        <v>-101.747007</v>
      </c>
      <c r="K304" s="122"/>
      <c r="L304" s="125" t="str">
        <f t="shared" si="11"/>
        <v>Ver en Google Maps</v>
      </c>
      <c r="M304" s="122">
        <v>2</v>
      </c>
      <c r="N304" s="130"/>
      <c r="O304" s="109"/>
      <c r="P304" s="109"/>
      <c r="Q304" s="109"/>
      <c r="R304" s="109"/>
      <c r="S304" s="109"/>
      <c r="T304" s="109"/>
      <c r="U304" s="109"/>
      <c r="V304" s="109"/>
      <c r="W304" s="109"/>
      <c r="X304" s="109"/>
      <c r="Y304" s="109"/>
      <c r="Z304" s="109"/>
      <c r="AA304" s="109"/>
      <c r="AB304" s="109"/>
      <c r="AC304" s="109"/>
      <c r="AD304" s="110"/>
      <c r="AE304" s="109"/>
      <c r="AF304" s="151"/>
    </row>
    <row r="305" spans="1:32" x14ac:dyDescent="0.2">
      <c r="A305" s="112">
        <v>764</v>
      </c>
      <c r="B305" s="113" t="s">
        <v>956</v>
      </c>
      <c r="C305" s="114" t="s">
        <v>429</v>
      </c>
      <c r="D305" s="114" t="s">
        <v>15</v>
      </c>
      <c r="E305" s="115" t="s">
        <v>339</v>
      </c>
      <c r="F305" s="115" t="s">
        <v>720</v>
      </c>
      <c r="G305" s="115" t="s">
        <v>1152</v>
      </c>
      <c r="H305" s="113" t="s">
        <v>8</v>
      </c>
      <c r="I305" s="114">
        <v>21.144985999999999</v>
      </c>
      <c r="J305" s="114">
        <v>-101.652635</v>
      </c>
      <c r="K305" s="113" t="s">
        <v>139</v>
      </c>
      <c r="L305" s="116" t="str">
        <f t="shared" si="11"/>
        <v>Ver en Google Maps</v>
      </c>
      <c r="M305" s="113">
        <v>2</v>
      </c>
      <c r="N305" s="117">
        <v>45929</v>
      </c>
      <c r="O305" s="118">
        <f>DAY('BD1'!$N305)</f>
        <v>29</v>
      </c>
      <c r="P305" s="118">
        <f>MONTH('BD1'!$N305)</f>
        <v>9</v>
      </c>
      <c r="Q305" s="118">
        <f>YEAR('BD1'!$N305)</f>
        <v>2025</v>
      </c>
      <c r="R305" s="118">
        <v>1</v>
      </c>
      <c r="S305" s="118" t="s">
        <v>138</v>
      </c>
      <c r="T305" s="118" t="s">
        <v>138</v>
      </c>
      <c r="U305" s="118" t="s">
        <v>138</v>
      </c>
      <c r="V305" s="118" t="s">
        <v>138</v>
      </c>
      <c r="W305" s="118" t="s">
        <v>138</v>
      </c>
      <c r="X305" s="118" t="s">
        <v>138</v>
      </c>
      <c r="Y305" s="118" t="s">
        <v>138</v>
      </c>
      <c r="Z305" s="118" t="s">
        <v>934</v>
      </c>
      <c r="AA305" s="118">
        <v>11.7</v>
      </c>
      <c r="AB305" s="118">
        <v>12.64</v>
      </c>
      <c r="AC305" s="119" t="s">
        <v>967</v>
      </c>
      <c r="AD305" s="119" t="s">
        <v>957</v>
      </c>
      <c r="AE305" s="118">
        <f t="shared" si="12"/>
        <v>7</v>
      </c>
      <c r="AF305" s="152" t="str">
        <f t="shared" si="10"/>
        <v>Funcional con observaciones</v>
      </c>
    </row>
    <row r="306" spans="1:32" x14ac:dyDescent="0.2">
      <c r="A306" s="121">
        <v>765</v>
      </c>
      <c r="B306" s="122" t="s">
        <v>956</v>
      </c>
      <c r="C306" s="123" t="s">
        <v>429</v>
      </c>
      <c r="D306" s="123" t="s">
        <v>15</v>
      </c>
      <c r="E306" s="124" t="s">
        <v>338</v>
      </c>
      <c r="F306" s="124" t="s">
        <v>719</v>
      </c>
      <c r="G306" s="124" t="s">
        <v>300</v>
      </c>
      <c r="H306" s="122" t="s">
        <v>8</v>
      </c>
      <c r="I306" s="123">
        <v>21.152619000000001</v>
      </c>
      <c r="J306" s="123">
        <v>-101.747007</v>
      </c>
      <c r="K306" s="122"/>
      <c r="L306" s="125" t="str">
        <f t="shared" si="11"/>
        <v>Ver en Google Maps</v>
      </c>
      <c r="M306" s="122">
        <v>2</v>
      </c>
      <c r="N306" s="130"/>
      <c r="O306" s="109"/>
      <c r="P306" s="109"/>
      <c r="Q306" s="109"/>
      <c r="R306" s="109"/>
      <c r="S306" s="109"/>
      <c r="T306" s="109"/>
      <c r="U306" s="109"/>
      <c r="V306" s="109"/>
      <c r="W306" s="109"/>
      <c r="X306" s="109"/>
      <c r="Y306" s="109"/>
      <c r="Z306" s="109"/>
      <c r="AA306" s="109"/>
      <c r="AB306" s="109"/>
      <c r="AC306" s="109"/>
      <c r="AD306" s="110"/>
      <c r="AE306" s="109"/>
      <c r="AF306" s="151"/>
    </row>
    <row r="307" spans="1:32" x14ac:dyDescent="0.2">
      <c r="A307" s="112">
        <v>770</v>
      </c>
      <c r="B307" s="113" t="s">
        <v>956</v>
      </c>
      <c r="C307" s="114" t="s">
        <v>429</v>
      </c>
      <c r="D307" s="114" t="s">
        <v>17</v>
      </c>
      <c r="E307" s="115" t="s">
        <v>340</v>
      </c>
      <c r="F307" s="115" t="s">
        <v>721</v>
      </c>
      <c r="G307" s="115" t="s">
        <v>1064</v>
      </c>
      <c r="H307" s="113" t="s">
        <v>8</v>
      </c>
      <c r="I307" s="114">
        <v>21.098651</v>
      </c>
      <c r="J307" s="114">
        <v>-101.57459</v>
      </c>
      <c r="K307" s="113"/>
      <c r="L307" s="116" t="str">
        <f t="shared" si="11"/>
        <v>Ver en Google Maps</v>
      </c>
      <c r="M307" s="113">
        <v>1</v>
      </c>
      <c r="N307" s="129"/>
      <c r="O307" s="118"/>
      <c r="P307" s="118"/>
      <c r="Q307" s="118"/>
      <c r="R307" s="118"/>
      <c r="S307" s="118"/>
      <c r="T307" s="118"/>
      <c r="U307" s="118"/>
      <c r="V307" s="118"/>
      <c r="W307" s="118"/>
      <c r="X307" s="118"/>
      <c r="Y307" s="118"/>
      <c r="Z307" s="118"/>
      <c r="AA307" s="118"/>
      <c r="AB307" s="118"/>
      <c r="AC307" s="118"/>
      <c r="AD307" s="119"/>
      <c r="AE307" s="118"/>
      <c r="AF307" s="152"/>
    </row>
    <row r="308" spans="1:32" x14ac:dyDescent="0.2">
      <c r="A308" s="122">
        <v>772</v>
      </c>
      <c r="B308" s="122" t="s">
        <v>956</v>
      </c>
      <c r="C308" s="123" t="s">
        <v>429</v>
      </c>
      <c r="D308" s="123" t="s">
        <v>16</v>
      </c>
      <c r="E308" s="124" t="s">
        <v>722</v>
      </c>
      <c r="F308" s="124" t="s">
        <v>723</v>
      </c>
      <c r="G308" s="124" t="s">
        <v>330</v>
      </c>
      <c r="H308" s="122" t="s">
        <v>8</v>
      </c>
      <c r="I308" s="123">
        <v>21.183347999999999</v>
      </c>
      <c r="J308" s="123">
        <v>-101.766423</v>
      </c>
      <c r="K308" s="122"/>
      <c r="L308" s="125" t="str">
        <f t="shared" si="11"/>
        <v>Ver en Google Maps</v>
      </c>
      <c r="M308" s="122">
        <v>1</v>
      </c>
      <c r="N308" s="108"/>
      <c r="O308" s="109"/>
      <c r="P308" s="109"/>
      <c r="Q308" s="109"/>
      <c r="R308" s="109"/>
      <c r="S308" s="109"/>
      <c r="T308" s="109"/>
      <c r="U308" s="109"/>
      <c r="V308" s="109"/>
      <c r="W308" s="109"/>
      <c r="X308" s="109"/>
      <c r="Y308" s="109"/>
      <c r="Z308" s="109"/>
      <c r="AA308" s="109"/>
      <c r="AB308" s="109"/>
      <c r="AC308" s="110"/>
      <c r="AD308" s="110"/>
      <c r="AE308" s="109"/>
      <c r="AF308" s="151"/>
    </row>
    <row r="309" spans="1:32" x14ac:dyDescent="0.2">
      <c r="A309" s="112">
        <v>774</v>
      </c>
      <c r="B309" s="113" t="s">
        <v>956</v>
      </c>
      <c r="C309" s="114" t="s">
        <v>429</v>
      </c>
      <c r="D309" s="114" t="s">
        <v>16</v>
      </c>
      <c r="E309" s="115" t="s">
        <v>341</v>
      </c>
      <c r="F309" s="115" t="s">
        <v>724</v>
      </c>
      <c r="G309" s="115" t="s">
        <v>342</v>
      </c>
      <c r="H309" s="113" t="s">
        <v>8</v>
      </c>
      <c r="I309" s="114">
        <v>21.153176999999999</v>
      </c>
      <c r="J309" s="114">
        <v>-101.743584</v>
      </c>
      <c r="K309" s="113"/>
      <c r="L309" s="116" t="str">
        <f t="shared" si="11"/>
        <v>Ver en Google Maps</v>
      </c>
      <c r="M309" s="113">
        <v>1</v>
      </c>
      <c r="N309" s="129"/>
      <c r="O309" s="118"/>
      <c r="P309" s="118"/>
      <c r="Q309" s="118"/>
      <c r="R309" s="118"/>
      <c r="S309" s="118"/>
      <c r="T309" s="118"/>
      <c r="U309" s="118"/>
      <c r="V309" s="118"/>
      <c r="W309" s="118"/>
      <c r="X309" s="118"/>
      <c r="Y309" s="118"/>
      <c r="Z309" s="118"/>
      <c r="AA309" s="118"/>
      <c r="AB309" s="118"/>
      <c r="AC309" s="118"/>
      <c r="AD309" s="119"/>
      <c r="AE309" s="118"/>
      <c r="AF309" s="152"/>
    </row>
    <row r="310" spans="1:32" x14ac:dyDescent="0.2">
      <c r="A310" s="121">
        <v>780</v>
      </c>
      <c r="B310" s="122" t="s">
        <v>956</v>
      </c>
      <c r="C310" s="123" t="s">
        <v>429</v>
      </c>
      <c r="D310" s="123" t="s">
        <v>16</v>
      </c>
      <c r="E310" s="124" t="s">
        <v>343</v>
      </c>
      <c r="F310" s="124" t="s">
        <v>725</v>
      </c>
      <c r="G310" s="124" t="s">
        <v>1134</v>
      </c>
      <c r="H310" s="122" t="s">
        <v>8</v>
      </c>
      <c r="I310" s="123">
        <v>21.153790000000001</v>
      </c>
      <c r="J310" s="123">
        <v>-101.73441</v>
      </c>
      <c r="K310" s="122"/>
      <c r="L310" s="125" t="str">
        <f t="shared" si="11"/>
        <v>Ver en Google Maps</v>
      </c>
      <c r="M310" s="122">
        <v>1</v>
      </c>
      <c r="N310" s="130"/>
      <c r="O310" s="109"/>
      <c r="P310" s="109"/>
      <c r="Q310" s="109"/>
      <c r="R310" s="109"/>
      <c r="S310" s="109"/>
      <c r="T310" s="109"/>
      <c r="U310" s="109"/>
      <c r="V310" s="109"/>
      <c r="W310" s="109"/>
      <c r="X310" s="109"/>
      <c r="Y310" s="109"/>
      <c r="Z310" s="109"/>
      <c r="AA310" s="109"/>
      <c r="AB310" s="109"/>
      <c r="AC310" s="109"/>
      <c r="AD310" s="110"/>
      <c r="AE310" s="109"/>
      <c r="AF310" s="151"/>
    </row>
    <row r="311" spans="1:32" x14ac:dyDescent="0.2">
      <c r="A311" s="112">
        <v>781</v>
      </c>
      <c r="B311" s="113" t="s">
        <v>956</v>
      </c>
      <c r="C311" s="114" t="s">
        <v>429</v>
      </c>
      <c r="D311" s="114" t="s">
        <v>16</v>
      </c>
      <c r="E311" s="115" t="s">
        <v>344</v>
      </c>
      <c r="F311" s="115" t="s">
        <v>726</v>
      </c>
      <c r="G311" s="115" t="s">
        <v>1153</v>
      </c>
      <c r="H311" s="113" t="s">
        <v>8</v>
      </c>
      <c r="I311" s="114">
        <v>21.081939999999999</v>
      </c>
      <c r="J311" s="114">
        <v>-101.64836</v>
      </c>
      <c r="K311" s="113"/>
      <c r="L311" s="116" t="str">
        <f t="shared" si="11"/>
        <v>Ver en Google Maps</v>
      </c>
      <c r="M311" s="113">
        <v>1</v>
      </c>
      <c r="N311" s="129"/>
      <c r="O311" s="118"/>
      <c r="P311" s="118"/>
      <c r="Q311" s="118"/>
      <c r="R311" s="118"/>
      <c r="S311" s="118"/>
      <c r="T311" s="118"/>
      <c r="U311" s="118"/>
      <c r="V311" s="118"/>
      <c r="W311" s="118"/>
      <c r="X311" s="118"/>
      <c r="Y311" s="118"/>
      <c r="Z311" s="118"/>
      <c r="AA311" s="118"/>
      <c r="AB311" s="118"/>
      <c r="AC311" s="118"/>
      <c r="AD311" s="119"/>
      <c r="AE311" s="118"/>
      <c r="AF311" s="152"/>
    </row>
    <row r="312" spans="1:32" x14ac:dyDescent="0.2">
      <c r="A312" s="121">
        <v>782</v>
      </c>
      <c r="B312" s="122" t="s">
        <v>956</v>
      </c>
      <c r="C312" s="123" t="s">
        <v>429</v>
      </c>
      <c r="D312" s="123" t="s">
        <v>17</v>
      </c>
      <c r="E312" s="124" t="s">
        <v>345</v>
      </c>
      <c r="F312" s="124" t="s">
        <v>727</v>
      </c>
      <c r="G312" s="124" t="s">
        <v>22</v>
      </c>
      <c r="H312" s="122" t="s">
        <v>8</v>
      </c>
      <c r="I312" s="123">
        <v>21.101130000000001</v>
      </c>
      <c r="J312" s="123">
        <v>-101.58607000000001</v>
      </c>
      <c r="K312" s="122"/>
      <c r="L312" s="125" t="str">
        <f t="shared" si="11"/>
        <v>Ver en Google Maps</v>
      </c>
      <c r="M312" s="122">
        <v>1</v>
      </c>
      <c r="N312" s="130"/>
      <c r="O312" s="109"/>
      <c r="P312" s="109"/>
      <c r="Q312" s="109"/>
      <c r="R312" s="109"/>
      <c r="S312" s="109"/>
      <c r="T312" s="109"/>
      <c r="U312" s="109"/>
      <c r="V312" s="109"/>
      <c r="W312" s="109"/>
      <c r="X312" s="109"/>
      <c r="Y312" s="109"/>
      <c r="Z312" s="109"/>
      <c r="AA312" s="109"/>
      <c r="AB312" s="109"/>
      <c r="AC312" s="109"/>
      <c r="AD312" s="110"/>
      <c r="AE312" s="109"/>
      <c r="AF312" s="151"/>
    </row>
    <row r="313" spans="1:32" x14ac:dyDescent="0.2">
      <c r="A313" s="112">
        <v>783</v>
      </c>
      <c r="B313" s="113" t="s">
        <v>956</v>
      </c>
      <c r="C313" s="114" t="s">
        <v>429</v>
      </c>
      <c r="D313" s="114" t="s">
        <v>16</v>
      </c>
      <c r="E313" s="115" t="s">
        <v>346</v>
      </c>
      <c r="F313" s="115" t="s">
        <v>728</v>
      </c>
      <c r="G313" s="115" t="s">
        <v>22</v>
      </c>
      <c r="H313" s="113" t="s">
        <v>8</v>
      </c>
      <c r="I313" s="114">
        <v>21.093223999999999</v>
      </c>
      <c r="J313" s="114">
        <v>-101.587727</v>
      </c>
      <c r="K313" s="113"/>
      <c r="L313" s="116" t="str">
        <f t="shared" si="11"/>
        <v>Ver en Google Maps</v>
      </c>
      <c r="M313" s="113">
        <v>1</v>
      </c>
      <c r="N313" s="129"/>
      <c r="O313" s="118"/>
      <c r="P313" s="118"/>
      <c r="Q313" s="118"/>
      <c r="R313" s="118"/>
      <c r="S313" s="118"/>
      <c r="T313" s="118"/>
      <c r="U313" s="118"/>
      <c r="V313" s="118"/>
      <c r="W313" s="118"/>
      <c r="X313" s="118"/>
      <c r="Y313" s="118"/>
      <c r="Z313" s="118"/>
      <c r="AA313" s="118"/>
      <c r="AB313" s="118"/>
      <c r="AC313" s="118"/>
      <c r="AD313" s="119"/>
      <c r="AE313" s="118"/>
      <c r="AF313" s="152"/>
    </row>
    <row r="314" spans="1:32" x14ac:dyDescent="0.2">
      <c r="A314" s="121">
        <v>786</v>
      </c>
      <c r="B314" s="122" t="s">
        <v>956</v>
      </c>
      <c r="C314" s="123" t="s">
        <v>429</v>
      </c>
      <c r="D314" s="123" t="s">
        <v>132</v>
      </c>
      <c r="E314" s="124" t="s">
        <v>347</v>
      </c>
      <c r="F314" s="124" t="s">
        <v>729</v>
      </c>
      <c r="G314" s="124" t="s">
        <v>1149</v>
      </c>
      <c r="H314" s="122" t="s">
        <v>8</v>
      </c>
      <c r="I314" s="123">
        <v>21.12501</v>
      </c>
      <c r="J314" s="123">
        <v>-101.59496</v>
      </c>
      <c r="K314" s="122"/>
      <c r="L314" s="125" t="str">
        <f t="shared" si="11"/>
        <v>Ver en Google Maps</v>
      </c>
      <c r="M314" s="122">
        <v>2</v>
      </c>
      <c r="N314" s="130"/>
      <c r="O314" s="109"/>
      <c r="P314" s="109"/>
      <c r="Q314" s="109"/>
      <c r="R314" s="109"/>
      <c r="S314" s="109"/>
      <c r="T314" s="109"/>
      <c r="U314" s="109"/>
      <c r="V314" s="109"/>
      <c r="W314" s="109"/>
      <c r="X314" s="109"/>
      <c r="Y314" s="109"/>
      <c r="Z314" s="109"/>
      <c r="AA314" s="109"/>
      <c r="AB314" s="109"/>
      <c r="AC314" s="109"/>
      <c r="AD314" s="110"/>
      <c r="AE314" s="109"/>
      <c r="AF314" s="151"/>
    </row>
    <row r="315" spans="1:32" x14ac:dyDescent="0.2">
      <c r="A315" s="112">
        <v>791</v>
      </c>
      <c r="B315" s="113" t="s">
        <v>956</v>
      </c>
      <c r="C315" s="114" t="s">
        <v>429</v>
      </c>
      <c r="D315" s="114" t="s">
        <v>132</v>
      </c>
      <c r="E315" s="115" t="s">
        <v>730</v>
      </c>
      <c r="F315" s="115" t="s">
        <v>731</v>
      </c>
      <c r="G315" s="115" t="s">
        <v>1126</v>
      </c>
      <c r="H315" s="113" t="s">
        <v>8</v>
      </c>
      <c r="I315" s="114">
        <v>21.066155999999999</v>
      </c>
      <c r="J315" s="114">
        <v>-101.624369</v>
      </c>
      <c r="K315" s="113"/>
      <c r="L315" s="116" t="str">
        <f t="shared" si="11"/>
        <v>Ver en Google Maps</v>
      </c>
      <c r="M315" s="113">
        <v>2</v>
      </c>
      <c r="N315" s="129"/>
      <c r="O315" s="118"/>
      <c r="P315" s="118"/>
      <c r="Q315" s="118"/>
      <c r="R315" s="118"/>
      <c r="S315" s="118"/>
      <c r="T315" s="118"/>
      <c r="U315" s="118"/>
      <c r="V315" s="118"/>
      <c r="W315" s="118"/>
      <c r="X315" s="118"/>
      <c r="Y315" s="118"/>
      <c r="Z315" s="118"/>
      <c r="AA315" s="118"/>
      <c r="AB315" s="118"/>
      <c r="AC315" s="118"/>
      <c r="AD315" s="119"/>
      <c r="AE315" s="118"/>
      <c r="AF315" s="152"/>
    </row>
    <row r="316" spans="1:32" x14ac:dyDescent="0.2">
      <c r="A316" s="121">
        <v>792</v>
      </c>
      <c r="B316" s="122" t="s">
        <v>956</v>
      </c>
      <c r="C316" s="123" t="s">
        <v>429</v>
      </c>
      <c r="D316" s="123" t="s">
        <v>132</v>
      </c>
      <c r="E316" s="124" t="s">
        <v>732</v>
      </c>
      <c r="F316" s="124" t="s">
        <v>733</v>
      </c>
      <c r="G316" s="124" t="s">
        <v>1098</v>
      </c>
      <c r="H316" s="122" t="s">
        <v>8</v>
      </c>
      <c r="I316" s="123">
        <v>21.172366</v>
      </c>
      <c r="J316" s="123">
        <v>-101.760802</v>
      </c>
      <c r="K316" s="122"/>
      <c r="L316" s="125" t="str">
        <f t="shared" si="11"/>
        <v>Ver en Google Maps</v>
      </c>
      <c r="M316" s="122">
        <v>2</v>
      </c>
      <c r="N316" s="130"/>
      <c r="O316" s="109"/>
      <c r="P316" s="109"/>
      <c r="Q316" s="109"/>
      <c r="R316" s="109"/>
      <c r="S316" s="109"/>
      <c r="T316" s="109"/>
      <c r="U316" s="109"/>
      <c r="V316" s="109"/>
      <c r="W316" s="109"/>
      <c r="X316" s="109"/>
      <c r="Y316" s="109"/>
      <c r="Z316" s="109"/>
      <c r="AA316" s="109"/>
      <c r="AB316" s="109"/>
      <c r="AC316" s="109"/>
      <c r="AD316" s="110"/>
      <c r="AE316" s="109"/>
      <c r="AF316" s="151"/>
    </row>
    <row r="317" spans="1:32" x14ac:dyDescent="0.2">
      <c r="A317" s="112">
        <v>794</v>
      </c>
      <c r="B317" s="113" t="s">
        <v>956</v>
      </c>
      <c r="C317" s="114" t="s">
        <v>429</v>
      </c>
      <c r="D317" s="114" t="s">
        <v>132</v>
      </c>
      <c r="E317" s="115" t="s">
        <v>348</v>
      </c>
      <c r="F317" s="115" t="s">
        <v>734</v>
      </c>
      <c r="G317" s="115" t="s">
        <v>1154</v>
      </c>
      <c r="H317" s="113" t="s">
        <v>8</v>
      </c>
      <c r="I317" s="114">
        <v>21.097061</v>
      </c>
      <c r="J317" s="114">
        <v>-101.620058</v>
      </c>
      <c r="K317" s="113"/>
      <c r="L317" s="116" t="str">
        <f t="shared" si="11"/>
        <v>Ver en Google Maps</v>
      </c>
      <c r="M317" s="113">
        <v>2</v>
      </c>
      <c r="N317" s="129"/>
      <c r="O317" s="118"/>
      <c r="P317" s="118"/>
      <c r="Q317" s="118"/>
      <c r="R317" s="118"/>
      <c r="S317" s="118"/>
      <c r="T317" s="118"/>
      <c r="U317" s="118"/>
      <c r="V317" s="118"/>
      <c r="W317" s="118"/>
      <c r="X317" s="118"/>
      <c r="Y317" s="118"/>
      <c r="Z317" s="118"/>
      <c r="AA317" s="118"/>
      <c r="AB317" s="118"/>
      <c r="AC317" s="118"/>
      <c r="AD317" s="119"/>
      <c r="AE317" s="118"/>
      <c r="AF317" s="152"/>
    </row>
    <row r="318" spans="1:32" x14ac:dyDescent="0.2">
      <c r="A318" s="121">
        <v>802</v>
      </c>
      <c r="B318" s="122" t="s">
        <v>956</v>
      </c>
      <c r="C318" s="123" t="s">
        <v>14</v>
      </c>
      <c r="D318" s="123" t="s">
        <v>735</v>
      </c>
      <c r="E318" s="124" t="s">
        <v>736</v>
      </c>
      <c r="F318" s="124" t="s">
        <v>737</v>
      </c>
      <c r="G318" s="124" t="s">
        <v>980</v>
      </c>
      <c r="H318" s="122" t="s">
        <v>8</v>
      </c>
      <c r="I318" s="123">
        <v>21.12846</v>
      </c>
      <c r="J318" s="123">
        <v>-101.7437</v>
      </c>
      <c r="K318" s="122"/>
      <c r="L318" s="125" t="str">
        <f t="shared" si="11"/>
        <v>Ver en Google Maps</v>
      </c>
      <c r="M318" s="122">
        <v>2</v>
      </c>
      <c r="N318" s="130"/>
      <c r="O318" s="109"/>
      <c r="P318" s="109"/>
      <c r="Q318" s="109"/>
      <c r="R318" s="109"/>
      <c r="S318" s="109"/>
      <c r="T318" s="109"/>
      <c r="U318" s="109"/>
      <c r="V318" s="109"/>
      <c r="W318" s="109"/>
      <c r="X318" s="109"/>
      <c r="Y318" s="109"/>
      <c r="Z318" s="109"/>
      <c r="AA318" s="109"/>
      <c r="AB318" s="109"/>
      <c r="AC318" s="109"/>
      <c r="AD318" s="110"/>
      <c r="AE318" s="109"/>
      <c r="AF318" s="151"/>
    </row>
    <row r="319" spans="1:32" x14ac:dyDescent="0.2">
      <c r="A319" s="112">
        <v>804</v>
      </c>
      <c r="B319" s="113" t="s">
        <v>956</v>
      </c>
      <c r="C319" s="114" t="s">
        <v>429</v>
      </c>
      <c r="D319" s="114" t="s">
        <v>336</v>
      </c>
      <c r="E319" s="115" t="s">
        <v>349</v>
      </c>
      <c r="F319" s="115" t="s">
        <v>738</v>
      </c>
      <c r="G319" s="115" t="s">
        <v>367</v>
      </c>
      <c r="H319" s="113" t="s">
        <v>8</v>
      </c>
      <c r="I319" s="114">
        <v>21.109179999999999</v>
      </c>
      <c r="J319" s="114">
        <v>-101.62747</v>
      </c>
      <c r="K319" s="113" t="s">
        <v>139</v>
      </c>
      <c r="L319" s="116" t="str">
        <f t="shared" si="11"/>
        <v>Ver en Google Maps</v>
      </c>
      <c r="M319" s="113">
        <v>2</v>
      </c>
      <c r="N319" s="117">
        <v>45934</v>
      </c>
      <c r="O319" s="118">
        <f>DAY('BD1'!$N319)</f>
        <v>4</v>
      </c>
      <c r="P319" s="118">
        <f>MONTH('BD1'!$N319)</f>
        <v>10</v>
      </c>
      <c r="Q319" s="118">
        <f>YEAR('BD1'!$N319)</f>
        <v>2025</v>
      </c>
      <c r="R319" s="118">
        <v>1</v>
      </c>
      <c r="S319" s="118" t="s">
        <v>138</v>
      </c>
      <c r="T319" s="118" t="s">
        <v>138</v>
      </c>
      <c r="U319" s="118" t="s">
        <v>138</v>
      </c>
      <c r="V319" s="118" t="s">
        <v>138</v>
      </c>
      <c r="W319" s="118" t="s">
        <v>138</v>
      </c>
      <c r="X319" s="118" t="s">
        <v>138</v>
      </c>
      <c r="Y319" s="118" t="s">
        <v>138</v>
      </c>
      <c r="Z319" s="118" t="s">
        <v>138</v>
      </c>
      <c r="AA319" s="118">
        <v>19.7</v>
      </c>
      <c r="AB319" s="118">
        <v>14.1</v>
      </c>
      <c r="AC319" s="119" t="s">
        <v>967</v>
      </c>
      <c r="AD319" s="119" t="s">
        <v>957</v>
      </c>
      <c r="AE319" s="118">
        <f t="shared" si="12"/>
        <v>8</v>
      </c>
      <c r="AF319" s="152" t="str">
        <f t="shared" si="10"/>
        <v>Estable</v>
      </c>
    </row>
    <row r="320" spans="1:32" x14ac:dyDescent="0.2">
      <c r="A320" s="121">
        <v>805</v>
      </c>
      <c r="B320" s="122" t="s">
        <v>956</v>
      </c>
      <c r="C320" s="123" t="s">
        <v>350</v>
      </c>
      <c r="D320" s="123" t="s">
        <v>404</v>
      </c>
      <c r="E320" s="124" t="s">
        <v>351</v>
      </c>
      <c r="F320" s="124" t="s">
        <v>739</v>
      </c>
      <c r="G320" s="124" t="s">
        <v>1155</v>
      </c>
      <c r="H320" s="122" t="s">
        <v>8</v>
      </c>
      <c r="I320" s="123">
        <v>21.080459999999999</v>
      </c>
      <c r="J320" s="123">
        <v>-101.65129</v>
      </c>
      <c r="K320" s="122"/>
      <c r="L320" s="125" t="str">
        <f t="shared" si="11"/>
        <v>Ver en Google Maps</v>
      </c>
      <c r="M320" s="122">
        <v>1</v>
      </c>
      <c r="N320" s="130"/>
      <c r="O320" s="109"/>
      <c r="P320" s="109"/>
      <c r="Q320" s="109"/>
      <c r="R320" s="109"/>
      <c r="S320" s="109"/>
      <c r="T320" s="109"/>
      <c r="U320" s="109"/>
      <c r="V320" s="109"/>
      <c r="W320" s="109"/>
      <c r="X320" s="109"/>
      <c r="Y320" s="109"/>
      <c r="Z320" s="109"/>
      <c r="AA320" s="109"/>
      <c r="AB320" s="109"/>
      <c r="AC320" s="109"/>
      <c r="AD320" s="110"/>
      <c r="AE320" s="109"/>
      <c r="AF320" s="151"/>
    </row>
    <row r="321" spans="1:32" x14ac:dyDescent="0.2">
      <c r="A321" s="112">
        <v>806</v>
      </c>
      <c r="B321" s="113" t="s">
        <v>956</v>
      </c>
      <c r="C321" s="114" t="s">
        <v>350</v>
      </c>
      <c r="D321" s="114" t="s">
        <v>404</v>
      </c>
      <c r="E321" s="115" t="s">
        <v>352</v>
      </c>
      <c r="F321" s="115" t="s">
        <v>740</v>
      </c>
      <c r="G321" s="115" t="s">
        <v>121</v>
      </c>
      <c r="H321" s="113" t="s">
        <v>8</v>
      </c>
      <c r="I321" s="114">
        <v>21.10202</v>
      </c>
      <c r="J321" s="114">
        <v>-101.61261</v>
      </c>
      <c r="K321" s="113"/>
      <c r="L321" s="116" t="str">
        <f t="shared" si="11"/>
        <v>Ver en Google Maps</v>
      </c>
      <c r="M321" s="113">
        <v>1</v>
      </c>
      <c r="N321" s="129"/>
      <c r="O321" s="118"/>
      <c r="P321" s="118"/>
      <c r="Q321" s="118"/>
      <c r="R321" s="118"/>
      <c r="S321" s="118"/>
      <c r="T321" s="118"/>
      <c r="U321" s="118"/>
      <c r="V321" s="118"/>
      <c r="W321" s="118"/>
      <c r="X321" s="118"/>
      <c r="Y321" s="118"/>
      <c r="Z321" s="118"/>
      <c r="AA321" s="118"/>
      <c r="AB321" s="118"/>
      <c r="AC321" s="118"/>
      <c r="AD321" s="119"/>
      <c r="AE321" s="118"/>
      <c r="AF321" s="152"/>
    </row>
    <row r="322" spans="1:32" x14ac:dyDescent="0.2">
      <c r="A322" s="121">
        <v>807</v>
      </c>
      <c r="B322" s="122" t="s">
        <v>956</v>
      </c>
      <c r="C322" s="123" t="s">
        <v>429</v>
      </c>
      <c r="D322" s="123" t="s">
        <v>17</v>
      </c>
      <c r="E322" s="124" t="s">
        <v>353</v>
      </c>
      <c r="F322" s="124" t="s">
        <v>741</v>
      </c>
      <c r="G322" s="124" t="s">
        <v>1134</v>
      </c>
      <c r="H322" s="122" t="s">
        <v>8</v>
      </c>
      <c r="I322" s="123">
        <v>21.152963</v>
      </c>
      <c r="J322" s="123">
        <v>-101.737101</v>
      </c>
      <c r="K322" s="122"/>
      <c r="L322" s="125" t="str">
        <f t="shared" si="11"/>
        <v>Ver en Google Maps</v>
      </c>
      <c r="M322" s="122">
        <v>1</v>
      </c>
      <c r="N322" s="130"/>
      <c r="O322" s="109"/>
      <c r="P322" s="109"/>
      <c r="Q322" s="109"/>
      <c r="R322" s="109"/>
      <c r="S322" s="109"/>
      <c r="T322" s="109"/>
      <c r="U322" s="109"/>
      <c r="V322" s="109"/>
      <c r="W322" s="109"/>
      <c r="X322" s="109"/>
      <c r="Y322" s="109"/>
      <c r="Z322" s="109"/>
      <c r="AA322" s="109"/>
      <c r="AB322" s="109"/>
      <c r="AC322" s="109"/>
      <c r="AD322" s="110"/>
      <c r="AE322" s="109"/>
      <c r="AF322" s="151"/>
    </row>
    <row r="323" spans="1:32" x14ac:dyDescent="0.2">
      <c r="A323" s="112">
        <v>808</v>
      </c>
      <c r="B323" s="113" t="s">
        <v>956</v>
      </c>
      <c r="C323" s="114" t="s">
        <v>350</v>
      </c>
      <c r="D323" s="114" t="s">
        <v>404</v>
      </c>
      <c r="E323" s="115" t="s">
        <v>354</v>
      </c>
      <c r="F323" s="115" t="s">
        <v>742</v>
      </c>
      <c r="G323" s="115" t="s">
        <v>1156</v>
      </c>
      <c r="H323" s="113" t="s">
        <v>8</v>
      </c>
      <c r="I323" s="114">
        <v>21.082795000000001</v>
      </c>
      <c r="J323" s="114">
        <v>-101.627707</v>
      </c>
      <c r="K323" s="113"/>
      <c r="L323" s="116" t="str">
        <f t="shared" ref="L323:L386" si="13">HYPERLINK("https://www.google.com/maps?q=" &amp; I323 &amp; "," &amp; J323, "Ver en Google Maps")</f>
        <v>Ver en Google Maps</v>
      </c>
      <c r="M323" s="113">
        <v>1</v>
      </c>
      <c r="N323" s="129"/>
      <c r="O323" s="118"/>
      <c r="P323" s="118"/>
      <c r="Q323" s="118"/>
      <c r="R323" s="118"/>
      <c r="S323" s="118"/>
      <c r="T323" s="118"/>
      <c r="U323" s="118"/>
      <c r="V323" s="118"/>
      <c r="W323" s="118"/>
      <c r="X323" s="118"/>
      <c r="Y323" s="118"/>
      <c r="Z323" s="118"/>
      <c r="AA323" s="118"/>
      <c r="AB323" s="118"/>
      <c r="AC323" s="118"/>
      <c r="AD323" s="119"/>
      <c r="AE323" s="118"/>
      <c r="AF323" s="152"/>
    </row>
    <row r="324" spans="1:32" x14ac:dyDescent="0.2">
      <c r="A324" s="121">
        <v>811</v>
      </c>
      <c r="B324" s="122" t="s">
        <v>956</v>
      </c>
      <c r="C324" s="123" t="s">
        <v>429</v>
      </c>
      <c r="D324" s="123" t="s">
        <v>16</v>
      </c>
      <c r="E324" s="124" t="s">
        <v>355</v>
      </c>
      <c r="F324" s="124" t="s">
        <v>743</v>
      </c>
      <c r="G324" s="124" t="s">
        <v>1139</v>
      </c>
      <c r="H324" s="122" t="s">
        <v>8</v>
      </c>
      <c r="I324" s="123">
        <v>21.1328</v>
      </c>
      <c r="J324" s="123">
        <v>-101.649</v>
      </c>
      <c r="K324" s="122" t="s">
        <v>139</v>
      </c>
      <c r="L324" s="125" t="str">
        <f t="shared" si="13"/>
        <v>Ver en Google Maps</v>
      </c>
      <c r="M324" s="122">
        <v>1</v>
      </c>
      <c r="N324" s="108">
        <v>45931</v>
      </c>
      <c r="O324" s="109">
        <f>DAY('BD1'!$N324)</f>
        <v>1</v>
      </c>
      <c r="P324" s="109">
        <f>MONTH('BD1'!$N324)</f>
        <v>10</v>
      </c>
      <c r="Q324" s="109">
        <f>YEAR('BD1'!$N324)</f>
        <v>2025</v>
      </c>
      <c r="R324" s="109">
        <v>1</v>
      </c>
      <c r="S324" s="109" t="s">
        <v>138</v>
      </c>
      <c r="T324" s="109" t="s">
        <v>138</v>
      </c>
      <c r="U324" s="109" t="s">
        <v>138</v>
      </c>
      <c r="V324" s="109" t="s">
        <v>138</v>
      </c>
      <c r="W324" s="109" t="s">
        <v>138</v>
      </c>
      <c r="X324" s="109" t="s">
        <v>138</v>
      </c>
      <c r="Y324" s="109" t="s">
        <v>138</v>
      </c>
      <c r="Z324" s="109" t="s">
        <v>138</v>
      </c>
      <c r="AA324" s="109">
        <v>26.46</v>
      </c>
      <c r="AB324" s="109">
        <v>16.989999999999998</v>
      </c>
      <c r="AC324" s="110" t="s">
        <v>967</v>
      </c>
      <c r="AD324" s="110" t="s">
        <v>957</v>
      </c>
      <c r="AE324" s="109">
        <f t="shared" ref="AE324:AE385" si="14">COUNTIF(S324:Z324, "si")</f>
        <v>8</v>
      </c>
      <c r="AF324" s="151" t="str">
        <f t="shared" ref="AF322:AF385" si="15">IF(AE324=8,"Estable",(IF(AE324=7,"Funcional con observaciones", (IF(AE324=6,"Funcional con observaciones",(IF(AE324=5,"Rendimiento bajo",(IF(AE324=4,"Parcialmente funcional",(IF(AE324=3,"Parcialmente funcional",(IF(AE324=2,"Inoperativo",(IF(AE324=1,"Inoperativo","Crítico")))))))))))))))</f>
        <v>Estable</v>
      </c>
    </row>
    <row r="325" spans="1:32" x14ac:dyDescent="0.2">
      <c r="A325" s="112">
        <v>812</v>
      </c>
      <c r="B325" s="113" t="s">
        <v>956</v>
      </c>
      <c r="C325" s="114" t="s">
        <v>429</v>
      </c>
      <c r="D325" s="114" t="s">
        <v>15</v>
      </c>
      <c r="E325" s="115" t="s">
        <v>133</v>
      </c>
      <c r="F325" s="115" t="s">
        <v>744</v>
      </c>
      <c r="G325" s="115" t="s">
        <v>1157</v>
      </c>
      <c r="H325" s="113" t="s">
        <v>8</v>
      </c>
      <c r="I325" s="114">
        <v>21.123100000000001</v>
      </c>
      <c r="J325" s="114">
        <v>-101.661</v>
      </c>
      <c r="K325" s="113" t="s">
        <v>139</v>
      </c>
      <c r="L325" s="116" t="str">
        <f t="shared" si="13"/>
        <v>Ver en Google Maps</v>
      </c>
      <c r="M325" s="113">
        <v>2</v>
      </c>
      <c r="N325" s="117">
        <v>45939</v>
      </c>
      <c r="O325" s="118">
        <f>DAY('BD1'!$N325)</f>
        <v>9</v>
      </c>
      <c r="P325" s="118">
        <f>MONTH('BD1'!$N325)</f>
        <v>10</v>
      </c>
      <c r="Q325" s="118">
        <f>YEAR('BD1'!$N325)</f>
        <v>2025</v>
      </c>
      <c r="R325" s="118">
        <v>1</v>
      </c>
      <c r="S325" s="118" t="s">
        <v>138</v>
      </c>
      <c r="T325" s="118" t="s">
        <v>138</v>
      </c>
      <c r="U325" s="118" t="s">
        <v>138</v>
      </c>
      <c r="V325" s="118" t="s">
        <v>138</v>
      </c>
      <c r="W325" s="118" t="s">
        <v>138</v>
      </c>
      <c r="X325" s="118" t="s">
        <v>138</v>
      </c>
      <c r="Y325" s="118" t="s">
        <v>138</v>
      </c>
      <c r="Z325" s="118" t="s">
        <v>138</v>
      </c>
      <c r="AA325" s="118">
        <v>45.07</v>
      </c>
      <c r="AB325" s="118">
        <v>31.59</v>
      </c>
      <c r="AC325" s="119" t="s">
        <v>967</v>
      </c>
      <c r="AD325" s="119" t="s">
        <v>957</v>
      </c>
      <c r="AE325" s="118">
        <f t="shared" si="14"/>
        <v>8</v>
      </c>
      <c r="AF325" s="152" t="str">
        <f t="shared" si="15"/>
        <v>Estable</v>
      </c>
    </row>
    <row r="326" spans="1:32" x14ac:dyDescent="0.2">
      <c r="A326" s="121">
        <v>821</v>
      </c>
      <c r="B326" s="122" t="s">
        <v>956</v>
      </c>
      <c r="C326" s="123" t="s">
        <v>429</v>
      </c>
      <c r="D326" s="123" t="s">
        <v>17</v>
      </c>
      <c r="E326" s="124" t="s">
        <v>356</v>
      </c>
      <c r="F326" s="124" t="s">
        <v>745</v>
      </c>
      <c r="G326" s="124" t="s">
        <v>1158</v>
      </c>
      <c r="H326" s="122" t="s">
        <v>8</v>
      </c>
      <c r="I326" s="123">
        <v>21.134499999999999</v>
      </c>
      <c r="J326" s="123">
        <v>-101.645</v>
      </c>
      <c r="K326" s="122" t="s">
        <v>139</v>
      </c>
      <c r="L326" s="125" t="str">
        <f t="shared" si="13"/>
        <v>Ver en Google Maps</v>
      </c>
      <c r="M326" s="122">
        <v>1</v>
      </c>
      <c r="N326" s="108">
        <v>45931</v>
      </c>
      <c r="O326" s="109">
        <f>DAY('BD1'!$N326)</f>
        <v>1</v>
      </c>
      <c r="P326" s="109">
        <f>MONTH('BD1'!$N326)</f>
        <v>10</v>
      </c>
      <c r="Q326" s="109">
        <f>YEAR('BD1'!$N326)</f>
        <v>2025</v>
      </c>
      <c r="R326" s="109">
        <v>1</v>
      </c>
      <c r="S326" s="109" t="s">
        <v>138</v>
      </c>
      <c r="T326" s="109" t="s">
        <v>138</v>
      </c>
      <c r="U326" s="109" t="s">
        <v>138</v>
      </c>
      <c r="V326" s="109" t="s">
        <v>138</v>
      </c>
      <c r="W326" s="109" t="s">
        <v>138</v>
      </c>
      <c r="X326" s="109" t="s">
        <v>138</v>
      </c>
      <c r="Y326" s="109" t="s">
        <v>138</v>
      </c>
      <c r="Z326" s="109" t="s">
        <v>138</v>
      </c>
      <c r="AA326" s="109">
        <v>79.7</v>
      </c>
      <c r="AB326" s="109">
        <v>80.42</v>
      </c>
      <c r="AC326" s="110" t="s">
        <v>967</v>
      </c>
      <c r="AD326" s="110" t="s">
        <v>957</v>
      </c>
      <c r="AE326" s="109">
        <f t="shared" si="14"/>
        <v>8</v>
      </c>
      <c r="AF326" s="151" t="str">
        <f t="shared" si="15"/>
        <v>Estable</v>
      </c>
    </row>
    <row r="327" spans="1:32" x14ac:dyDescent="0.2">
      <c r="A327" s="112">
        <v>822</v>
      </c>
      <c r="B327" s="113" t="s">
        <v>956</v>
      </c>
      <c r="C327" s="114" t="s">
        <v>429</v>
      </c>
      <c r="D327" s="114" t="s">
        <v>16</v>
      </c>
      <c r="E327" s="115" t="s">
        <v>357</v>
      </c>
      <c r="F327" s="115" t="s">
        <v>746</v>
      </c>
      <c r="G327" s="115" t="s">
        <v>1139</v>
      </c>
      <c r="H327" s="113" t="s">
        <v>8</v>
      </c>
      <c r="I327" s="114">
        <v>21.135914</v>
      </c>
      <c r="J327" s="114">
        <v>-101.64742099999999</v>
      </c>
      <c r="K327" s="113" t="s">
        <v>139</v>
      </c>
      <c r="L327" s="116" t="str">
        <f t="shared" si="13"/>
        <v>Ver en Google Maps</v>
      </c>
      <c r="M327" s="113">
        <v>1</v>
      </c>
      <c r="N327" s="117">
        <v>45932</v>
      </c>
      <c r="O327" s="118">
        <f>DAY('BD1'!$N327)</f>
        <v>2</v>
      </c>
      <c r="P327" s="118">
        <f>MONTH('BD1'!$N327)</f>
        <v>10</v>
      </c>
      <c r="Q327" s="118">
        <f>YEAR('BD1'!$N327)</f>
        <v>2025</v>
      </c>
      <c r="R327" s="118">
        <v>1</v>
      </c>
      <c r="S327" s="118" t="s">
        <v>138</v>
      </c>
      <c r="T327" s="118" t="s">
        <v>138</v>
      </c>
      <c r="U327" s="118" t="s">
        <v>138</v>
      </c>
      <c r="V327" s="118" t="s">
        <v>138</v>
      </c>
      <c r="W327" s="118" t="s">
        <v>138</v>
      </c>
      <c r="X327" s="118" t="s">
        <v>138</v>
      </c>
      <c r="Y327" s="118" t="s">
        <v>138</v>
      </c>
      <c r="Z327" s="118" t="s">
        <v>138</v>
      </c>
      <c r="AA327" s="118">
        <v>34.31</v>
      </c>
      <c r="AB327" s="118">
        <v>33.53</v>
      </c>
      <c r="AC327" s="119" t="s">
        <v>951</v>
      </c>
      <c r="AD327" s="119"/>
      <c r="AE327" s="118">
        <f t="shared" si="14"/>
        <v>8</v>
      </c>
      <c r="AF327" s="152" t="str">
        <f t="shared" si="15"/>
        <v>Estable</v>
      </c>
    </row>
    <row r="328" spans="1:32" x14ac:dyDescent="0.2">
      <c r="A328" s="121">
        <v>844</v>
      </c>
      <c r="B328" s="122" t="s">
        <v>956</v>
      </c>
      <c r="C328" s="123" t="s">
        <v>14</v>
      </c>
      <c r="D328" s="123" t="s">
        <v>404</v>
      </c>
      <c r="E328" s="124" t="s">
        <v>747</v>
      </c>
      <c r="F328" s="124" t="s">
        <v>748</v>
      </c>
      <c r="G328" s="124" t="s">
        <v>988</v>
      </c>
      <c r="H328" s="122" t="s">
        <v>8</v>
      </c>
      <c r="I328" s="123">
        <v>21.116177</v>
      </c>
      <c r="J328" s="123">
        <v>-101.660112</v>
      </c>
      <c r="K328" s="122"/>
      <c r="L328" s="125" t="str">
        <f t="shared" si="13"/>
        <v>Ver en Google Maps</v>
      </c>
      <c r="M328" s="122">
        <v>1</v>
      </c>
      <c r="N328" s="130"/>
      <c r="O328" s="109"/>
      <c r="P328" s="109"/>
      <c r="Q328" s="109"/>
      <c r="R328" s="109"/>
      <c r="S328" s="109"/>
      <c r="T328" s="109"/>
      <c r="U328" s="109"/>
      <c r="V328" s="109"/>
      <c r="W328" s="109"/>
      <c r="X328" s="109"/>
      <c r="Y328" s="109"/>
      <c r="Z328" s="109"/>
      <c r="AA328" s="109"/>
      <c r="AB328" s="109"/>
      <c r="AC328" s="109"/>
      <c r="AD328" s="110"/>
      <c r="AE328" s="109"/>
      <c r="AF328" s="151"/>
    </row>
    <row r="329" spans="1:32" x14ac:dyDescent="0.2">
      <c r="A329" s="112">
        <v>845</v>
      </c>
      <c r="B329" s="113" t="s">
        <v>956</v>
      </c>
      <c r="C329" s="114" t="s">
        <v>429</v>
      </c>
      <c r="D329" s="114" t="s">
        <v>15</v>
      </c>
      <c r="E329" s="115" t="s">
        <v>358</v>
      </c>
      <c r="F329" s="115" t="s">
        <v>749</v>
      </c>
      <c r="G329" s="115" t="s">
        <v>1159</v>
      </c>
      <c r="H329" s="113" t="s">
        <v>8</v>
      </c>
      <c r="I329" s="114">
        <v>21.090931999999999</v>
      </c>
      <c r="J329" s="114">
        <v>-101.66857</v>
      </c>
      <c r="K329" s="113"/>
      <c r="L329" s="116" t="str">
        <f t="shared" si="13"/>
        <v>Ver en Google Maps</v>
      </c>
      <c r="M329" s="113">
        <v>2</v>
      </c>
      <c r="N329" s="129"/>
      <c r="O329" s="118"/>
      <c r="P329" s="118"/>
      <c r="Q329" s="118"/>
      <c r="R329" s="118"/>
      <c r="S329" s="118"/>
      <c r="T329" s="118"/>
      <c r="U329" s="118"/>
      <c r="V329" s="118"/>
      <c r="W329" s="118"/>
      <c r="X329" s="118"/>
      <c r="Y329" s="118"/>
      <c r="Z329" s="118"/>
      <c r="AA329" s="118"/>
      <c r="AB329" s="118"/>
      <c r="AC329" s="118"/>
      <c r="AD329" s="119"/>
      <c r="AE329" s="118"/>
      <c r="AF329" s="152"/>
    </row>
    <row r="330" spans="1:32" x14ac:dyDescent="0.2">
      <c r="A330" s="121">
        <v>848</v>
      </c>
      <c r="B330" s="122" t="s">
        <v>956</v>
      </c>
      <c r="C330" s="123" t="s">
        <v>14</v>
      </c>
      <c r="D330" s="123" t="s">
        <v>404</v>
      </c>
      <c r="E330" s="124" t="s">
        <v>331</v>
      </c>
      <c r="F330" s="124" t="s">
        <v>711</v>
      </c>
      <c r="G330" s="124" t="s">
        <v>1149</v>
      </c>
      <c r="H330" s="122" t="s">
        <v>8</v>
      </c>
      <c r="I330" s="123">
        <v>21.12473</v>
      </c>
      <c r="J330" s="123">
        <v>-101.60183000000001</v>
      </c>
      <c r="K330" s="122"/>
      <c r="L330" s="125" t="str">
        <f t="shared" si="13"/>
        <v>Ver en Google Maps</v>
      </c>
      <c r="M330" s="122">
        <v>2</v>
      </c>
      <c r="N330" s="130"/>
      <c r="O330" s="109"/>
      <c r="P330" s="109"/>
      <c r="Q330" s="109"/>
      <c r="R330" s="109"/>
      <c r="S330" s="109"/>
      <c r="T330" s="109"/>
      <c r="U330" s="109"/>
      <c r="V330" s="109"/>
      <c r="W330" s="109"/>
      <c r="X330" s="109"/>
      <c r="Y330" s="109"/>
      <c r="Z330" s="109"/>
      <c r="AA330" s="109"/>
      <c r="AB330" s="109"/>
      <c r="AC330" s="109"/>
      <c r="AD330" s="110"/>
      <c r="AE330" s="109"/>
      <c r="AF330" s="151"/>
    </row>
    <row r="331" spans="1:32" x14ac:dyDescent="0.2">
      <c r="A331" s="112">
        <v>855</v>
      </c>
      <c r="B331" s="113" t="s">
        <v>956</v>
      </c>
      <c r="C331" s="114" t="s">
        <v>14</v>
      </c>
      <c r="D331" s="114" t="s">
        <v>404</v>
      </c>
      <c r="E331" s="115" t="s">
        <v>750</v>
      </c>
      <c r="F331" s="115" t="s">
        <v>751</v>
      </c>
      <c r="G331" s="115" t="s">
        <v>1159</v>
      </c>
      <c r="H331" s="113" t="s">
        <v>8</v>
      </c>
      <c r="I331" s="114">
        <v>21.093992</v>
      </c>
      <c r="J331" s="114">
        <v>-101.667636</v>
      </c>
      <c r="K331" s="113"/>
      <c r="L331" s="116" t="str">
        <f t="shared" si="13"/>
        <v>Ver en Google Maps</v>
      </c>
      <c r="M331" s="113">
        <v>2</v>
      </c>
      <c r="N331" s="129"/>
      <c r="O331" s="118"/>
      <c r="P331" s="118"/>
      <c r="Q331" s="118"/>
      <c r="R331" s="118"/>
      <c r="S331" s="118"/>
      <c r="T331" s="118"/>
      <c r="U331" s="118"/>
      <c r="V331" s="118"/>
      <c r="W331" s="118"/>
      <c r="X331" s="118"/>
      <c r="Y331" s="118"/>
      <c r="Z331" s="118"/>
      <c r="AA331" s="118"/>
      <c r="AB331" s="118"/>
      <c r="AC331" s="118"/>
      <c r="AD331" s="119"/>
      <c r="AE331" s="118"/>
      <c r="AF331" s="152"/>
    </row>
    <row r="332" spans="1:32" x14ac:dyDescent="0.2">
      <c r="A332" s="121">
        <v>868</v>
      </c>
      <c r="B332" s="122" t="s">
        <v>956</v>
      </c>
      <c r="C332" s="123" t="s">
        <v>14</v>
      </c>
      <c r="D332" s="123" t="s">
        <v>735</v>
      </c>
      <c r="E332" s="124" t="s">
        <v>752</v>
      </c>
      <c r="F332" s="124" t="s">
        <v>753</v>
      </c>
      <c r="G332" s="124" t="s">
        <v>145</v>
      </c>
      <c r="H332" s="122" t="s">
        <v>8</v>
      </c>
      <c r="I332" s="123">
        <v>21.135532999999999</v>
      </c>
      <c r="J332" s="123">
        <v>-101.773034</v>
      </c>
      <c r="K332" s="122"/>
      <c r="L332" s="125" t="str">
        <f t="shared" si="13"/>
        <v>Ver en Google Maps</v>
      </c>
      <c r="M332" s="122">
        <v>2</v>
      </c>
      <c r="N332" s="130"/>
      <c r="O332" s="109"/>
      <c r="P332" s="109"/>
      <c r="Q332" s="109"/>
      <c r="R332" s="109"/>
      <c r="S332" s="109"/>
      <c r="T332" s="109"/>
      <c r="U332" s="109"/>
      <c r="V332" s="109"/>
      <c r="W332" s="109"/>
      <c r="X332" s="109"/>
      <c r="Y332" s="109"/>
      <c r="Z332" s="109"/>
      <c r="AA332" s="109"/>
      <c r="AB332" s="109"/>
      <c r="AC332" s="109"/>
      <c r="AD332" s="110"/>
      <c r="AE332" s="109"/>
      <c r="AF332" s="151"/>
    </row>
    <row r="333" spans="1:32" x14ac:dyDescent="0.2">
      <c r="A333" s="112">
        <v>869</v>
      </c>
      <c r="B333" s="113" t="s">
        <v>956</v>
      </c>
      <c r="C333" s="114" t="s">
        <v>14</v>
      </c>
      <c r="D333" s="114" t="s">
        <v>735</v>
      </c>
      <c r="E333" s="115" t="s">
        <v>754</v>
      </c>
      <c r="F333" s="115" t="s">
        <v>755</v>
      </c>
      <c r="G333" s="115" t="s">
        <v>53</v>
      </c>
      <c r="H333" s="113" t="s">
        <v>8</v>
      </c>
      <c r="I333" s="114">
        <v>21.115690000000001</v>
      </c>
      <c r="J333" s="114">
        <v>-101.602761</v>
      </c>
      <c r="K333" s="113"/>
      <c r="L333" s="116" t="str">
        <f t="shared" si="13"/>
        <v>Ver en Google Maps</v>
      </c>
      <c r="M333" s="113">
        <v>1</v>
      </c>
      <c r="N333" s="129"/>
      <c r="O333" s="118"/>
      <c r="P333" s="118"/>
      <c r="Q333" s="118"/>
      <c r="R333" s="118"/>
      <c r="S333" s="118"/>
      <c r="T333" s="118"/>
      <c r="U333" s="118"/>
      <c r="V333" s="118"/>
      <c r="W333" s="118"/>
      <c r="X333" s="118"/>
      <c r="Y333" s="118"/>
      <c r="Z333" s="118"/>
      <c r="AA333" s="118"/>
      <c r="AB333" s="118"/>
      <c r="AC333" s="118"/>
      <c r="AD333" s="119"/>
      <c r="AE333" s="118"/>
      <c r="AF333" s="152"/>
    </row>
    <row r="334" spans="1:32" x14ac:dyDescent="0.2">
      <c r="A334" s="121">
        <v>870</v>
      </c>
      <c r="B334" s="122" t="s">
        <v>956</v>
      </c>
      <c r="C334" s="123" t="s">
        <v>14</v>
      </c>
      <c r="D334" s="123" t="s">
        <v>735</v>
      </c>
      <c r="E334" s="124" t="s">
        <v>756</v>
      </c>
      <c r="F334" s="124" t="s">
        <v>757</v>
      </c>
      <c r="G334" s="124" t="s">
        <v>1145</v>
      </c>
      <c r="H334" s="122" t="s">
        <v>8</v>
      </c>
      <c r="I334" s="123">
        <v>21.067585999999999</v>
      </c>
      <c r="J334" s="123">
        <v>-101.633381</v>
      </c>
      <c r="K334" s="122"/>
      <c r="L334" s="125" t="str">
        <f t="shared" si="13"/>
        <v>Ver en Google Maps</v>
      </c>
      <c r="M334" s="122">
        <v>1</v>
      </c>
      <c r="N334" s="130"/>
      <c r="O334" s="109"/>
      <c r="P334" s="109"/>
      <c r="Q334" s="109"/>
      <c r="R334" s="109"/>
      <c r="S334" s="109"/>
      <c r="T334" s="109"/>
      <c r="U334" s="109"/>
      <c r="V334" s="109"/>
      <c r="W334" s="109"/>
      <c r="X334" s="109"/>
      <c r="Y334" s="109"/>
      <c r="Z334" s="109"/>
      <c r="AA334" s="109"/>
      <c r="AB334" s="109"/>
      <c r="AC334" s="109"/>
      <c r="AD334" s="110"/>
      <c r="AE334" s="109"/>
      <c r="AF334" s="151"/>
    </row>
    <row r="335" spans="1:32" x14ac:dyDescent="0.2">
      <c r="A335" s="112">
        <v>874</v>
      </c>
      <c r="B335" s="113" t="s">
        <v>956</v>
      </c>
      <c r="C335" s="114" t="s">
        <v>14</v>
      </c>
      <c r="D335" s="114" t="s">
        <v>735</v>
      </c>
      <c r="E335" s="115" t="s">
        <v>758</v>
      </c>
      <c r="F335" s="115" t="s">
        <v>759</v>
      </c>
      <c r="G335" s="115" t="s">
        <v>1160</v>
      </c>
      <c r="H335" s="113" t="s">
        <v>8</v>
      </c>
      <c r="I335" s="114">
        <v>21.197420000000001</v>
      </c>
      <c r="J335" s="114">
        <v>-101.67252000000001</v>
      </c>
      <c r="K335" s="113"/>
      <c r="L335" s="116" t="str">
        <f t="shared" si="13"/>
        <v>Ver en Google Maps</v>
      </c>
      <c r="M335" s="113">
        <v>2</v>
      </c>
      <c r="N335" s="129"/>
      <c r="O335" s="118"/>
      <c r="P335" s="118"/>
      <c r="Q335" s="118"/>
      <c r="R335" s="118"/>
      <c r="S335" s="118"/>
      <c r="T335" s="118"/>
      <c r="U335" s="118"/>
      <c r="V335" s="118"/>
      <c r="W335" s="118"/>
      <c r="X335" s="118"/>
      <c r="Y335" s="118"/>
      <c r="Z335" s="118"/>
      <c r="AA335" s="118"/>
      <c r="AB335" s="118"/>
      <c r="AC335" s="118"/>
      <c r="AD335" s="119"/>
      <c r="AE335" s="118"/>
      <c r="AF335" s="152"/>
    </row>
    <row r="336" spans="1:32" x14ac:dyDescent="0.2">
      <c r="A336" s="121">
        <v>875</v>
      </c>
      <c r="B336" s="122" t="s">
        <v>956</v>
      </c>
      <c r="C336" s="123" t="s">
        <v>14</v>
      </c>
      <c r="D336" s="123" t="s">
        <v>735</v>
      </c>
      <c r="E336" s="124" t="s">
        <v>760</v>
      </c>
      <c r="F336" s="124" t="s">
        <v>761</v>
      </c>
      <c r="G336" s="124" t="s">
        <v>1161</v>
      </c>
      <c r="H336" s="122" t="s">
        <v>8</v>
      </c>
      <c r="I336" s="123">
        <v>21.173334000000001</v>
      </c>
      <c r="J336" s="123">
        <v>-101.639273</v>
      </c>
      <c r="K336" s="122"/>
      <c r="L336" s="125" t="str">
        <f t="shared" si="13"/>
        <v>Ver en Google Maps</v>
      </c>
      <c r="M336" s="122">
        <v>1</v>
      </c>
      <c r="N336" s="130"/>
      <c r="O336" s="109"/>
      <c r="P336" s="109"/>
      <c r="Q336" s="109"/>
      <c r="R336" s="109"/>
      <c r="S336" s="109"/>
      <c r="T336" s="109"/>
      <c r="U336" s="109"/>
      <c r="V336" s="109"/>
      <c r="W336" s="109"/>
      <c r="X336" s="109"/>
      <c r="Y336" s="109"/>
      <c r="Z336" s="109"/>
      <c r="AA336" s="109"/>
      <c r="AB336" s="109"/>
      <c r="AC336" s="109"/>
      <c r="AD336" s="110"/>
      <c r="AE336" s="109"/>
      <c r="AF336" s="151"/>
    </row>
    <row r="337" spans="1:32" x14ac:dyDescent="0.2">
      <c r="A337" s="112">
        <v>881</v>
      </c>
      <c r="B337" s="113" t="s">
        <v>956</v>
      </c>
      <c r="C337" s="114" t="s">
        <v>14</v>
      </c>
      <c r="D337" s="114" t="s">
        <v>404</v>
      </c>
      <c r="E337" s="115" t="s">
        <v>762</v>
      </c>
      <c r="F337" s="115" t="s">
        <v>763</v>
      </c>
      <c r="G337" s="115" t="s">
        <v>1162</v>
      </c>
      <c r="H337" s="113" t="s">
        <v>8</v>
      </c>
      <c r="I337" s="114">
        <v>21.095739999999999</v>
      </c>
      <c r="J337" s="114">
        <v>-101.61698</v>
      </c>
      <c r="K337" s="113"/>
      <c r="L337" s="116" t="str">
        <f t="shared" si="13"/>
        <v>Ver en Google Maps</v>
      </c>
      <c r="M337" s="113">
        <v>1</v>
      </c>
      <c r="N337" s="129"/>
      <c r="O337" s="118"/>
      <c r="P337" s="118"/>
      <c r="Q337" s="118"/>
      <c r="R337" s="118"/>
      <c r="S337" s="118"/>
      <c r="T337" s="118"/>
      <c r="U337" s="118"/>
      <c r="V337" s="118"/>
      <c r="W337" s="118"/>
      <c r="X337" s="118"/>
      <c r="Y337" s="118"/>
      <c r="Z337" s="118"/>
      <c r="AA337" s="118"/>
      <c r="AB337" s="118"/>
      <c r="AC337" s="118"/>
      <c r="AD337" s="119"/>
      <c r="AE337" s="118"/>
      <c r="AF337" s="152"/>
    </row>
    <row r="338" spans="1:32" x14ac:dyDescent="0.2">
      <c r="A338" s="121">
        <v>882</v>
      </c>
      <c r="B338" s="122" t="s">
        <v>956</v>
      </c>
      <c r="C338" s="123" t="s">
        <v>14</v>
      </c>
      <c r="D338" s="123" t="s">
        <v>404</v>
      </c>
      <c r="E338" s="124" t="s">
        <v>359</v>
      </c>
      <c r="F338" s="124" t="s">
        <v>764</v>
      </c>
      <c r="G338" s="124" t="s">
        <v>360</v>
      </c>
      <c r="H338" s="122" t="s">
        <v>8</v>
      </c>
      <c r="I338" s="123">
        <v>21.121300000000002</v>
      </c>
      <c r="J338" s="123">
        <v>-101.684</v>
      </c>
      <c r="K338" s="122" t="s">
        <v>139</v>
      </c>
      <c r="L338" s="125" t="str">
        <f t="shared" si="13"/>
        <v>Ver en Google Maps</v>
      </c>
      <c r="M338" s="122">
        <v>1</v>
      </c>
      <c r="N338" s="108">
        <v>45929</v>
      </c>
      <c r="O338" s="109">
        <f>DAY('BD1'!$N338)</f>
        <v>29</v>
      </c>
      <c r="P338" s="109">
        <f>MONTH('BD1'!$N338)</f>
        <v>9</v>
      </c>
      <c r="Q338" s="109">
        <f>YEAR('BD1'!$N338)</f>
        <v>2025</v>
      </c>
      <c r="R338" s="109">
        <v>1</v>
      </c>
      <c r="S338" s="109" t="s">
        <v>138</v>
      </c>
      <c r="T338" s="109" t="s">
        <v>934</v>
      </c>
      <c r="U338" s="109" t="s">
        <v>138</v>
      </c>
      <c r="V338" s="109" t="s">
        <v>934</v>
      </c>
      <c r="W338" s="109" t="s">
        <v>138</v>
      </c>
      <c r="X338" s="109" t="s">
        <v>934</v>
      </c>
      <c r="Y338" s="109" t="s">
        <v>934</v>
      </c>
      <c r="Z338" s="109" t="s">
        <v>934</v>
      </c>
      <c r="AA338" s="109">
        <v>0</v>
      </c>
      <c r="AB338" s="109">
        <v>0</v>
      </c>
      <c r="AC338" s="110" t="s">
        <v>935</v>
      </c>
      <c r="AD338" s="110" t="s">
        <v>957</v>
      </c>
      <c r="AE338" s="109">
        <f t="shared" si="14"/>
        <v>3</v>
      </c>
      <c r="AF338" s="151" t="str">
        <f t="shared" si="15"/>
        <v>Parcialmente funcional</v>
      </c>
    </row>
    <row r="339" spans="1:32" x14ac:dyDescent="0.2">
      <c r="A339" s="112">
        <v>895</v>
      </c>
      <c r="B339" s="113" t="s">
        <v>956</v>
      </c>
      <c r="C339" s="114" t="s">
        <v>14</v>
      </c>
      <c r="D339" s="114" t="s">
        <v>404</v>
      </c>
      <c r="E339" s="115" t="s">
        <v>361</v>
      </c>
      <c r="F339" s="115" t="s">
        <v>765</v>
      </c>
      <c r="G339" s="115" t="s">
        <v>1163</v>
      </c>
      <c r="H339" s="113" t="s">
        <v>8</v>
      </c>
      <c r="I339" s="114">
        <v>21.151591</v>
      </c>
      <c r="J339" s="114">
        <v>-101.72846</v>
      </c>
      <c r="K339" s="113"/>
      <c r="L339" s="116" t="str">
        <f t="shared" si="13"/>
        <v>Ver en Google Maps</v>
      </c>
      <c r="M339" s="113">
        <v>1</v>
      </c>
      <c r="N339" s="129"/>
      <c r="O339" s="118"/>
      <c r="P339" s="118"/>
      <c r="Q339" s="118"/>
      <c r="R339" s="118"/>
      <c r="S339" s="118"/>
      <c r="T339" s="118"/>
      <c r="U339" s="118"/>
      <c r="V339" s="118"/>
      <c r="W339" s="118"/>
      <c r="X339" s="118"/>
      <c r="Y339" s="118"/>
      <c r="Z339" s="118"/>
      <c r="AA339" s="118"/>
      <c r="AB339" s="118"/>
      <c r="AC339" s="118"/>
      <c r="AD339" s="119"/>
      <c r="AE339" s="118"/>
      <c r="AF339" s="152"/>
    </row>
    <row r="340" spans="1:32" x14ac:dyDescent="0.2">
      <c r="A340" s="121">
        <v>898</v>
      </c>
      <c r="B340" s="122" t="s">
        <v>956</v>
      </c>
      <c r="C340" s="123" t="s">
        <v>14</v>
      </c>
      <c r="D340" s="123" t="s">
        <v>404</v>
      </c>
      <c r="E340" s="124" t="s">
        <v>362</v>
      </c>
      <c r="F340" s="124" t="s">
        <v>766</v>
      </c>
      <c r="G340" s="124" t="s">
        <v>1038</v>
      </c>
      <c r="H340" s="122" t="s">
        <v>8</v>
      </c>
      <c r="I340" s="123">
        <v>21.122399999999999</v>
      </c>
      <c r="J340" s="123">
        <v>-101.69385</v>
      </c>
      <c r="K340" s="122" t="s">
        <v>139</v>
      </c>
      <c r="L340" s="125" t="str">
        <f t="shared" si="13"/>
        <v>Ver en Google Maps</v>
      </c>
      <c r="M340" s="122">
        <v>2</v>
      </c>
      <c r="N340" s="108">
        <v>45940</v>
      </c>
      <c r="O340" s="109">
        <f>DAY('BD1'!$N340)</f>
        <v>10</v>
      </c>
      <c r="P340" s="109">
        <f>MONTH('BD1'!$N340)</f>
        <v>10</v>
      </c>
      <c r="Q340" s="109">
        <f>YEAR('BD1'!$N340)</f>
        <v>2025</v>
      </c>
      <c r="R340" s="109">
        <v>1</v>
      </c>
      <c r="S340" s="109" t="s">
        <v>138</v>
      </c>
      <c r="T340" s="109" t="s">
        <v>138</v>
      </c>
      <c r="U340" s="109" t="s">
        <v>138</v>
      </c>
      <c r="V340" s="109" t="s">
        <v>138</v>
      </c>
      <c r="W340" s="109" t="s">
        <v>138</v>
      </c>
      <c r="X340" s="109" t="s">
        <v>138</v>
      </c>
      <c r="Y340" s="109" t="s">
        <v>138</v>
      </c>
      <c r="Z340" s="109" t="s">
        <v>138</v>
      </c>
      <c r="AA340" s="109">
        <v>35.78</v>
      </c>
      <c r="AB340" s="109">
        <v>31.16</v>
      </c>
      <c r="AC340" s="110" t="s">
        <v>967</v>
      </c>
      <c r="AD340" s="110" t="s">
        <v>957</v>
      </c>
      <c r="AE340" s="109">
        <f t="shared" si="14"/>
        <v>8</v>
      </c>
      <c r="AF340" s="151" t="str">
        <f t="shared" si="15"/>
        <v>Estable</v>
      </c>
    </row>
    <row r="341" spans="1:32" x14ac:dyDescent="0.2">
      <c r="A341" s="112">
        <v>900</v>
      </c>
      <c r="B341" s="113" t="s">
        <v>956</v>
      </c>
      <c r="C341" s="114" t="s">
        <v>14</v>
      </c>
      <c r="D341" s="114" t="s">
        <v>404</v>
      </c>
      <c r="E341" s="115" t="s">
        <v>363</v>
      </c>
      <c r="F341" s="115" t="s">
        <v>767</v>
      </c>
      <c r="G341" s="115" t="s">
        <v>1076</v>
      </c>
      <c r="H341" s="113" t="s">
        <v>8</v>
      </c>
      <c r="I341" s="114">
        <v>21.132912999999999</v>
      </c>
      <c r="J341" s="114">
        <v>-101.698329</v>
      </c>
      <c r="K341" s="113"/>
      <c r="L341" s="116" t="str">
        <f t="shared" si="13"/>
        <v>Ver en Google Maps</v>
      </c>
      <c r="M341" s="113">
        <v>2</v>
      </c>
      <c r="N341" s="129"/>
      <c r="O341" s="118"/>
      <c r="P341" s="118"/>
      <c r="Q341" s="118"/>
      <c r="R341" s="118"/>
      <c r="S341" s="118"/>
      <c r="T341" s="118"/>
      <c r="U341" s="118"/>
      <c r="V341" s="118"/>
      <c r="W341" s="118"/>
      <c r="X341" s="118"/>
      <c r="Y341" s="118"/>
      <c r="Z341" s="118"/>
      <c r="AA341" s="118"/>
      <c r="AB341" s="118"/>
      <c r="AC341" s="118"/>
      <c r="AD341" s="119"/>
      <c r="AE341" s="118"/>
      <c r="AF341" s="152"/>
    </row>
    <row r="342" spans="1:32" x14ac:dyDescent="0.2">
      <c r="A342" s="121">
        <v>911</v>
      </c>
      <c r="B342" s="122" t="s">
        <v>956</v>
      </c>
      <c r="C342" s="123" t="s">
        <v>14</v>
      </c>
      <c r="D342" s="123" t="s">
        <v>404</v>
      </c>
      <c r="E342" s="124" t="s">
        <v>364</v>
      </c>
      <c r="F342" s="124" t="s">
        <v>768</v>
      </c>
      <c r="G342" s="124" t="s">
        <v>1164</v>
      </c>
      <c r="H342" s="122" t="s">
        <v>8</v>
      </c>
      <c r="I342" s="123">
        <v>21.104240000000001</v>
      </c>
      <c r="J342" s="123">
        <v>-101.68776</v>
      </c>
      <c r="K342" s="122" t="s">
        <v>139</v>
      </c>
      <c r="L342" s="125" t="str">
        <f t="shared" si="13"/>
        <v>Ver en Google Maps</v>
      </c>
      <c r="M342" s="122">
        <v>2</v>
      </c>
      <c r="N342" s="108">
        <v>45932</v>
      </c>
      <c r="O342" s="109">
        <f>DAY('BD1'!$N342)</f>
        <v>2</v>
      </c>
      <c r="P342" s="109">
        <f>MONTH('BD1'!$N342)</f>
        <v>10</v>
      </c>
      <c r="Q342" s="109">
        <f>YEAR('BD1'!$N342)</f>
        <v>2025</v>
      </c>
      <c r="R342" s="109">
        <v>1</v>
      </c>
      <c r="S342" s="109" t="s">
        <v>138</v>
      </c>
      <c r="T342" s="109" t="s">
        <v>138</v>
      </c>
      <c r="U342" s="109" t="s">
        <v>138</v>
      </c>
      <c r="V342" s="109" t="s">
        <v>138</v>
      </c>
      <c r="W342" s="109" t="s">
        <v>138</v>
      </c>
      <c r="X342" s="109" t="s">
        <v>138</v>
      </c>
      <c r="Y342" s="109" t="s">
        <v>138</v>
      </c>
      <c r="Z342" s="109" t="s">
        <v>138</v>
      </c>
      <c r="AA342" s="109">
        <v>35.86</v>
      </c>
      <c r="AB342" s="109">
        <v>15.85</v>
      </c>
      <c r="AC342" s="110" t="s">
        <v>967</v>
      </c>
      <c r="AD342" s="110" t="s">
        <v>957</v>
      </c>
      <c r="AE342" s="109">
        <f t="shared" si="14"/>
        <v>8</v>
      </c>
      <c r="AF342" s="151" t="str">
        <f t="shared" si="15"/>
        <v>Estable</v>
      </c>
    </row>
    <row r="343" spans="1:32" x14ac:dyDescent="0.2">
      <c r="A343" s="112">
        <v>912</v>
      </c>
      <c r="B343" s="113" t="s">
        <v>956</v>
      </c>
      <c r="C343" s="114" t="s">
        <v>14</v>
      </c>
      <c r="D343" s="114" t="s">
        <v>404</v>
      </c>
      <c r="E343" s="115" t="s">
        <v>365</v>
      </c>
      <c r="F343" s="115" t="s">
        <v>769</v>
      </c>
      <c r="G343" s="115" t="s">
        <v>1165</v>
      </c>
      <c r="H343" s="113" t="s">
        <v>8</v>
      </c>
      <c r="I343" s="114">
        <v>21.085076999999998</v>
      </c>
      <c r="J343" s="114">
        <v>-101.61923</v>
      </c>
      <c r="K343" s="113"/>
      <c r="L343" s="116" t="str">
        <f t="shared" si="13"/>
        <v>Ver en Google Maps</v>
      </c>
      <c r="M343" s="113">
        <v>2</v>
      </c>
      <c r="N343" s="129"/>
      <c r="O343" s="118"/>
      <c r="P343" s="118"/>
      <c r="Q343" s="118"/>
      <c r="R343" s="118"/>
      <c r="S343" s="118"/>
      <c r="T343" s="118"/>
      <c r="U343" s="118"/>
      <c r="V343" s="118"/>
      <c r="W343" s="118"/>
      <c r="X343" s="118"/>
      <c r="Y343" s="118"/>
      <c r="Z343" s="118"/>
      <c r="AA343" s="118"/>
      <c r="AB343" s="118"/>
      <c r="AC343" s="118"/>
      <c r="AD343" s="119"/>
      <c r="AE343" s="118"/>
      <c r="AF343" s="152"/>
    </row>
    <row r="344" spans="1:32" x14ac:dyDescent="0.2">
      <c r="A344" s="121">
        <v>916</v>
      </c>
      <c r="B344" s="122" t="s">
        <v>956</v>
      </c>
      <c r="C344" s="123" t="s">
        <v>14</v>
      </c>
      <c r="D344" s="123" t="s">
        <v>404</v>
      </c>
      <c r="E344" s="124" t="s">
        <v>366</v>
      </c>
      <c r="F344" s="124" t="s">
        <v>770</v>
      </c>
      <c r="G344" s="124" t="s">
        <v>1166</v>
      </c>
      <c r="H344" s="122" t="s">
        <v>8</v>
      </c>
      <c r="I344" s="123">
        <v>21.120384000000001</v>
      </c>
      <c r="J344" s="123">
        <v>-101.667776</v>
      </c>
      <c r="K344" s="122" t="s">
        <v>139</v>
      </c>
      <c r="L344" s="125" t="str">
        <f t="shared" si="13"/>
        <v>Ver en Google Maps</v>
      </c>
      <c r="M344" s="122">
        <v>2</v>
      </c>
      <c r="N344" s="108">
        <v>45939</v>
      </c>
      <c r="O344" s="109">
        <f>DAY('BD1'!$N344)</f>
        <v>9</v>
      </c>
      <c r="P344" s="109">
        <f>MONTH('BD1'!$N344)</f>
        <v>10</v>
      </c>
      <c r="Q344" s="109">
        <f>YEAR('BD1'!$N344)</f>
        <v>2025</v>
      </c>
      <c r="R344" s="109">
        <v>1</v>
      </c>
      <c r="S344" s="109" t="s">
        <v>934</v>
      </c>
      <c r="T344" s="109" t="s">
        <v>934</v>
      </c>
      <c r="U344" s="109" t="s">
        <v>934</v>
      </c>
      <c r="V344" s="109" t="s">
        <v>934</v>
      </c>
      <c r="W344" s="109" t="s">
        <v>934</v>
      </c>
      <c r="X344" s="109" t="s">
        <v>934</v>
      </c>
      <c r="Y344" s="109" t="s">
        <v>934</v>
      </c>
      <c r="Z344" s="109" t="s">
        <v>934</v>
      </c>
      <c r="AA344" s="109">
        <v>0</v>
      </c>
      <c r="AB344" s="109">
        <v>0</v>
      </c>
      <c r="AC344" s="109" t="s">
        <v>1417</v>
      </c>
      <c r="AD344" s="110" t="s">
        <v>957</v>
      </c>
      <c r="AE344" s="109">
        <f t="shared" si="14"/>
        <v>0</v>
      </c>
      <c r="AF344" s="151" t="str">
        <f t="shared" si="15"/>
        <v>Crítico</v>
      </c>
    </row>
    <row r="345" spans="1:32" x14ac:dyDescent="0.2">
      <c r="A345" s="112">
        <v>928</v>
      </c>
      <c r="B345" s="113" t="s">
        <v>956</v>
      </c>
      <c r="C345" s="114" t="s">
        <v>429</v>
      </c>
      <c r="D345" s="114" t="s">
        <v>336</v>
      </c>
      <c r="E345" s="115" t="s">
        <v>771</v>
      </c>
      <c r="F345" s="115" t="s">
        <v>772</v>
      </c>
      <c r="G345" s="115" t="s">
        <v>367</v>
      </c>
      <c r="H345" s="113" t="s">
        <v>8</v>
      </c>
      <c r="I345" s="114">
        <v>21.104908999999999</v>
      </c>
      <c r="J345" s="114">
        <v>-101.63147600000001</v>
      </c>
      <c r="K345" s="113" t="s">
        <v>139</v>
      </c>
      <c r="L345" s="116" t="str">
        <f t="shared" si="13"/>
        <v>Ver en Google Maps</v>
      </c>
      <c r="M345" s="113">
        <v>2</v>
      </c>
      <c r="N345" s="117">
        <v>45934</v>
      </c>
      <c r="O345" s="118">
        <f>DAY('BD1'!$N345)</f>
        <v>4</v>
      </c>
      <c r="P345" s="118">
        <f>MONTH('BD1'!$N345)</f>
        <v>10</v>
      </c>
      <c r="Q345" s="118">
        <f>YEAR('BD1'!$N345)</f>
        <v>2025</v>
      </c>
      <c r="R345" s="118">
        <v>1</v>
      </c>
      <c r="S345" s="118" t="s">
        <v>138</v>
      </c>
      <c r="T345" s="118" t="s">
        <v>138</v>
      </c>
      <c r="U345" s="118" t="s">
        <v>138</v>
      </c>
      <c r="V345" s="118" t="s">
        <v>138</v>
      </c>
      <c r="W345" s="118" t="s">
        <v>138</v>
      </c>
      <c r="X345" s="118" t="s">
        <v>138</v>
      </c>
      <c r="Y345" s="118" t="s">
        <v>138</v>
      </c>
      <c r="Z345" s="118" t="s">
        <v>138</v>
      </c>
      <c r="AA345" s="118">
        <v>53.41</v>
      </c>
      <c r="AB345" s="118">
        <v>15.15</v>
      </c>
      <c r="AC345" s="119" t="s">
        <v>967</v>
      </c>
      <c r="AD345" s="119" t="s">
        <v>957</v>
      </c>
      <c r="AE345" s="118">
        <f t="shared" si="14"/>
        <v>8</v>
      </c>
      <c r="AF345" s="152" t="str">
        <f t="shared" si="15"/>
        <v>Estable</v>
      </c>
    </row>
    <row r="346" spans="1:32" x14ac:dyDescent="0.2">
      <c r="A346" s="121">
        <v>930</v>
      </c>
      <c r="B346" s="122" t="s">
        <v>956</v>
      </c>
      <c r="C346" s="123" t="s">
        <v>429</v>
      </c>
      <c r="D346" s="123" t="s">
        <v>336</v>
      </c>
      <c r="E346" s="124" t="s">
        <v>773</v>
      </c>
      <c r="F346" s="124" t="s">
        <v>774</v>
      </c>
      <c r="G346" s="124" t="s">
        <v>368</v>
      </c>
      <c r="H346" s="122" t="s">
        <v>8</v>
      </c>
      <c r="I346" s="123">
        <v>21.090973999999999</v>
      </c>
      <c r="J346" s="123">
        <v>-101.652574</v>
      </c>
      <c r="K346" s="122"/>
      <c r="L346" s="125" t="str">
        <f t="shared" si="13"/>
        <v>Ver en Google Maps</v>
      </c>
      <c r="M346" s="122">
        <v>2</v>
      </c>
      <c r="N346" s="130"/>
      <c r="O346" s="109"/>
      <c r="P346" s="109"/>
      <c r="Q346" s="109"/>
      <c r="R346" s="109"/>
      <c r="S346" s="109"/>
      <c r="T346" s="109"/>
      <c r="U346" s="109"/>
      <c r="V346" s="109"/>
      <c r="W346" s="109"/>
      <c r="X346" s="109"/>
      <c r="Y346" s="109"/>
      <c r="Z346" s="109"/>
      <c r="AA346" s="109"/>
      <c r="AB346" s="109"/>
      <c r="AC346" s="109"/>
      <c r="AD346" s="110"/>
      <c r="AE346" s="109"/>
      <c r="AF346" s="151"/>
    </row>
    <row r="347" spans="1:32" x14ac:dyDescent="0.2">
      <c r="A347" s="112">
        <v>933</v>
      </c>
      <c r="B347" s="113" t="s">
        <v>956</v>
      </c>
      <c r="C347" s="114" t="s">
        <v>429</v>
      </c>
      <c r="D347" s="114" t="s">
        <v>336</v>
      </c>
      <c r="E347" s="115" t="s">
        <v>369</v>
      </c>
      <c r="F347" s="115" t="s">
        <v>775</v>
      </c>
      <c r="G347" s="115" t="s">
        <v>1167</v>
      </c>
      <c r="H347" s="113" t="s">
        <v>8</v>
      </c>
      <c r="I347" s="114">
        <v>21.147639999999999</v>
      </c>
      <c r="J347" s="114">
        <v>-101.666763</v>
      </c>
      <c r="K347" s="113" t="s">
        <v>139</v>
      </c>
      <c r="L347" s="116" t="str">
        <f t="shared" si="13"/>
        <v>Ver en Google Maps</v>
      </c>
      <c r="M347" s="113">
        <v>2</v>
      </c>
      <c r="N347" s="117">
        <v>45929</v>
      </c>
      <c r="O347" s="118">
        <f>DAY('BD1'!$N347)</f>
        <v>29</v>
      </c>
      <c r="P347" s="118">
        <f>MONTH('BD1'!$N347)</f>
        <v>9</v>
      </c>
      <c r="Q347" s="118">
        <f>YEAR('BD1'!$N347)</f>
        <v>2025</v>
      </c>
      <c r="R347" s="118">
        <v>1</v>
      </c>
      <c r="S347" s="118" t="s">
        <v>138</v>
      </c>
      <c r="T347" s="118" t="s">
        <v>138</v>
      </c>
      <c r="U347" s="118" t="s">
        <v>138</v>
      </c>
      <c r="V347" s="118" t="s">
        <v>138</v>
      </c>
      <c r="W347" s="118" t="s">
        <v>138</v>
      </c>
      <c r="X347" s="118" t="s">
        <v>138</v>
      </c>
      <c r="Y347" s="118" t="s">
        <v>138</v>
      </c>
      <c r="Z347" s="118" t="s">
        <v>934</v>
      </c>
      <c r="AA347" s="118">
        <v>10.16</v>
      </c>
      <c r="AB347" s="118">
        <v>14.16</v>
      </c>
      <c r="AC347" s="119" t="s">
        <v>967</v>
      </c>
      <c r="AD347" s="119" t="s">
        <v>957</v>
      </c>
      <c r="AE347" s="118">
        <f t="shared" si="14"/>
        <v>7</v>
      </c>
      <c r="AF347" s="152" t="str">
        <f t="shared" si="15"/>
        <v>Funcional con observaciones</v>
      </c>
    </row>
    <row r="348" spans="1:32" x14ac:dyDescent="0.2">
      <c r="A348" s="121">
        <v>939</v>
      </c>
      <c r="B348" s="122" t="s">
        <v>956</v>
      </c>
      <c r="C348" s="123" t="s">
        <v>429</v>
      </c>
      <c r="D348" s="123" t="s">
        <v>132</v>
      </c>
      <c r="E348" s="124" t="s">
        <v>370</v>
      </c>
      <c r="F348" s="124" t="s">
        <v>776</v>
      </c>
      <c r="G348" s="124" t="s">
        <v>1168</v>
      </c>
      <c r="H348" s="122" t="s">
        <v>8</v>
      </c>
      <c r="I348" s="123">
        <v>21.100860999999998</v>
      </c>
      <c r="J348" s="123">
        <v>-101.73314000000001</v>
      </c>
      <c r="K348" s="122"/>
      <c r="L348" s="125" t="str">
        <f t="shared" si="13"/>
        <v>Ver en Google Maps</v>
      </c>
      <c r="M348" s="122">
        <v>2</v>
      </c>
      <c r="N348" s="130"/>
      <c r="O348" s="109"/>
      <c r="P348" s="109"/>
      <c r="Q348" s="109"/>
      <c r="R348" s="109"/>
      <c r="S348" s="109"/>
      <c r="T348" s="109"/>
      <c r="U348" s="109"/>
      <c r="V348" s="109"/>
      <c r="W348" s="109"/>
      <c r="X348" s="109"/>
      <c r="Y348" s="109"/>
      <c r="Z348" s="109"/>
      <c r="AA348" s="109"/>
      <c r="AB348" s="109"/>
      <c r="AC348" s="109"/>
      <c r="AD348" s="110"/>
      <c r="AE348" s="109"/>
      <c r="AF348" s="151"/>
    </row>
    <row r="349" spans="1:32" x14ac:dyDescent="0.2">
      <c r="A349" s="112">
        <v>948</v>
      </c>
      <c r="B349" s="113" t="s">
        <v>956</v>
      </c>
      <c r="C349" s="114" t="s">
        <v>429</v>
      </c>
      <c r="D349" s="114" t="s">
        <v>132</v>
      </c>
      <c r="E349" s="115" t="s">
        <v>371</v>
      </c>
      <c r="F349" s="115" t="s">
        <v>777</v>
      </c>
      <c r="G349" s="115" t="s">
        <v>1169</v>
      </c>
      <c r="H349" s="113" t="s">
        <v>8</v>
      </c>
      <c r="I349" s="114">
        <v>21.079839</v>
      </c>
      <c r="J349" s="114">
        <v>-101.64776999999999</v>
      </c>
      <c r="K349" s="113"/>
      <c r="L349" s="116" t="str">
        <f t="shared" si="13"/>
        <v>Ver en Google Maps</v>
      </c>
      <c r="M349" s="113">
        <v>2</v>
      </c>
      <c r="N349" s="129"/>
      <c r="O349" s="118"/>
      <c r="P349" s="118"/>
      <c r="Q349" s="118"/>
      <c r="R349" s="118"/>
      <c r="S349" s="118"/>
      <c r="T349" s="118"/>
      <c r="U349" s="118"/>
      <c r="V349" s="118"/>
      <c r="W349" s="118"/>
      <c r="X349" s="118"/>
      <c r="Y349" s="118"/>
      <c r="Z349" s="118"/>
      <c r="AA349" s="118"/>
      <c r="AB349" s="118"/>
      <c r="AC349" s="118"/>
      <c r="AD349" s="119"/>
      <c r="AE349" s="118"/>
      <c r="AF349" s="152"/>
    </row>
    <row r="350" spans="1:32" x14ac:dyDescent="0.2">
      <c r="A350" s="121">
        <v>949</v>
      </c>
      <c r="B350" s="122" t="s">
        <v>956</v>
      </c>
      <c r="C350" s="123" t="s">
        <v>429</v>
      </c>
      <c r="D350" s="123" t="s">
        <v>132</v>
      </c>
      <c r="E350" s="124" t="s">
        <v>372</v>
      </c>
      <c r="F350" s="124" t="s">
        <v>778</v>
      </c>
      <c r="G350" s="124" t="s">
        <v>1158</v>
      </c>
      <c r="H350" s="122" t="s">
        <v>8</v>
      </c>
      <c r="I350" s="123">
        <v>21.14772</v>
      </c>
      <c r="J350" s="123">
        <v>-101.635763</v>
      </c>
      <c r="K350" s="122"/>
      <c r="L350" s="125" t="str">
        <f t="shared" si="13"/>
        <v>Ver en Google Maps</v>
      </c>
      <c r="M350" s="122">
        <v>2</v>
      </c>
      <c r="N350" s="130"/>
      <c r="O350" s="109"/>
      <c r="P350" s="109"/>
      <c r="Q350" s="109"/>
      <c r="R350" s="109"/>
      <c r="S350" s="109"/>
      <c r="T350" s="109"/>
      <c r="U350" s="109"/>
      <c r="V350" s="109"/>
      <c r="W350" s="109"/>
      <c r="X350" s="109"/>
      <c r="Y350" s="109"/>
      <c r="Z350" s="109"/>
      <c r="AA350" s="109"/>
      <c r="AB350" s="109"/>
      <c r="AC350" s="109"/>
      <c r="AD350" s="110"/>
      <c r="AE350" s="109"/>
      <c r="AF350" s="151"/>
    </row>
    <row r="351" spans="1:32" x14ac:dyDescent="0.2">
      <c r="A351" s="112">
        <v>952</v>
      </c>
      <c r="B351" s="113" t="s">
        <v>956</v>
      </c>
      <c r="C351" s="114" t="s">
        <v>429</v>
      </c>
      <c r="D351" s="114" t="s">
        <v>132</v>
      </c>
      <c r="E351" s="115" t="s">
        <v>779</v>
      </c>
      <c r="F351" s="115" t="s">
        <v>780</v>
      </c>
      <c r="G351" s="115" t="s">
        <v>73</v>
      </c>
      <c r="H351" s="113" t="s">
        <v>8</v>
      </c>
      <c r="I351" s="114">
        <v>21.108991</v>
      </c>
      <c r="J351" s="114">
        <v>-101.630983</v>
      </c>
      <c r="K351" s="113" t="s">
        <v>139</v>
      </c>
      <c r="L351" s="116" t="str">
        <f t="shared" si="13"/>
        <v>Ver en Google Maps</v>
      </c>
      <c r="M351" s="113">
        <v>2</v>
      </c>
      <c r="N351" s="117">
        <v>45934</v>
      </c>
      <c r="O351" s="118">
        <f>DAY('BD1'!$N351)</f>
        <v>4</v>
      </c>
      <c r="P351" s="118">
        <f>MONTH('BD1'!$N351)</f>
        <v>10</v>
      </c>
      <c r="Q351" s="118">
        <f>YEAR('BD1'!$N351)</f>
        <v>2025</v>
      </c>
      <c r="R351" s="118">
        <v>1</v>
      </c>
      <c r="S351" s="118" t="s">
        <v>138</v>
      </c>
      <c r="T351" s="118" t="s">
        <v>138</v>
      </c>
      <c r="U351" s="118" t="s">
        <v>138</v>
      </c>
      <c r="V351" s="118" t="s">
        <v>138</v>
      </c>
      <c r="W351" s="118" t="s">
        <v>138</v>
      </c>
      <c r="X351" s="118" t="s">
        <v>138</v>
      </c>
      <c r="Y351" s="118" t="s">
        <v>138</v>
      </c>
      <c r="Z351" s="118" t="s">
        <v>934</v>
      </c>
      <c r="AA351" s="118">
        <v>0</v>
      </c>
      <c r="AB351" s="118">
        <v>0</v>
      </c>
      <c r="AC351" s="119" t="s">
        <v>935</v>
      </c>
      <c r="AD351" s="119" t="s">
        <v>957</v>
      </c>
      <c r="AE351" s="118">
        <f t="shared" si="14"/>
        <v>7</v>
      </c>
      <c r="AF351" s="152" t="str">
        <f t="shared" si="15"/>
        <v>Funcional con observaciones</v>
      </c>
    </row>
    <row r="352" spans="1:32" x14ac:dyDescent="0.2">
      <c r="A352" s="121">
        <v>953</v>
      </c>
      <c r="B352" s="122" t="s">
        <v>956</v>
      </c>
      <c r="C352" s="123" t="s">
        <v>429</v>
      </c>
      <c r="D352" s="123" t="s">
        <v>132</v>
      </c>
      <c r="E352" s="124" t="s">
        <v>373</v>
      </c>
      <c r="F352" s="124" t="s">
        <v>781</v>
      </c>
      <c r="G352" s="124" t="s">
        <v>1170</v>
      </c>
      <c r="H352" s="122" t="s">
        <v>8</v>
      </c>
      <c r="I352" s="123">
        <v>21.138309</v>
      </c>
      <c r="J352" s="123">
        <v>-101.651798</v>
      </c>
      <c r="K352" s="122" t="s">
        <v>139</v>
      </c>
      <c r="L352" s="125" t="str">
        <f t="shared" si="13"/>
        <v>Ver en Google Maps</v>
      </c>
      <c r="M352" s="122">
        <v>2</v>
      </c>
      <c r="N352" s="108">
        <v>45929</v>
      </c>
      <c r="O352" s="109">
        <f>DAY('BD1'!$N352)</f>
        <v>29</v>
      </c>
      <c r="P352" s="109">
        <f>MONTH('BD1'!$N352)</f>
        <v>9</v>
      </c>
      <c r="Q352" s="109">
        <f>YEAR('BD1'!$N352)</f>
        <v>2025</v>
      </c>
      <c r="R352" s="109">
        <v>1</v>
      </c>
      <c r="S352" s="109" t="s">
        <v>934</v>
      </c>
      <c r="T352" s="109" t="s">
        <v>138</v>
      </c>
      <c r="U352" s="109" t="s">
        <v>138</v>
      </c>
      <c r="V352" s="109" t="s">
        <v>138</v>
      </c>
      <c r="W352" s="109" t="s">
        <v>138</v>
      </c>
      <c r="X352" s="109" t="s">
        <v>138</v>
      </c>
      <c r="Y352" s="109" t="s">
        <v>138</v>
      </c>
      <c r="Z352" s="109" t="s">
        <v>934</v>
      </c>
      <c r="AA352" s="109">
        <v>12.97</v>
      </c>
      <c r="AB352" s="109">
        <v>3.59</v>
      </c>
      <c r="AC352" s="110" t="s">
        <v>938</v>
      </c>
      <c r="AD352" s="110" t="s">
        <v>957</v>
      </c>
      <c r="AE352" s="109">
        <f t="shared" si="14"/>
        <v>6</v>
      </c>
      <c r="AF352" s="151" t="str">
        <f t="shared" si="15"/>
        <v>Funcional con observaciones</v>
      </c>
    </row>
    <row r="353" spans="1:32" x14ac:dyDescent="0.2">
      <c r="A353" s="112">
        <v>966</v>
      </c>
      <c r="B353" s="113" t="s">
        <v>956</v>
      </c>
      <c r="C353" s="114" t="s">
        <v>87</v>
      </c>
      <c r="D353" s="114" t="s">
        <v>782</v>
      </c>
      <c r="E353" s="115" t="s">
        <v>374</v>
      </c>
      <c r="F353" s="115" t="s">
        <v>783</v>
      </c>
      <c r="G353" s="115" t="s">
        <v>1132</v>
      </c>
      <c r="H353" s="113" t="s">
        <v>8</v>
      </c>
      <c r="I353" s="114">
        <v>21.122631999999999</v>
      </c>
      <c r="J353" s="114">
        <v>-101.71655</v>
      </c>
      <c r="K353" s="113" t="s">
        <v>139</v>
      </c>
      <c r="L353" s="116" t="str">
        <f t="shared" si="13"/>
        <v>Ver en Google Maps</v>
      </c>
      <c r="M353" s="113">
        <v>2</v>
      </c>
      <c r="N353" s="117">
        <v>45933</v>
      </c>
      <c r="O353" s="118">
        <f>DAY('BD1'!$N353)</f>
        <v>3</v>
      </c>
      <c r="P353" s="118">
        <f>MONTH('BD1'!$N353)</f>
        <v>10</v>
      </c>
      <c r="Q353" s="118">
        <f>YEAR('BD1'!$N353)</f>
        <v>2025</v>
      </c>
      <c r="R353" s="118">
        <v>1</v>
      </c>
      <c r="S353" s="118" t="s">
        <v>138</v>
      </c>
      <c r="T353" s="118" t="s">
        <v>138</v>
      </c>
      <c r="U353" s="118" t="s">
        <v>138</v>
      </c>
      <c r="V353" s="118" t="s">
        <v>138</v>
      </c>
      <c r="W353" s="118" t="s">
        <v>138</v>
      </c>
      <c r="X353" s="118" t="s">
        <v>138</v>
      </c>
      <c r="Y353" s="118" t="s">
        <v>138</v>
      </c>
      <c r="Z353" s="118" t="s">
        <v>934</v>
      </c>
      <c r="AA353" s="118">
        <v>10.62</v>
      </c>
      <c r="AB353" s="118">
        <v>17.23</v>
      </c>
      <c r="AC353" s="119" t="s">
        <v>969</v>
      </c>
      <c r="AD353" s="119" t="s">
        <v>957</v>
      </c>
      <c r="AE353" s="118">
        <f t="shared" si="14"/>
        <v>7</v>
      </c>
      <c r="AF353" s="152" t="str">
        <f t="shared" si="15"/>
        <v>Funcional con observaciones</v>
      </c>
    </row>
    <row r="354" spans="1:32" x14ac:dyDescent="0.2">
      <c r="A354" s="121">
        <v>967</v>
      </c>
      <c r="B354" s="122" t="s">
        <v>956</v>
      </c>
      <c r="C354" s="123" t="s">
        <v>87</v>
      </c>
      <c r="D354" s="123" t="s">
        <v>782</v>
      </c>
      <c r="E354" s="124" t="s">
        <v>784</v>
      </c>
      <c r="F354" s="124" t="s">
        <v>785</v>
      </c>
      <c r="G354" s="124" t="s">
        <v>1171</v>
      </c>
      <c r="H354" s="122" t="s">
        <v>8</v>
      </c>
      <c r="I354" s="123">
        <v>21.132656999999998</v>
      </c>
      <c r="J354" s="123">
        <v>-101.680187</v>
      </c>
      <c r="K354" s="122" t="s">
        <v>139</v>
      </c>
      <c r="L354" s="125" t="str">
        <f t="shared" si="13"/>
        <v>Ver en Google Maps</v>
      </c>
      <c r="M354" s="122">
        <v>2</v>
      </c>
      <c r="N354" s="108">
        <v>45929</v>
      </c>
      <c r="O354" s="109">
        <f>DAY('BD1'!$N354)</f>
        <v>29</v>
      </c>
      <c r="P354" s="109">
        <f>MONTH('BD1'!$N354)</f>
        <v>9</v>
      </c>
      <c r="Q354" s="109">
        <f>YEAR('BD1'!$N354)</f>
        <v>2025</v>
      </c>
      <c r="R354" s="109">
        <v>1</v>
      </c>
      <c r="S354" s="109" t="s">
        <v>138</v>
      </c>
      <c r="T354" s="109" t="s">
        <v>138</v>
      </c>
      <c r="U354" s="109" t="s">
        <v>138</v>
      </c>
      <c r="V354" s="109" t="s">
        <v>138</v>
      </c>
      <c r="W354" s="109" t="s">
        <v>138</v>
      </c>
      <c r="X354" s="109" t="s">
        <v>138</v>
      </c>
      <c r="Y354" s="109" t="s">
        <v>138</v>
      </c>
      <c r="Z354" s="109" t="s">
        <v>138</v>
      </c>
      <c r="AA354" s="109">
        <v>23.92</v>
      </c>
      <c r="AB354" s="109">
        <v>26.78</v>
      </c>
      <c r="AC354" s="110" t="s">
        <v>967</v>
      </c>
      <c r="AD354" s="110" t="s">
        <v>957</v>
      </c>
      <c r="AE354" s="109">
        <f t="shared" si="14"/>
        <v>8</v>
      </c>
      <c r="AF354" s="151" t="str">
        <f t="shared" si="15"/>
        <v>Estable</v>
      </c>
    </row>
    <row r="355" spans="1:32" ht="14.25" x14ac:dyDescent="0.2">
      <c r="A355" s="112">
        <v>968</v>
      </c>
      <c r="B355" s="113" t="s">
        <v>956</v>
      </c>
      <c r="C355" s="114" t="s">
        <v>87</v>
      </c>
      <c r="D355" s="114" t="s">
        <v>563</v>
      </c>
      <c r="E355" s="115" t="s">
        <v>786</v>
      </c>
      <c r="F355" s="115" t="s">
        <v>787</v>
      </c>
      <c r="G355" s="115" t="s">
        <v>1008</v>
      </c>
      <c r="H355" s="113" t="s">
        <v>8</v>
      </c>
      <c r="I355" s="114">
        <v>21.109079999999999</v>
      </c>
      <c r="J355" s="114">
        <v>-101.69552</v>
      </c>
      <c r="K355" s="113" t="s">
        <v>139</v>
      </c>
      <c r="L355" s="154" t="str">
        <f>HYPERLINK("https://www.google.com/maps?q=" &amp; I355 &amp; "," &amp; J355, "Ver en Google Maps")</f>
        <v>Ver en Google Maps</v>
      </c>
      <c r="M355" s="113">
        <v>1</v>
      </c>
      <c r="N355" s="117">
        <v>45932</v>
      </c>
      <c r="O355" s="118">
        <f>DAY('BD1'!$N355)</f>
        <v>2</v>
      </c>
      <c r="P355" s="118">
        <f>MONTH('BD1'!$N355)</f>
        <v>10</v>
      </c>
      <c r="Q355" s="118">
        <f>YEAR('BD1'!$N355)</f>
        <v>2025</v>
      </c>
      <c r="R355" s="118">
        <v>1</v>
      </c>
      <c r="S355" s="118" t="s">
        <v>138</v>
      </c>
      <c r="T355" s="118" t="s">
        <v>138</v>
      </c>
      <c r="U355" s="118" t="s">
        <v>138</v>
      </c>
      <c r="V355" s="118" t="s">
        <v>138</v>
      </c>
      <c r="W355" s="118" t="s">
        <v>138</v>
      </c>
      <c r="X355" s="118" t="s">
        <v>138</v>
      </c>
      <c r="Y355" s="118" t="s">
        <v>138</v>
      </c>
      <c r="Z355" s="118" t="s">
        <v>138</v>
      </c>
      <c r="AA355" s="118">
        <v>21.13</v>
      </c>
      <c r="AB355" s="118">
        <v>10.63</v>
      </c>
      <c r="AC355" s="119" t="s">
        <v>967</v>
      </c>
      <c r="AD355" s="119" t="s">
        <v>957</v>
      </c>
      <c r="AE355" s="118">
        <f t="shared" si="14"/>
        <v>8</v>
      </c>
      <c r="AF355" s="152" t="str">
        <f t="shared" si="15"/>
        <v>Estable</v>
      </c>
    </row>
    <row r="356" spans="1:32" x14ac:dyDescent="0.2">
      <c r="A356" s="121">
        <v>969</v>
      </c>
      <c r="B356" s="122" t="s">
        <v>956</v>
      </c>
      <c r="C356" s="123" t="s">
        <v>87</v>
      </c>
      <c r="D356" s="123" t="s">
        <v>563</v>
      </c>
      <c r="E356" s="124" t="s">
        <v>788</v>
      </c>
      <c r="F356" s="124" t="s">
        <v>789</v>
      </c>
      <c r="G356" s="124" t="s">
        <v>375</v>
      </c>
      <c r="H356" s="122" t="s">
        <v>8</v>
      </c>
      <c r="I356" s="123">
        <v>21.114879999999999</v>
      </c>
      <c r="J356" s="123">
        <v>-101.64427000000001</v>
      </c>
      <c r="K356" s="122" t="s">
        <v>139</v>
      </c>
      <c r="L356" s="125" t="str">
        <f t="shared" si="13"/>
        <v>Ver en Google Maps</v>
      </c>
      <c r="M356" s="122">
        <v>2</v>
      </c>
      <c r="N356" s="108">
        <v>45934</v>
      </c>
      <c r="O356" s="109">
        <f>DAY('BD1'!$N356)</f>
        <v>4</v>
      </c>
      <c r="P356" s="109">
        <f>MONTH('BD1'!$N356)</f>
        <v>10</v>
      </c>
      <c r="Q356" s="109">
        <f>YEAR('BD1'!$N356)</f>
        <v>2025</v>
      </c>
      <c r="R356" s="109">
        <v>1</v>
      </c>
      <c r="S356" s="109" t="s">
        <v>138</v>
      </c>
      <c r="T356" s="109" t="s">
        <v>138</v>
      </c>
      <c r="U356" s="109" t="s">
        <v>138</v>
      </c>
      <c r="V356" s="109" t="s">
        <v>138</v>
      </c>
      <c r="W356" s="109" t="s">
        <v>138</v>
      </c>
      <c r="X356" s="109" t="s">
        <v>138</v>
      </c>
      <c r="Y356" s="109" t="s">
        <v>138</v>
      </c>
      <c r="Z356" s="109" t="s">
        <v>934</v>
      </c>
      <c r="AA356" s="109">
        <v>12.67</v>
      </c>
      <c r="AB356" s="109">
        <v>39.99</v>
      </c>
      <c r="AC356" s="110" t="s">
        <v>969</v>
      </c>
      <c r="AD356" s="110" t="s">
        <v>957</v>
      </c>
      <c r="AE356" s="109">
        <f t="shared" si="14"/>
        <v>7</v>
      </c>
      <c r="AF356" s="151" t="str">
        <f t="shared" si="15"/>
        <v>Funcional con observaciones</v>
      </c>
    </row>
    <row r="357" spans="1:32" x14ac:dyDescent="0.2">
      <c r="A357" s="112">
        <v>970</v>
      </c>
      <c r="B357" s="113" t="s">
        <v>956</v>
      </c>
      <c r="C357" s="114" t="s">
        <v>14</v>
      </c>
      <c r="D357" s="114" t="s">
        <v>404</v>
      </c>
      <c r="E357" s="115" t="s">
        <v>790</v>
      </c>
      <c r="F357" s="115" t="s">
        <v>748</v>
      </c>
      <c r="G357" s="115" t="s">
        <v>988</v>
      </c>
      <c r="H357" s="113" t="s">
        <v>8</v>
      </c>
      <c r="I357" s="114">
        <v>21.116177</v>
      </c>
      <c r="J357" s="114">
        <v>-101.660112</v>
      </c>
      <c r="K357" s="113"/>
      <c r="L357" s="116" t="str">
        <f t="shared" si="13"/>
        <v>Ver en Google Maps</v>
      </c>
      <c r="M357" s="113">
        <v>1</v>
      </c>
      <c r="N357" s="129"/>
      <c r="O357" s="118"/>
      <c r="P357" s="118"/>
      <c r="Q357" s="118"/>
      <c r="R357" s="118"/>
      <c r="S357" s="118"/>
      <c r="T357" s="118"/>
      <c r="U357" s="118"/>
      <c r="V357" s="118"/>
      <c r="W357" s="118"/>
      <c r="X357" s="118"/>
      <c r="Y357" s="118"/>
      <c r="Z357" s="118"/>
      <c r="AA357" s="118"/>
      <c r="AB357" s="118"/>
      <c r="AC357" s="118"/>
      <c r="AD357" s="119"/>
      <c r="AE357" s="118"/>
      <c r="AF357" s="152"/>
    </row>
    <row r="358" spans="1:32" x14ac:dyDescent="0.2">
      <c r="A358" s="121">
        <v>971</v>
      </c>
      <c r="B358" s="122" t="s">
        <v>956</v>
      </c>
      <c r="C358" s="123" t="s">
        <v>87</v>
      </c>
      <c r="D358" s="123" t="s">
        <v>563</v>
      </c>
      <c r="E358" s="124" t="s">
        <v>791</v>
      </c>
      <c r="F358" s="124" t="s">
        <v>792</v>
      </c>
      <c r="G358" s="124" t="s">
        <v>1047</v>
      </c>
      <c r="H358" s="122" t="s">
        <v>8</v>
      </c>
      <c r="I358" s="123">
        <v>21.14433</v>
      </c>
      <c r="J358" s="123">
        <v>-101.70335</v>
      </c>
      <c r="K358" s="122" t="s">
        <v>139</v>
      </c>
      <c r="L358" s="125" t="str">
        <f t="shared" si="13"/>
        <v>Ver en Google Maps</v>
      </c>
      <c r="M358" s="122">
        <v>1</v>
      </c>
      <c r="N358" s="108">
        <v>45933</v>
      </c>
      <c r="O358" s="109">
        <f>DAY('BD1'!$N358)</f>
        <v>3</v>
      </c>
      <c r="P358" s="109">
        <f>MONTH('BD1'!$N358)</f>
        <v>10</v>
      </c>
      <c r="Q358" s="109">
        <f>YEAR('BD1'!$N358)</f>
        <v>2025</v>
      </c>
      <c r="R358" s="109">
        <v>1</v>
      </c>
      <c r="S358" s="109" t="s">
        <v>138</v>
      </c>
      <c r="T358" s="109" t="s">
        <v>138</v>
      </c>
      <c r="U358" s="109" t="s">
        <v>138</v>
      </c>
      <c r="V358" s="109" t="s">
        <v>138</v>
      </c>
      <c r="W358" s="109" t="s">
        <v>138</v>
      </c>
      <c r="X358" s="109" t="s">
        <v>138</v>
      </c>
      <c r="Y358" s="109" t="s">
        <v>138</v>
      </c>
      <c r="Z358" s="109" t="s">
        <v>934</v>
      </c>
      <c r="AA358" s="109">
        <v>8.25</v>
      </c>
      <c r="AB358" s="109">
        <v>12.57</v>
      </c>
      <c r="AC358" s="110" t="s">
        <v>969</v>
      </c>
      <c r="AD358" s="110" t="s">
        <v>957</v>
      </c>
      <c r="AE358" s="109">
        <f t="shared" si="14"/>
        <v>7</v>
      </c>
      <c r="AF358" s="151" t="str">
        <f t="shared" si="15"/>
        <v>Funcional con observaciones</v>
      </c>
    </row>
    <row r="359" spans="1:32" x14ac:dyDescent="0.2">
      <c r="A359" s="112">
        <v>972</v>
      </c>
      <c r="B359" s="113" t="s">
        <v>956</v>
      </c>
      <c r="C359" s="114" t="s">
        <v>87</v>
      </c>
      <c r="D359" s="114" t="s">
        <v>563</v>
      </c>
      <c r="E359" s="115" t="s">
        <v>793</v>
      </c>
      <c r="F359" s="115" t="s">
        <v>794</v>
      </c>
      <c r="G359" s="115" t="s">
        <v>991</v>
      </c>
      <c r="H359" s="113" t="s">
        <v>8</v>
      </c>
      <c r="I359" s="114">
        <v>21.106836999999999</v>
      </c>
      <c r="J359" s="114">
        <v>-101.65272299999999</v>
      </c>
      <c r="K359" s="113" t="s">
        <v>139</v>
      </c>
      <c r="L359" s="116" t="str">
        <f t="shared" si="13"/>
        <v>Ver en Google Maps</v>
      </c>
      <c r="M359" s="113">
        <v>2</v>
      </c>
      <c r="N359" s="117">
        <v>45934</v>
      </c>
      <c r="O359" s="118">
        <f>DAY('BD1'!$N359)</f>
        <v>4</v>
      </c>
      <c r="P359" s="118">
        <f>MONTH('BD1'!$N359)</f>
        <v>10</v>
      </c>
      <c r="Q359" s="118">
        <f>YEAR('BD1'!$N359)</f>
        <v>2025</v>
      </c>
      <c r="R359" s="118">
        <v>1</v>
      </c>
      <c r="S359" s="118" t="s">
        <v>138</v>
      </c>
      <c r="T359" s="118" t="s">
        <v>138</v>
      </c>
      <c r="U359" s="118" t="s">
        <v>138</v>
      </c>
      <c r="V359" s="118" t="s">
        <v>138</v>
      </c>
      <c r="W359" s="118" t="s">
        <v>138</v>
      </c>
      <c r="X359" s="118" t="s">
        <v>138</v>
      </c>
      <c r="Y359" s="118" t="s">
        <v>138</v>
      </c>
      <c r="Z359" s="118" t="s">
        <v>138</v>
      </c>
      <c r="AA359" s="118">
        <v>67.59</v>
      </c>
      <c r="AB359" s="118">
        <v>44.21</v>
      </c>
      <c r="AC359" s="119" t="s">
        <v>967</v>
      </c>
      <c r="AD359" s="119" t="s">
        <v>957</v>
      </c>
      <c r="AE359" s="118">
        <f t="shared" si="14"/>
        <v>8</v>
      </c>
      <c r="AF359" s="152" t="str">
        <f t="shared" si="15"/>
        <v>Estable</v>
      </c>
    </row>
    <row r="360" spans="1:32" x14ac:dyDescent="0.2">
      <c r="A360" s="121">
        <v>973</v>
      </c>
      <c r="B360" s="122" t="s">
        <v>956</v>
      </c>
      <c r="C360" s="123" t="s">
        <v>87</v>
      </c>
      <c r="D360" s="123" t="s">
        <v>563</v>
      </c>
      <c r="E360" s="124" t="s">
        <v>795</v>
      </c>
      <c r="F360" s="124" t="s">
        <v>796</v>
      </c>
      <c r="G360" s="124" t="s">
        <v>1127</v>
      </c>
      <c r="H360" s="122" t="s">
        <v>8</v>
      </c>
      <c r="I360" s="123">
        <v>21.10098</v>
      </c>
      <c r="J360" s="123">
        <v>-101.66424000000001</v>
      </c>
      <c r="K360" s="122" t="s">
        <v>139</v>
      </c>
      <c r="L360" s="125" t="str">
        <f t="shared" si="13"/>
        <v>Ver en Google Maps</v>
      </c>
      <c r="M360" s="122">
        <v>2</v>
      </c>
      <c r="N360" s="108">
        <v>45934</v>
      </c>
      <c r="O360" s="109">
        <f>DAY('BD1'!$N360)</f>
        <v>4</v>
      </c>
      <c r="P360" s="109">
        <f>MONTH('BD1'!$N360)</f>
        <v>10</v>
      </c>
      <c r="Q360" s="109">
        <f>YEAR('BD1'!$N360)</f>
        <v>2025</v>
      </c>
      <c r="R360" s="109">
        <v>1</v>
      </c>
      <c r="S360" s="109" t="s">
        <v>138</v>
      </c>
      <c r="T360" s="109" t="s">
        <v>138</v>
      </c>
      <c r="U360" s="109" t="s">
        <v>138</v>
      </c>
      <c r="V360" s="109" t="s">
        <v>138</v>
      </c>
      <c r="W360" s="109" t="s">
        <v>138</v>
      </c>
      <c r="X360" s="109" t="s">
        <v>138</v>
      </c>
      <c r="Y360" s="109" t="s">
        <v>138</v>
      </c>
      <c r="Z360" s="109" t="s">
        <v>138</v>
      </c>
      <c r="AA360" s="109">
        <v>25.54</v>
      </c>
      <c r="AB360" s="109">
        <v>51.35</v>
      </c>
      <c r="AC360" s="110" t="s">
        <v>967</v>
      </c>
      <c r="AD360" s="110" t="s">
        <v>957</v>
      </c>
      <c r="AE360" s="109">
        <f t="shared" si="14"/>
        <v>8</v>
      </c>
      <c r="AF360" s="151" t="str">
        <f t="shared" si="15"/>
        <v>Estable</v>
      </c>
    </row>
    <row r="361" spans="1:32" x14ac:dyDescent="0.2">
      <c r="A361" s="112">
        <v>974</v>
      </c>
      <c r="B361" s="113" t="s">
        <v>956</v>
      </c>
      <c r="C361" s="114" t="s">
        <v>87</v>
      </c>
      <c r="D361" s="114" t="s">
        <v>563</v>
      </c>
      <c r="E361" s="115" t="s">
        <v>797</v>
      </c>
      <c r="F361" s="115" t="s">
        <v>798</v>
      </c>
      <c r="G361" s="115" t="s">
        <v>1143</v>
      </c>
      <c r="H361" s="113" t="s">
        <v>8</v>
      </c>
      <c r="I361" s="114">
        <v>21.088480000000001</v>
      </c>
      <c r="J361" s="114">
        <v>-101.69063</v>
      </c>
      <c r="K361" s="113"/>
      <c r="L361" s="116" t="str">
        <f t="shared" si="13"/>
        <v>Ver en Google Maps</v>
      </c>
      <c r="M361" s="113">
        <v>1</v>
      </c>
      <c r="N361" s="129"/>
      <c r="O361" s="118"/>
      <c r="P361" s="118"/>
      <c r="Q361" s="118"/>
      <c r="R361" s="118"/>
      <c r="S361" s="118"/>
      <c r="T361" s="118"/>
      <c r="U361" s="118"/>
      <c r="V361" s="118"/>
      <c r="W361" s="118"/>
      <c r="X361" s="118"/>
      <c r="Y361" s="118"/>
      <c r="Z361" s="118"/>
      <c r="AA361" s="118"/>
      <c r="AB361" s="118"/>
      <c r="AC361" s="118"/>
      <c r="AD361" s="119"/>
      <c r="AE361" s="118"/>
      <c r="AF361" s="152"/>
    </row>
    <row r="362" spans="1:32" x14ac:dyDescent="0.2">
      <c r="A362" s="121">
        <v>975</v>
      </c>
      <c r="B362" s="122" t="s">
        <v>956</v>
      </c>
      <c r="C362" s="123" t="s">
        <v>87</v>
      </c>
      <c r="D362" s="123" t="s">
        <v>563</v>
      </c>
      <c r="E362" s="124" t="s">
        <v>799</v>
      </c>
      <c r="F362" s="124" t="s">
        <v>800</v>
      </c>
      <c r="G362" s="124" t="s">
        <v>1172</v>
      </c>
      <c r="H362" s="122" t="s">
        <v>8</v>
      </c>
      <c r="I362" s="123">
        <v>21.095300000000002</v>
      </c>
      <c r="J362" s="123">
        <v>-101.71648</v>
      </c>
      <c r="K362" s="122" t="s">
        <v>139</v>
      </c>
      <c r="L362" s="125" t="str">
        <f t="shared" si="13"/>
        <v>Ver en Google Maps</v>
      </c>
      <c r="M362" s="122">
        <v>1</v>
      </c>
      <c r="N362" s="108">
        <v>45932</v>
      </c>
      <c r="O362" s="109">
        <f>DAY('BD1'!$N362)</f>
        <v>2</v>
      </c>
      <c r="P362" s="109">
        <f>MONTH('BD1'!$N362)</f>
        <v>10</v>
      </c>
      <c r="Q362" s="109">
        <f>YEAR('BD1'!$N362)</f>
        <v>2025</v>
      </c>
      <c r="R362" s="109">
        <v>1</v>
      </c>
      <c r="S362" s="109" t="s">
        <v>138</v>
      </c>
      <c r="T362" s="109" t="s">
        <v>138</v>
      </c>
      <c r="U362" s="109" t="s">
        <v>138</v>
      </c>
      <c r="V362" s="109" t="s">
        <v>138</v>
      </c>
      <c r="W362" s="109" t="s">
        <v>138</v>
      </c>
      <c r="X362" s="109" t="s">
        <v>138</v>
      </c>
      <c r="Y362" s="109" t="s">
        <v>138</v>
      </c>
      <c r="Z362" s="109" t="s">
        <v>138</v>
      </c>
      <c r="AA362" s="109">
        <v>15.3</v>
      </c>
      <c r="AB362" s="109">
        <v>24.3</v>
      </c>
      <c r="AC362" s="155" t="s">
        <v>967</v>
      </c>
      <c r="AD362" s="110" t="s">
        <v>957</v>
      </c>
      <c r="AE362" s="109">
        <f t="shared" si="14"/>
        <v>8</v>
      </c>
      <c r="AF362" s="151" t="str">
        <f t="shared" si="15"/>
        <v>Estable</v>
      </c>
    </row>
    <row r="363" spans="1:32" x14ac:dyDescent="0.2">
      <c r="A363" s="112">
        <v>976</v>
      </c>
      <c r="B363" s="113" t="s">
        <v>956</v>
      </c>
      <c r="C363" s="114" t="s">
        <v>87</v>
      </c>
      <c r="D363" s="114" t="s">
        <v>563</v>
      </c>
      <c r="E363" s="115" t="s">
        <v>801</v>
      </c>
      <c r="F363" s="115" t="s">
        <v>802</v>
      </c>
      <c r="G363" s="115" t="s">
        <v>976</v>
      </c>
      <c r="H363" s="113" t="s">
        <v>8</v>
      </c>
      <c r="I363" s="114">
        <v>21.103536999999999</v>
      </c>
      <c r="J363" s="114">
        <v>-101.701385</v>
      </c>
      <c r="K363" s="113" t="s">
        <v>3057</v>
      </c>
      <c r="L363" s="116" t="str">
        <f t="shared" si="13"/>
        <v>Ver en Google Maps</v>
      </c>
      <c r="M363" s="113">
        <v>1</v>
      </c>
      <c r="N363" s="117">
        <v>45932</v>
      </c>
      <c r="O363" s="118">
        <f>DAY('BD1'!$N363)</f>
        <v>2</v>
      </c>
      <c r="P363" s="118">
        <f>MONTH('BD1'!$N363)</f>
        <v>10</v>
      </c>
      <c r="Q363" s="118">
        <f>YEAR('BD1'!$N363)</f>
        <v>2025</v>
      </c>
      <c r="R363" s="118">
        <v>1</v>
      </c>
      <c r="S363" s="118" t="s">
        <v>138</v>
      </c>
      <c r="T363" s="118" t="s">
        <v>138</v>
      </c>
      <c r="U363" s="118" t="s">
        <v>138</v>
      </c>
      <c r="V363" s="118" t="s">
        <v>138</v>
      </c>
      <c r="W363" s="118" t="s">
        <v>138</v>
      </c>
      <c r="X363" s="118" t="s">
        <v>138</v>
      </c>
      <c r="Y363" s="118" t="s">
        <v>138</v>
      </c>
      <c r="Z363" s="118" t="s">
        <v>138</v>
      </c>
      <c r="AA363" s="118">
        <v>15.3</v>
      </c>
      <c r="AB363" s="118">
        <v>24.03</v>
      </c>
      <c r="AC363" s="119" t="s">
        <v>967</v>
      </c>
      <c r="AD363" s="119" t="s">
        <v>957</v>
      </c>
      <c r="AE363" s="118">
        <f t="shared" si="14"/>
        <v>8</v>
      </c>
      <c r="AF363" s="152" t="str">
        <f t="shared" si="15"/>
        <v>Estable</v>
      </c>
    </row>
    <row r="364" spans="1:32" x14ac:dyDescent="0.2">
      <c r="A364" s="121">
        <v>977</v>
      </c>
      <c r="B364" s="122" t="s">
        <v>956</v>
      </c>
      <c r="C364" s="123" t="s">
        <v>87</v>
      </c>
      <c r="D364" s="123" t="s">
        <v>563</v>
      </c>
      <c r="E364" s="124" t="s">
        <v>803</v>
      </c>
      <c r="F364" s="124" t="s">
        <v>804</v>
      </c>
      <c r="G364" s="124" t="s">
        <v>1016</v>
      </c>
      <c r="H364" s="122" t="s">
        <v>8</v>
      </c>
      <c r="I364" s="123">
        <v>21.08839</v>
      </c>
      <c r="J364" s="123">
        <v>-101.63072</v>
      </c>
      <c r="K364" s="122"/>
      <c r="L364" s="125" t="str">
        <f t="shared" si="13"/>
        <v>Ver en Google Maps</v>
      </c>
      <c r="M364" s="122">
        <v>2</v>
      </c>
      <c r="N364" s="130"/>
      <c r="O364" s="109"/>
      <c r="P364" s="109"/>
      <c r="Q364" s="109"/>
      <c r="R364" s="109"/>
      <c r="S364" s="109"/>
      <c r="T364" s="109"/>
      <c r="U364" s="109"/>
      <c r="V364" s="109"/>
      <c r="W364" s="109"/>
      <c r="X364" s="109"/>
      <c r="Y364" s="109"/>
      <c r="Z364" s="109"/>
      <c r="AA364" s="109"/>
      <c r="AB364" s="109"/>
      <c r="AC364" s="109"/>
      <c r="AD364" s="110"/>
      <c r="AE364" s="109"/>
      <c r="AF364" s="151"/>
    </row>
    <row r="365" spans="1:32" x14ac:dyDescent="0.2">
      <c r="A365" s="112">
        <v>978</v>
      </c>
      <c r="B365" s="113" t="s">
        <v>956</v>
      </c>
      <c r="C365" s="114" t="s">
        <v>87</v>
      </c>
      <c r="D365" s="114" t="s">
        <v>805</v>
      </c>
      <c r="E365" s="115" t="s">
        <v>806</v>
      </c>
      <c r="F365" s="115" t="s">
        <v>807</v>
      </c>
      <c r="G365" s="115" t="s">
        <v>1074</v>
      </c>
      <c r="H365" s="113" t="s">
        <v>8</v>
      </c>
      <c r="I365" s="114">
        <v>21.1097</v>
      </c>
      <c r="J365" s="114">
        <v>-101.70059000000001</v>
      </c>
      <c r="K365" s="113" t="s">
        <v>139</v>
      </c>
      <c r="L365" s="116" t="str">
        <f t="shared" si="13"/>
        <v>Ver en Google Maps</v>
      </c>
      <c r="M365" s="113">
        <v>1</v>
      </c>
      <c r="N365" s="117">
        <v>45932</v>
      </c>
      <c r="O365" s="118">
        <f>DAY('BD1'!$N365)</f>
        <v>2</v>
      </c>
      <c r="P365" s="118">
        <f>MONTH('BD1'!$N365)</f>
        <v>10</v>
      </c>
      <c r="Q365" s="118">
        <f>YEAR('BD1'!$N365)</f>
        <v>2025</v>
      </c>
      <c r="R365" s="118">
        <v>1</v>
      </c>
      <c r="S365" s="118" t="s">
        <v>138</v>
      </c>
      <c r="T365" s="118" t="s">
        <v>138</v>
      </c>
      <c r="U365" s="118" t="s">
        <v>138</v>
      </c>
      <c r="V365" s="118" t="s">
        <v>138</v>
      </c>
      <c r="W365" s="118" t="s">
        <v>138</v>
      </c>
      <c r="X365" s="118" t="s">
        <v>138</v>
      </c>
      <c r="Y365" s="118" t="s">
        <v>138</v>
      </c>
      <c r="Z365" s="118" t="s">
        <v>138</v>
      </c>
      <c r="AA365" s="118">
        <v>79.459999999999994</v>
      </c>
      <c r="AB365" s="118">
        <v>33.950000000000003</v>
      </c>
      <c r="AC365" s="119" t="s">
        <v>967</v>
      </c>
      <c r="AD365" s="119" t="s">
        <v>957</v>
      </c>
      <c r="AE365" s="118">
        <f t="shared" si="14"/>
        <v>8</v>
      </c>
      <c r="AF365" s="152" t="str">
        <f t="shared" si="15"/>
        <v>Estable</v>
      </c>
    </row>
    <row r="366" spans="1:32" x14ac:dyDescent="0.2">
      <c r="A366" s="121">
        <v>979</v>
      </c>
      <c r="B366" s="122" t="s">
        <v>956</v>
      </c>
      <c r="C366" s="123" t="s">
        <v>87</v>
      </c>
      <c r="D366" s="123" t="s">
        <v>563</v>
      </c>
      <c r="E366" s="124" t="s">
        <v>808</v>
      </c>
      <c r="F366" s="124" t="s">
        <v>809</v>
      </c>
      <c r="G366" s="124" t="s">
        <v>1107</v>
      </c>
      <c r="H366" s="122" t="s">
        <v>8</v>
      </c>
      <c r="I366" s="123">
        <v>21.097100000000001</v>
      </c>
      <c r="J366" s="123">
        <v>-101.69062</v>
      </c>
      <c r="K366" s="122"/>
      <c r="L366" s="125" t="str">
        <f t="shared" si="13"/>
        <v>Ver en Google Maps</v>
      </c>
      <c r="M366" s="122">
        <v>1</v>
      </c>
      <c r="N366" s="130"/>
      <c r="O366" s="109"/>
      <c r="P366" s="109"/>
      <c r="Q366" s="109"/>
      <c r="R366" s="109"/>
      <c r="S366" s="109"/>
      <c r="T366" s="109"/>
      <c r="U366" s="109"/>
      <c r="V366" s="109"/>
      <c r="W366" s="109"/>
      <c r="X366" s="109"/>
      <c r="Y366" s="109"/>
      <c r="Z366" s="109"/>
      <c r="AA366" s="109"/>
      <c r="AB366" s="109"/>
      <c r="AC366" s="109"/>
      <c r="AD366" s="110"/>
      <c r="AE366" s="109"/>
      <c r="AF366" s="151"/>
    </row>
    <row r="367" spans="1:32" x14ac:dyDescent="0.2">
      <c r="A367" s="112">
        <v>980</v>
      </c>
      <c r="B367" s="113" t="s">
        <v>956</v>
      </c>
      <c r="C367" s="114" t="s">
        <v>87</v>
      </c>
      <c r="D367" s="114" t="s">
        <v>563</v>
      </c>
      <c r="E367" s="115" t="s">
        <v>810</v>
      </c>
      <c r="F367" s="115" t="s">
        <v>811</v>
      </c>
      <c r="G367" s="115" t="s">
        <v>1173</v>
      </c>
      <c r="H367" s="113" t="s">
        <v>8</v>
      </c>
      <c r="I367" s="114">
        <v>21.09412</v>
      </c>
      <c r="J367" s="114">
        <v>-101.6589</v>
      </c>
      <c r="K367" s="113"/>
      <c r="L367" s="116" t="str">
        <f t="shared" si="13"/>
        <v>Ver en Google Maps</v>
      </c>
      <c r="M367" s="113">
        <v>2</v>
      </c>
      <c r="N367" s="129"/>
      <c r="O367" s="118"/>
      <c r="P367" s="118"/>
      <c r="Q367" s="118"/>
      <c r="R367" s="118"/>
      <c r="S367" s="118"/>
      <c r="T367" s="118"/>
      <c r="U367" s="118"/>
      <c r="V367" s="118"/>
      <c r="W367" s="118"/>
      <c r="X367" s="118"/>
      <c r="Y367" s="118"/>
      <c r="Z367" s="118"/>
      <c r="AA367" s="118"/>
      <c r="AB367" s="118"/>
      <c r="AC367" s="118"/>
      <c r="AD367" s="119"/>
      <c r="AE367" s="118"/>
      <c r="AF367" s="152"/>
    </row>
    <row r="368" spans="1:32" x14ac:dyDescent="0.2">
      <c r="A368" s="121">
        <v>981</v>
      </c>
      <c r="B368" s="122" t="s">
        <v>956</v>
      </c>
      <c r="C368" s="123" t="s">
        <v>87</v>
      </c>
      <c r="D368" s="123" t="s">
        <v>805</v>
      </c>
      <c r="E368" s="124" t="s">
        <v>812</v>
      </c>
      <c r="F368" s="124" t="s">
        <v>813</v>
      </c>
      <c r="G368" s="124" t="s">
        <v>1025</v>
      </c>
      <c r="H368" s="122" t="s">
        <v>8</v>
      </c>
      <c r="I368" s="123">
        <v>21.120349000000001</v>
      </c>
      <c r="J368" s="123">
        <v>-101.638986</v>
      </c>
      <c r="K368" s="122" t="s">
        <v>139</v>
      </c>
      <c r="L368" s="125" t="str">
        <f t="shared" si="13"/>
        <v>Ver en Google Maps</v>
      </c>
      <c r="M368" s="122">
        <v>1</v>
      </c>
      <c r="N368" s="108">
        <v>45934</v>
      </c>
      <c r="O368" s="109">
        <f>DAY('BD1'!$N368)</f>
        <v>4</v>
      </c>
      <c r="P368" s="109">
        <f>MONTH('BD1'!$N368)</f>
        <v>10</v>
      </c>
      <c r="Q368" s="109">
        <f>YEAR('BD1'!$N368)</f>
        <v>2025</v>
      </c>
      <c r="R368" s="109">
        <v>1</v>
      </c>
      <c r="S368" s="109" t="s">
        <v>138</v>
      </c>
      <c r="T368" s="109" t="s">
        <v>138</v>
      </c>
      <c r="U368" s="109" t="s">
        <v>138</v>
      </c>
      <c r="V368" s="109" t="s">
        <v>138</v>
      </c>
      <c r="W368" s="109" t="s">
        <v>138</v>
      </c>
      <c r="X368" s="109" t="s">
        <v>138</v>
      </c>
      <c r="Y368" s="109" t="s">
        <v>138</v>
      </c>
      <c r="Z368" s="109" t="s">
        <v>138</v>
      </c>
      <c r="AA368" s="109">
        <v>24.32</v>
      </c>
      <c r="AB368" s="109">
        <v>16.79</v>
      </c>
      <c r="AC368" s="110" t="s">
        <v>967</v>
      </c>
      <c r="AD368" s="110" t="s">
        <v>957</v>
      </c>
      <c r="AE368" s="109">
        <f t="shared" si="14"/>
        <v>8</v>
      </c>
      <c r="AF368" s="151" t="str">
        <f t="shared" si="15"/>
        <v>Estable</v>
      </c>
    </row>
    <row r="369" spans="1:32" x14ac:dyDescent="0.2">
      <c r="A369" s="112">
        <v>982</v>
      </c>
      <c r="B369" s="113" t="s">
        <v>956</v>
      </c>
      <c r="C369" s="114" t="s">
        <v>87</v>
      </c>
      <c r="D369" s="114" t="s">
        <v>805</v>
      </c>
      <c r="E369" s="115" t="s">
        <v>814</v>
      </c>
      <c r="F369" s="115" t="s">
        <v>815</v>
      </c>
      <c r="G369" s="115" t="s">
        <v>993</v>
      </c>
      <c r="H369" s="113" t="s">
        <v>8</v>
      </c>
      <c r="I369" s="114">
        <v>21.126010000000001</v>
      </c>
      <c r="J369" s="114">
        <v>-101.7029</v>
      </c>
      <c r="K369" s="113" t="s">
        <v>139</v>
      </c>
      <c r="L369" s="116" t="str">
        <f t="shared" si="13"/>
        <v>Ver en Google Maps</v>
      </c>
      <c r="M369" s="113">
        <v>1</v>
      </c>
      <c r="N369" s="117">
        <v>45933</v>
      </c>
      <c r="O369" s="118">
        <f>DAY('BD1'!$N369)</f>
        <v>3</v>
      </c>
      <c r="P369" s="118">
        <f>MONTH('BD1'!$N369)</f>
        <v>10</v>
      </c>
      <c r="Q369" s="118">
        <f>YEAR('BD1'!$N369)</f>
        <v>2025</v>
      </c>
      <c r="R369" s="118">
        <v>1</v>
      </c>
      <c r="S369" s="118" t="s">
        <v>138</v>
      </c>
      <c r="T369" s="118" t="s">
        <v>138</v>
      </c>
      <c r="U369" s="118" t="s">
        <v>138</v>
      </c>
      <c r="V369" s="118" t="s">
        <v>138</v>
      </c>
      <c r="W369" s="118" t="s">
        <v>138</v>
      </c>
      <c r="X369" s="118" t="s">
        <v>138</v>
      </c>
      <c r="Y369" s="118" t="s">
        <v>138</v>
      </c>
      <c r="Z369" s="118" t="s">
        <v>138</v>
      </c>
      <c r="AA369" s="118">
        <v>80.959999999999994</v>
      </c>
      <c r="AB369" s="118">
        <v>32.479999999999997</v>
      </c>
      <c r="AC369" s="119" t="s">
        <v>967</v>
      </c>
      <c r="AD369" s="119" t="s">
        <v>957</v>
      </c>
      <c r="AE369" s="118">
        <f t="shared" si="14"/>
        <v>8</v>
      </c>
      <c r="AF369" s="152" t="str">
        <f t="shared" si="15"/>
        <v>Estable</v>
      </c>
    </row>
    <row r="370" spans="1:32" x14ac:dyDescent="0.2">
      <c r="A370" s="121">
        <v>983</v>
      </c>
      <c r="B370" s="122" t="s">
        <v>956</v>
      </c>
      <c r="C370" s="123" t="s">
        <v>87</v>
      </c>
      <c r="D370" s="123" t="s">
        <v>563</v>
      </c>
      <c r="E370" s="124" t="s">
        <v>816</v>
      </c>
      <c r="F370" s="124" t="s">
        <v>817</v>
      </c>
      <c r="G370" s="124" t="s">
        <v>1012</v>
      </c>
      <c r="H370" s="122" t="s">
        <v>8</v>
      </c>
      <c r="I370" s="123">
        <v>21.141390000000001</v>
      </c>
      <c r="J370" s="123">
        <v>-101.69641</v>
      </c>
      <c r="K370" s="122"/>
      <c r="L370" s="125" t="str">
        <f t="shared" si="13"/>
        <v>Ver en Google Maps</v>
      </c>
      <c r="M370" s="122">
        <v>1</v>
      </c>
      <c r="N370" s="130"/>
      <c r="O370" s="109"/>
      <c r="P370" s="109"/>
      <c r="Q370" s="109"/>
      <c r="R370" s="109"/>
      <c r="S370" s="109"/>
      <c r="T370" s="109"/>
      <c r="U370" s="109"/>
      <c r="V370" s="109"/>
      <c r="W370" s="109"/>
      <c r="X370" s="109"/>
      <c r="Y370" s="109"/>
      <c r="Z370" s="109"/>
      <c r="AA370" s="109"/>
      <c r="AB370" s="109"/>
      <c r="AC370" s="109"/>
      <c r="AD370" s="110"/>
      <c r="AE370" s="109"/>
      <c r="AF370" s="151"/>
    </row>
    <row r="371" spans="1:32" x14ac:dyDescent="0.2">
      <c r="A371" s="112">
        <v>984</v>
      </c>
      <c r="B371" s="113" t="s">
        <v>956</v>
      </c>
      <c r="C371" s="114" t="s">
        <v>87</v>
      </c>
      <c r="D371" s="114" t="s">
        <v>782</v>
      </c>
      <c r="E371" s="115" t="s">
        <v>376</v>
      </c>
      <c r="F371" s="115" t="s">
        <v>818</v>
      </c>
      <c r="G371" s="115" t="s">
        <v>1056</v>
      </c>
      <c r="H371" s="113" t="s">
        <v>8</v>
      </c>
      <c r="I371" s="114">
        <v>21.134789999999999</v>
      </c>
      <c r="J371" s="114">
        <v>-101.7071</v>
      </c>
      <c r="K371" s="113" t="s">
        <v>139</v>
      </c>
      <c r="L371" s="116" t="str">
        <f t="shared" si="13"/>
        <v>Ver en Google Maps</v>
      </c>
      <c r="M371" s="113">
        <v>1</v>
      </c>
      <c r="N371" s="117">
        <v>45933</v>
      </c>
      <c r="O371" s="118">
        <f>DAY('BD1'!$N371)</f>
        <v>3</v>
      </c>
      <c r="P371" s="118">
        <f>MONTH('BD1'!$N371)</f>
        <v>10</v>
      </c>
      <c r="Q371" s="118">
        <f>YEAR('BD1'!$N371)</f>
        <v>2025</v>
      </c>
      <c r="R371" s="118">
        <v>1</v>
      </c>
      <c r="S371" s="118" t="s">
        <v>138</v>
      </c>
      <c r="T371" s="118" t="s">
        <v>138</v>
      </c>
      <c r="U371" s="118" t="s">
        <v>138</v>
      </c>
      <c r="V371" s="118" t="s">
        <v>138</v>
      </c>
      <c r="W371" s="118" t="s">
        <v>138</v>
      </c>
      <c r="X371" s="118" t="s">
        <v>138</v>
      </c>
      <c r="Y371" s="118" t="s">
        <v>138</v>
      </c>
      <c r="Z371" s="118" t="s">
        <v>138</v>
      </c>
      <c r="AA371" s="118">
        <v>59.1</v>
      </c>
      <c r="AB371" s="118">
        <v>15.38</v>
      </c>
      <c r="AC371" s="119" t="s">
        <v>967</v>
      </c>
      <c r="AD371" s="119" t="s">
        <v>957</v>
      </c>
      <c r="AE371" s="118">
        <f t="shared" si="14"/>
        <v>8</v>
      </c>
      <c r="AF371" s="152" t="str">
        <f t="shared" si="15"/>
        <v>Estable</v>
      </c>
    </row>
    <row r="372" spans="1:32" x14ac:dyDescent="0.2">
      <c r="A372" s="121">
        <v>985</v>
      </c>
      <c r="B372" s="122" t="s">
        <v>956</v>
      </c>
      <c r="C372" s="123" t="s">
        <v>87</v>
      </c>
      <c r="D372" s="123" t="s">
        <v>805</v>
      </c>
      <c r="E372" s="124" t="s">
        <v>819</v>
      </c>
      <c r="F372" s="124" t="s">
        <v>820</v>
      </c>
      <c r="G372" s="124" t="s">
        <v>1059</v>
      </c>
      <c r="H372" s="122" t="s">
        <v>8</v>
      </c>
      <c r="I372" s="123">
        <v>21.116361999999999</v>
      </c>
      <c r="J372" s="123">
        <v>-101.718405</v>
      </c>
      <c r="K372" s="122" t="s">
        <v>139</v>
      </c>
      <c r="L372" s="125" t="str">
        <f t="shared" si="13"/>
        <v>Ver en Google Maps</v>
      </c>
      <c r="M372" s="122">
        <v>1</v>
      </c>
      <c r="N372" s="108">
        <v>45933</v>
      </c>
      <c r="O372" s="109">
        <f>DAY('BD1'!$N372)</f>
        <v>3</v>
      </c>
      <c r="P372" s="109">
        <f>MONTH('BD1'!$N372)</f>
        <v>10</v>
      </c>
      <c r="Q372" s="109">
        <f>YEAR('BD1'!$N372)</f>
        <v>2025</v>
      </c>
      <c r="R372" s="109">
        <v>1</v>
      </c>
      <c r="S372" s="109" t="s">
        <v>138</v>
      </c>
      <c r="T372" s="109" t="s">
        <v>138</v>
      </c>
      <c r="U372" s="109" t="s">
        <v>138</v>
      </c>
      <c r="V372" s="109" t="s">
        <v>138</v>
      </c>
      <c r="W372" s="109" t="s">
        <v>138</v>
      </c>
      <c r="X372" s="109" t="s">
        <v>138</v>
      </c>
      <c r="Y372" s="109" t="s">
        <v>138</v>
      </c>
      <c r="Z372" s="109" t="s">
        <v>138</v>
      </c>
      <c r="AA372" s="109">
        <v>22.08</v>
      </c>
      <c r="AB372" s="109">
        <v>50</v>
      </c>
      <c r="AC372" s="110" t="s">
        <v>967</v>
      </c>
      <c r="AD372" s="110" t="s">
        <v>957</v>
      </c>
      <c r="AE372" s="109">
        <f t="shared" si="14"/>
        <v>8</v>
      </c>
      <c r="AF372" s="151" t="str">
        <f t="shared" si="15"/>
        <v>Estable</v>
      </c>
    </row>
    <row r="373" spans="1:32" x14ac:dyDescent="0.2">
      <c r="A373" s="112">
        <v>986</v>
      </c>
      <c r="B373" s="113" t="s">
        <v>956</v>
      </c>
      <c r="C373" s="114" t="s">
        <v>87</v>
      </c>
      <c r="D373" s="114" t="s">
        <v>563</v>
      </c>
      <c r="E373" s="115" t="s">
        <v>821</v>
      </c>
      <c r="F373" s="115" t="s">
        <v>822</v>
      </c>
      <c r="G373" s="115" t="s">
        <v>1082</v>
      </c>
      <c r="H373" s="113" t="s">
        <v>8</v>
      </c>
      <c r="I373" s="114">
        <v>21.09403</v>
      </c>
      <c r="J373" s="114">
        <v>-101.750462</v>
      </c>
      <c r="K373" s="113"/>
      <c r="L373" s="116" t="str">
        <f t="shared" si="13"/>
        <v>Ver en Google Maps</v>
      </c>
      <c r="M373" s="113">
        <v>1</v>
      </c>
      <c r="N373" s="129"/>
      <c r="O373" s="118"/>
      <c r="P373" s="118"/>
      <c r="Q373" s="118"/>
      <c r="R373" s="118"/>
      <c r="S373" s="118"/>
      <c r="T373" s="118"/>
      <c r="U373" s="118"/>
      <c r="V373" s="118"/>
      <c r="W373" s="118"/>
      <c r="X373" s="118"/>
      <c r="Y373" s="118"/>
      <c r="Z373" s="118"/>
      <c r="AA373" s="118"/>
      <c r="AB373" s="118"/>
      <c r="AC373" s="118"/>
      <c r="AD373" s="119"/>
      <c r="AE373" s="118"/>
      <c r="AF373" s="152"/>
    </row>
    <row r="374" spans="1:32" x14ac:dyDescent="0.2">
      <c r="A374" s="121">
        <v>987</v>
      </c>
      <c r="B374" s="122" t="s">
        <v>956</v>
      </c>
      <c r="C374" s="123" t="s">
        <v>87</v>
      </c>
      <c r="D374" s="123" t="s">
        <v>805</v>
      </c>
      <c r="E374" s="124" t="s">
        <v>823</v>
      </c>
      <c r="F374" s="124" t="s">
        <v>824</v>
      </c>
      <c r="G374" s="124" t="s">
        <v>1174</v>
      </c>
      <c r="H374" s="122" t="s">
        <v>8</v>
      </c>
      <c r="I374" s="123">
        <v>21.139773999999999</v>
      </c>
      <c r="J374" s="123">
        <v>-101.704215</v>
      </c>
      <c r="K374" s="122" t="s">
        <v>139</v>
      </c>
      <c r="L374" s="125" t="str">
        <f t="shared" si="13"/>
        <v>Ver en Google Maps</v>
      </c>
      <c r="M374" s="122">
        <v>1</v>
      </c>
      <c r="N374" s="108">
        <v>45933</v>
      </c>
      <c r="O374" s="109">
        <f>DAY('BD1'!$N374)</f>
        <v>3</v>
      </c>
      <c r="P374" s="109">
        <f>MONTH('BD1'!$N374)</f>
        <v>10</v>
      </c>
      <c r="Q374" s="109">
        <f>YEAR('BD1'!$N374)</f>
        <v>2025</v>
      </c>
      <c r="R374" s="109">
        <v>1</v>
      </c>
      <c r="S374" s="109" t="s">
        <v>138</v>
      </c>
      <c r="T374" s="109" t="s">
        <v>138</v>
      </c>
      <c r="U374" s="109" t="s">
        <v>138</v>
      </c>
      <c r="V374" s="109" t="s">
        <v>138</v>
      </c>
      <c r="W374" s="109" t="s">
        <v>138</v>
      </c>
      <c r="X374" s="109" t="s">
        <v>138</v>
      </c>
      <c r="Y374" s="109" t="s">
        <v>138</v>
      </c>
      <c r="Z374" s="109" t="s">
        <v>138</v>
      </c>
      <c r="AA374" s="109">
        <v>66.27</v>
      </c>
      <c r="AB374" s="109">
        <v>41.64</v>
      </c>
      <c r="AC374" s="110" t="s">
        <v>967</v>
      </c>
      <c r="AD374" s="110" t="s">
        <v>957</v>
      </c>
      <c r="AE374" s="109">
        <f t="shared" si="14"/>
        <v>8</v>
      </c>
      <c r="AF374" s="151" t="str">
        <f t="shared" si="15"/>
        <v>Estable</v>
      </c>
    </row>
    <row r="375" spans="1:32" x14ac:dyDescent="0.2">
      <c r="A375" s="112">
        <v>988</v>
      </c>
      <c r="B375" s="113" t="s">
        <v>956</v>
      </c>
      <c r="C375" s="114" t="s">
        <v>87</v>
      </c>
      <c r="D375" s="114" t="s">
        <v>805</v>
      </c>
      <c r="E375" s="115" t="s">
        <v>825</v>
      </c>
      <c r="F375" s="115" t="s">
        <v>826</v>
      </c>
      <c r="G375" s="115" t="s">
        <v>1175</v>
      </c>
      <c r="H375" s="113" t="s">
        <v>8</v>
      </c>
      <c r="I375" s="114">
        <v>21.066761</v>
      </c>
      <c r="J375" s="114">
        <v>-101.633943</v>
      </c>
      <c r="K375" s="113"/>
      <c r="L375" s="116" t="str">
        <f t="shared" si="13"/>
        <v>Ver en Google Maps</v>
      </c>
      <c r="M375" s="113">
        <v>1</v>
      </c>
      <c r="N375" s="129"/>
      <c r="O375" s="118"/>
      <c r="P375" s="118"/>
      <c r="Q375" s="118"/>
      <c r="R375" s="118"/>
      <c r="S375" s="118"/>
      <c r="T375" s="118"/>
      <c r="U375" s="118"/>
      <c r="V375" s="118"/>
      <c r="W375" s="118"/>
      <c r="X375" s="118"/>
      <c r="Y375" s="118"/>
      <c r="Z375" s="118"/>
      <c r="AA375" s="118"/>
      <c r="AB375" s="118"/>
      <c r="AC375" s="118"/>
      <c r="AD375" s="119"/>
      <c r="AE375" s="118"/>
      <c r="AF375" s="152"/>
    </row>
    <row r="376" spans="1:32" x14ac:dyDescent="0.2">
      <c r="A376" s="121">
        <v>989</v>
      </c>
      <c r="B376" s="122" t="s">
        <v>956</v>
      </c>
      <c r="C376" s="123" t="s">
        <v>429</v>
      </c>
      <c r="D376" s="123" t="s">
        <v>15</v>
      </c>
      <c r="E376" s="124" t="s">
        <v>377</v>
      </c>
      <c r="F376" s="124" t="s">
        <v>827</v>
      </c>
      <c r="G376" s="124" t="s">
        <v>1176</v>
      </c>
      <c r="H376" s="122" t="s">
        <v>8</v>
      </c>
      <c r="I376" s="123">
        <v>21.099332</v>
      </c>
      <c r="J376" s="123">
        <v>-101.67699500000001</v>
      </c>
      <c r="K376" s="122"/>
      <c r="L376" s="125" t="str">
        <f t="shared" si="13"/>
        <v>Ver en Google Maps</v>
      </c>
      <c r="M376" s="122">
        <v>2</v>
      </c>
      <c r="N376" s="130"/>
      <c r="O376" s="109"/>
      <c r="P376" s="109"/>
      <c r="Q376" s="109"/>
      <c r="R376" s="109"/>
      <c r="S376" s="109"/>
      <c r="T376" s="109"/>
      <c r="U376" s="109"/>
      <c r="V376" s="109"/>
      <c r="W376" s="109"/>
      <c r="X376" s="109"/>
      <c r="Y376" s="109"/>
      <c r="Z376" s="109"/>
      <c r="AA376" s="109"/>
      <c r="AB376" s="109"/>
      <c r="AC376" s="109"/>
      <c r="AD376" s="110"/>
      <c r="AE376" s="109"/>
      <c r="AF376" s="151"/>
    </row>
    <row r="377" spans="1:32" x14ac:dyDescent="0.2">
      <c r="A377" s="112">
        <v>990</v>
      </c>
      <c r="B377" s="113" t="s">
        <v>956</v>
      </c>
      <c r="C377" s="114" t="s">
        <v>87</v>
      </c>
      <c r="D377" s="114" t="s">
        <v>805</v>
      </c>
      <c r="E377" s="115" t="s">
        <v>828</v>
      </c>
      <c r="F377" s="115" t="s">
        <v>829</v>
      </c>
      <c r="G377" s="115" t="s">
        <v>1177</v>
      </c>
      <c r="H377" s="113" t="s">
        <v>8</v>
      </c>
      <c r="I377" s="114">
        <v>21.15006</v>
      </c>
      <c r="J377" s="114">
        <v>-101.68125999999999</v>
      </c>
      <c r="K377" s="113" t="s">
        <v>139</v>
      </c>
      <c r="L377" s="116" t="str">
        <f t="shared" si="13"/>
        <v>Ver en Google Maps</v>
      </c>
      <c r="M377" s="113">
        <v>1</v>
      </c>
      <c r="N377" s="117">
        <v>45939</v>
      </c>
      <c r="O377" s="118">
        <f>DAY('BD1'!$N377)</f>
        <v>9</v>
      </c>
      <c r="P377" s="118">
        <f>MONTH('BD1'!$N377)</f>
        <v>10</v>
      </c>
      <c r="Q377" s="118">
        <f>YEAR('BD1'!$N377)</f>
        <v>2025</v>
      </c>
      <c r="R377" s="118">
        <v>1</v>
      </c>
      <c r="S377" s="118" t="s">
        <v>138</v>
      </c>
      <c r="T377" s="118" t="s">
        <v>138</v>
      </c>
      <c r="U377" s="118" t="s">
        <v>138</v>
      </c>
      <c r="V377" s="118" t="s">
        <v>138</v>
      </c>
      <c r="W377" s="118" t="s">
        <v>138</v>
      </c>
      <c r="X377" s="118" t="s">
        <v>138</v>
      </c>
      <c r="Y377" s="118" t="s">
        <v>138</v>
      </c>
      <c r="Z377" s="118" t="s">
        <v>138</v>
      </c>
      <c r="AA377" s="118">
        <v>27.26</v>
      </c>
      <c r="AB377" s="118">
        <v>25.79</v>
      </c>
      <c r="AC377" s="119" t="s">
        <v>967</v>
      </c>
      <c r="AD377" s="119" t="s">
        <v>957</v>
      </c>
      <c r="AE377" s="118">
        <f t="shared" si="14"/>
        <v>8</v>
      </c>
      <c r="AF377" s="152" t="str">
        <f t="shared" si="15"/>
        <v>Estable</v>
      </c>
    </row>
    <row r="378" spans="1:32" x14ac:dyDescent="0.2">
      <c r="A378" s="121">
        <v>991</v>
      </c>
      <c r="B378" s="122" t="s">
        <v>956</v>
      </c>
      <c r="C378" s="123" t="s">
        <v>14</v>
      </c>
      <c r="D378" s="123" t="s">
        <v>404</v>
      </c>
      <c r="E378" s="124" t="s">
        <v>830</v>
      </c>
      <c r="F378" s="124" t="s">
        <v>748</v>
      </c>
      <c r="G378" s="124" t="s">
        <v>988</v>
      </c>
      <c r="H378" s="122" t="s">
        <v>8</v>
      </c>
      <c r="I378" s="123">
        <v>21.116177</v>
      </c>
      <c r="J378" s="123">
        <v>-101.660112</v>
      </c>
      <c r="K378" s="122" t="s">
        <v>139</v>
      </c>
      <c r="L378" s="125" t="str">
        <f t="shared" si="13"/>
        <v>Ver en Google Maps</v>
      </c>
      <c r="M378" s="122">
        <v>1</v>
      </c>
      <c r="N378" s="108">
        <v>45939</v>
      </c>
      <c r="O378" s="109">
        <f>DAY('BD1'!$N378)</f>
        <v>9</v>
      </c>
      <c r="P378" s="109">
        <f>MONTH('BD1'!$N378)</f>
        <v>10</v>
      </c>
      <c r="Q378" s="109">
        <f>YEAR('BD1'!$N378)</f>
        <v>2025</v>
      </c>
      <c r="R378" s="109">
        <v>1</v>
      </c>
      <c r="S378" s="109" t="s">
        <v>138</v>
      </c>
      <c r="T378" s="109" t="s">
        <v>138</v>
      </c>
      <c r="U378" s="109" t="s">
        <v>138</v>
      </c>
      <c r="V378" s="109" t="s">
        <v>138</v>
      </c>
      <c r="W378" s="109" t="s">
        <v>138</v>
      </c>
      <c r="X378" s="109" t="s">
        <v>138</v>
      </c>
      <c r="Y378" s="109" t="s">
        <v>138</v>
      </c>
      <c r="Z378" s="109" t="s">
        <v>934</v>
      </c>
      <c r="AA378" s="109">
        <v>5.82</v>
      </c>
      <c r="AB378" s="109">
        <v>16.16</v>
      </c>
      <c r="AC378" s="110" t="s">
        <v>1412</v>
      </c>
      <c r="AD378" s="110" t="s">
        <v>957</v>
      </c>
      <c r="AE378" s="109">
        <f t="shared" si="14"/>
        <v>7</v>
      </c>
      <c r="AF378" s="151" t="str">
        <f t="shared" si="15"/>
        <v>Funcional con observaciones</v>
      </c>
    </row>
    <row r="379" spans="1:32" x14ac:dyDescent="0.2">
      <c r="A379" s="112">
        <v>992</v>
      </c>
      <c r="B379" s="113" t="s">
        <v>956</v>
      </c>
      <c r="C379" s="114" t="s">
        <v>87</v>
      </c>
      <c r="D379" s="114" t="s">
        <v>563</v>
      </c>
      <c r="E379" s="115" t="s">
        <v>831</v>
      </c>
      <c r="F379" s="115" t="s">
        <v>832</v>
      </c>
      <c r="G379" s="115" t="s">
        <v>1032</v>
      </c>
      <c r="H379" s="113" t="s">
        <v>8</v>
      </c>
      <c r="I379" s="114">
        <v>21.138863000000001</v>
      </c>
      <c r="J379" s="114">
        <v>-101.754857</v>
      </c>
      <c r="K379" s="113" t="s">
        <v>139</v>
      </c>
      <c r="L379" s="116" t="str">
        <f t="shared" si="13"/>
        <v>Ver en Google Maps</v>
      </c>
      <c r="M379" s="113">
        <v>1</v>
      </c>
      <c r="N379" s="117">
        <v>45930</v>
      </c>
      <c r="O379" s="118">
        <f>DAY('BD1'!$N379)</f>
        <v>30</v>
      </c>
      <c r="P379" s="118">
        <f>MONTH('BD1'!$N379)</f>
        <v>9</v>
      </c>
      <c r="Q379" s="118">
        <f>YEAR('BD1'!$N379)</f>
        <v>2025</v>
      </c>
      <c r="R379" s="118">
        <v>1</v>
      </c>
      <c r="S379" s="118" t="s">
        <v>138</v>
      </c>
      <c r="T379" s="118" t="s">
        <v>138</v>
      </c>
      <c r="U379" s="118" t="s">
        <v>138</v>
      </c>
      <c r="V379" s="118" t="s">
        <v>138</v>
      </c>
      <c r="W379" s="118" t="s">
        <v>138</v>
      </c>
      <c r="X379" s="118" t="s">
        <v>138</v>
      </c>
      <c r="Y379" s="118" t="s">
        <v>138</v>
      </c>
      <c r="Z379" s="118" t="s">
        <v>138</v>
      </c>
      <c r="AA379" s="118">
        <v>33.28</v>
      </c>
      <c r="AB379" s="118">
        <v>18.22</v>
      </c>
      <c r="AC379" s="119" t="s">
        <v>967</v>
      </c>
      <c r="AD379" s="119" t="s">
        <v>957</v>
      </c>
      <c r="AE379" s="118">
        <f t="shared" si="14"/>
        <v>8</v>
      </c>
      <c r="AF379" s="152" t="str">
        <f t="shared" si="15"/>
        <v>Estable</v>
      </c>
    </row>
    <row r="380" spans="1:32" x14ac:dyDescent="0.2">
      <c r="A380" s="121">
        <v>994</v>
      </c>
      <c r="B380" s="122" t="s">
        <v>956</v>
      </c>
      <c r="C380" s="123" t="s">
        <v>87</v>
      </c>
      <c r="D380" s="123" t="s">
        <v>563</v>
      </c>
      <c r="E380" s="124" t="s">
        <v>833</v>
      </c>
      <c r="F380" s="124" t="s">
        <v>834</v>
      </c>
      <c r="G380" s="124" t="s">
        <v>1041</v>
      </c>
      <c r="H380" s="122" t="s">
        <v>8</v>
      </c>
      <c r="I380" s="123">
        <v>21.150770999999999</v>
      </c>
      <c r="J380" s="123">
        <v>-101.732606</v>
      </c>
      <c r="K380" s="122"/>
      <c r="L380" s="125" t="str">
        <f t="shared" si="13"/>
        <v>Ver en Google Maps</v>
      </c>
      <c r="M380" s="122">
        <v>1</v>
      </c>
      <c r="N380" s="130"/>
      <c r="O380" s="109"/>
      <c r="P380" s="109"/>
      <c r="Q380" s="109"/>
      <c r="R380" s="109"/>
      <c r="S380" s="109"/>
      <c r="T380" s="109"/>
      <c r="U380" s="109"/>
      <c r="V380" s="109"/>
      <c r="W380" s="109"/>
      <c r="X380" s="109"/>
      <c r="Y380" s="109"/>
      <c r="Z380" s="109"/>
      <c r="AA380" s="109"/>
      <c r="AB380" s="109"/>
      <c r="AC380" s="109"/>
      <c r="AD380" s="110"/>
      <c r="AE380" s="109"/>
      <c r="AF380" s="151"/>
    </row>
    <row r="381" spans="1:32" x14ac:dyDescent="0.2">
      <c r="A381" s="112">
        <v>995</v>
      </c>
      <c r="B381" s="113" t="s">
        <v>956</v>
      </c>
      <c r="C381" s="114" t="s">
        <v>87</v>
      </c>
      <c r="D381" s="114" t="s">
        <v>563</v>
      </c>
      <c r="E381" s="115" t="s">
        <v>835</v>
      </c>
      <c r="F381" s="115" t="s">
        <v>836</v>
      </c>
      <c r="G381" s="115" t="s">
        <v>1178</v>
      </c>
      <c r="H381" s="113" t="s">
        <v>8</v>
      </c>
      <c r="I381" s="114">
        <v>21.096487</v>
      </c>
      <c r="J381" s="114">
        <v>-101.59904299999999</v>
      </c>
      <c r="K381" s="113" t="s">
        <v>139</v>
      </c>
      <c r="L381" s="116" t="str">
        <f t="shared" si="13"/>
        <v>Ver en Google Maps</v>
      </c>
      <c r="M381" s="113">
        <v>1</v>
      </c>
      <c r="N381" s="117">
        <v>45931</v>
      </c>
      <c r="O381" s="118">
        <f>DAY('BD1'!$N381)</f>
        <v>1</v>
      </c>
      <c r="P381" s="118">
        <f>MONTH('BD1'!$N381)</f>
        <v>10</v>
      </c>
      <c r="Q381" s="118">
        <f>YEAR('BD1'!$N381)</f>
        <v>2025</v>
      </c>
      <c r="R381" s="118">
        <v>1</v>
      </c>
      <c r="S381" s="118" t="s">
        <v>138</v>
      </c>
      <c r="T381" s="118" t="s">
        <v>138</v>
      </c>
      <c r="U381" s="118" t="s">
        <v>138</v>
      </c>
      <c r="V381" s="118" t="s">
        <v>138</v>
      </c>
      <c r="W381" s="118" t="s">
        <v>138</v>
      </c>
      <c r="X381" s="118" t="s">
        <v>138</v>
      </c>
      <c r="Y381" s="118" t="s">
        <v>138</v>
      </c>
      <c r="Z381" s="118" t="s">
        <v>138</v>
      </c>
      <c r="AA381" s="118">
        <v>17.05</v>
      </c>
      <c r="AB381" s="118">
        <v>12.75</v>
      </c>
      <c r="AC381" s="119" t="s">
        <v>967</v>
      </c>
      <c r="AD381" s="119" t="s">
        <v>957</v>
      </c>
      <c r="AE381" s="118">
        <f t="shared" si="14"/>
        <v>8</v>
      </c>
      <c r="AF381" s="152" t="str">
        <f t="shared" si="15"/>
        <v>Estable</v>
      </c>
    </row>
    <row r="382" spans="1:32" x14ac:dyDescent="0.2">
      <c r="A382" s="121">
        <v>996</v>
      </c>
      <c r="B382" s="122" t="s">
        <v>956</v>
      </c>
      <c r="C382" s="123" t="s">
        <v>87</v>
      </c>
      <c r="D382" s="123" t="s">
        <v>563</v>
      </c>
      <c r="E382" s="124" t="s">
        <v>837</v>
      </c>
      <c r="F382" s="124" t="s">
        <v>838</v>
      </c>
      <c r="G382" s="124" t="s">
        <v>378</v>
      </c>
      <c r="H382" s="122" t="s">
        <v>8</v>
      </c>
      <c r="I382" s="123">
        <v>21.119752999999999</v>
      </c>
      <c r="J382" s="123">
        <v>-101.60357500000001</v>
      </c>
      <c r="K382" s="122"/>
      <c r="L382" s="125" t="str">
        <f t="shared" si="13"/>
        <v>Ver en Google Maps</v>
      </c>
      <c r="M382" s="122">
        <v>1</v>
      </c>
      <c r="N382" s="130"/>
      <c r="O382" s="109"/>
      <c r="P382" s="109"/>
      <c r="Q382" s="109"/>
      <c r="R382" s="109"/>
      <c r="S382" s="109"/>
      <c r="T382" s="109"/>
      <c r="U382" s="109"/>
      <c r="V382" s="109"/>
      <c r="W382" s="109"/>
      <c r="X382" s="109"/>
      <c r="Y382" s="109"/>
      <c r="Z382" s="109"/>
      <c r="AA382" s="109"/>
      <c r="AB382" s="109"/>
      <c r="AC382" s="109"/>
      <c r="AD382" s="110"/>
      <c r="AE382" s="109"/>
      <c r="AF382" s="151"/>
    </row>
    <row r="383" spans="1:32" x14ac:dyDescent="0.2">
      <c r="A383" s="112">
        <v>997</v>
      </c>
      <c r="B383" s="113" t="s">
        <v>956</v>
      </c>
      <c r="C383" s="114" t="s">
        <v>87</v>
      </c>
      <c r="D383" s="114" t="s">
        <v>782</v>
      </c>
      <c r="E383" s="115" t="s">
        <v>379</v>
      </c>
      <c r="F383" s="115" t="s">
        <v>839</v>
      </c>
      <c r="G383" s="115" t="s">
        <v>380</v>
      </c>
      <c r="H383" s="113" t="s">
        <v>8</v>
      </c>
      <c r="I383" s="114">
        <v>21.142239</v>
      </c>
      <c r="J383" s="114">
        <v>-101.766533</v>
      </c>
      <c r="K383" s="113"/>
      <c r="L383" s="116" t="str">
        <f t="shared" si="13"/>
        <v>Ver en Google Maps</v>
      </c>
      <c r="M383" s="113">
        <v>3</v>
      </c>
      <c r="N383" s="129"/>
      <c r="O383" s="118"/>
      <c r="P383" s="118"/>
      <c r="Q383" s="118"/>
      <c r="R383" s="118"/>
      <c r="S383" s="118"/>
      <c r="T383" s="118"/>
      <c r="U383" s="118"/>
      <c r="V383" s="118"/>
      <c r="W383" s="118"/>
      <c r="X383" s="118"/>
      <c r="Y383" s="118"/>
      <c r="Z383" s="118"/>
      <c r="AA383" s="118"/>
      <c r="AB383" s="118"/>
      <c r="AC383" s="118"/>
      <c r="AD383" s="119"/>
      <c r="AE383" s="118"/>
      <c r="AF383" s="152"/>
    </row>
    <row r="384" spans="1:32" x14ac:dyDescent="0.2">
      <c r="A384" s="121">
        <v>998</v>
      </c>
      <c r="B384" s="122" t="s">
        <v>956</v>
      </c>
      <c r="C384" s="123" t="s">
        <v>87</v>
      </c>
      <c r="D384" s="123" t="s">
        <v>805</v>
      </c>
      <c r="E384" s="124" t="s">
        <v>840</v>
      </c>
      <c r="F384" s="124" t="s">
        <v>841</v>
      </c>
      <c r="G384" s="124" t="s">
        <v>1080</v>
      </c>
      <c r="H384" s="122" t="s">
        <v>8</v>
      </c>
      <c r="I384" s="123">
        <v>21.065769</v>
      </c>
      <c r="J384" s="123">
        <v>-101.621453</v>
      </c>
      <c r="K384" s="122"/>
      <c r="L384" s="125" t="str">
        <f t="shared" si="13"/>
        <v>Ver en Google Maps</v>
      </c>
      <c r="M384" s="122">
        <v>1</v>
      </c>
      <c r="N384" s="130"/>
      <c r="O384" s="109"/>
      <c r="P384" s="109"/>
      <c r="Q384" s="109"/>
      <c r="R384" s="109"/>
      <c r="S384" s="109"/>
      <c r="T384" s="109"/>
      <c r="U384" s="109"/>
      <c r="V384" s="109"/>
      <c r="W384" s="109"/>
      <c r="X384" s="109"/>
      <c r="Y384" s="109"/>
      <c r="Z384" s="109"/>
      <c r="AA384" s="109"/>
      <c r="AB384" s="109"/>
      <c r="AC384" s="109"/>
      <c r="AD384" s="110"/>
      <c r="AE384" s="109"/>
      <c r="AF384" s="151"/>
    </row>
    <row r="385" spans="1:32" x14ac:dyDescent="0.2">
      <c r="A385" s="112">
        <v>1002</v>
      </c>
      <c r="B385" s="113" t="s">
        <v>956</v>
      </c>
      <c r="C385" s="114" t="s">
        <v>87</v>
      </c>
      <c r="D385" s="114" t="s">
        <v>842</v>
      </c>
      <c r="E385" s="115" t="s">
        <v>843</v>
      </c>
      <c r="F385" s="115" t="s">
        <v>844</v>
      </c>
      <c r="G385" s="115" t="s">
        <v>381</v>
      </c>
      <c r="H385" s="113" t="s">
        <v>8</v>
      </c>
      <c r="I385" s="114">
        <v>21.105554000000001</v>
      </c>
      <c r="J385" s="114">
        <v>-101.73111900000001</v>
      </c>
      <c r="K385" s="113" t="s">
        <v>139</v>
      </c>
      <c r="L385" s="116" t="str">
        <f t="shared" si="13"/>
        <v>Ver en Google Maps</v>
      </c>
      <c r="M385" s="113">
        <v>1</v>
      </c>
      <c r="N385" s="117">
        <v>45933</v>
      </c>
      <c r="O385" s="118">
        <f>DAY('BD1'!$N385)</f>
        <v>3</v>
      </c>
      <c r="P385" s="118">
        <f>MONTH('BD1'!$N385)</f>
        <v>10</v>
      </c>
      <c r="Q385" s="118">
        <f>YEAR('BD1'!$N385)</f>
        <v>2025</v>
      </c>
      <c r="R385" s="118">
        <v>1</v>
      </c>
      <c r="S385" s="118" t="s">
        <v>138</v>
      </c>
      <c r="T385" s="118" t="s">
        <v>138</v>
      </c>
      <c r="U385" s="118" t="s">
        <v>138</v>
      </c>
      <c r="V385" s="118" t="s">
        <v>138</v>
      </c>
      <c r="W385" s="118" t="s">
        <v>138</v>
      </c>
      <c r="X385" s="118" t="s">
        <v>138</v>
      </c>
      <c r="Y385" s="118" t="s">
        <v>138</v>
      </c>
      <c r="Z385" s="118" t="s">
        <v>138</v>
      </c>
      <c r="AA385" s="118">
        <v>52.86</v>
      </c>
      <c r="AB385" s="118">
        <v>56.47</v>
      </c>
      <c r="AC385" s="119" t="s">
        <v>967</v>
      </c>
      <c r="AD385" s="119" t="s">
        <v>957</v>
      </c>
      <c r="AE385" s="118">
        <f t="shared" si="14"/>
        <v>8</v>
      </c>
      <c r="AF385" s="152" t="str">
        <f t="shared" si="15"/>
        <v>Estable</v>
      </c>
    </row>
    <row r="386" spans="1:32" x14ac:dyDescent="0.2">
      <c r="A386" s="121">
        <v>1003</v>
      </c>
      <c r="B386" s="122" t="s">
        <v>956</v>
      </c>
      <c r="C386" s="123" t="s">
        <v>87</v>
      </c>
      <c r="D386" s="123" t="s">
        <v>563</v>
      </c>
      <c r="E386" s="124" t="s">
        <v>845</v>
      </c>
      <c r="F386" s="124" t="s">
        <v>846</v>
      </c>
      <c r="G386" s="124" t="s">
        <v>1023</v>
      </c>
      <c r="H386" s="122" t="s">
        <v>8</v>
      </c>
      <c r="I386" s="123">
        <v>21.060807</v>
      </c>
      <c r="J386" s="123">
        <v>-101.62146300000001</v>
      </c>
      <c r="K386" s="122"/>
      <c r="L386" s="125" t="str">
        <f t="shared" si="13"/>
        <v>Ver en Google Maps</v>
      </c>
      <c r="M386" s="122">
        <v>1</v>
      </c>
      <c r="N386" s="130"/>
      <c r="O386" s="109"/>
      <c r="P386" s="109"/>
      <c r="Q386" s="109"/>
      <c r="R386" s="109"/>
      <c r="S386" s="109"/>
      <c r="T386" s="109"/>
      <c r="U386" s="109"/>
      <c r="V386" s="109"/>
      <c r="W386" s="109"/>
      <c r="X386" s="109"/>
      <c r="Y386" s="109"/>
      <c r="Z386" s="109"/>
      <c r="AA386" s="109"/>
      <c r="AB386" s="109"/>
      <c r="AC386" s="109"/>
      <c r="AD386" s="110"/>
      <c r="AE386" s="109"/>
      <c r="AF386" s="151"/>
    </row>
    <row r="387" spans="1:32" x14ac:dyDescent="0.2">
      <c r="A387" s="112">
        <v>1004</v>
      </c>
      <c r="B387" s="113" t="s">
        <v>956</v>
      </c>
      <c r="C387" s="114" t="s">
        <v>87</v>
      </c>
      <c r="D387" s="114" t="s">
        <v>563</v>
      </c>
      <c r="E387" s="115" t="s">
        <v>847</v>
      </c>
      <c r="F387" s="115" t="s">
        <v>848</v>
      </c>
      <c r="G387" s="115" t="s">
        <v>980</v>
      </c>
      <c r="H387" s="113" t="s">
        <v>8</v>
      </c>
      <c r="I387" s="114">
        <v>21.128689999999999</v>
      </c>
      <c r="J387" s="114">
        <v>-101.74529</v>
      </c>
      <c r="K387" s="113"/>
      <c r="L387" s="116" t="str">
        <f t="shared" ref="L387:L453" si="16">HYPERLINK("https://www.google.com/maps?q=" &amp; I387 &amp; "," &amp; J387, "Ver en Google Maps")</f>
        <v>Ver en Google Maps</v>
      </c>
      <c r="M387" s="113">
        <v>1</v>
      </c>
      <c r="N387" s="129"/>
      <c r="O387" s="118"/>
      <c r="P387" s="118"/>
      <c r="Q387" s="118"/>
      <c r="R387" s="118"/>
      <c r="S387" s="118"/>
      <c r="T387" s="118"/>
      <c r="U387" s="118"/>
      <c r="V387" s="118"/>
      <c r="W387" s="118"/>
      <c r="X387" s="118"/>
      <c r="Y387" s="118"/>
      <c r="Z387" s="118"/>
      <c r="AA387" s="118"/>
      <c r="AB387" s="118"/>
      <c r="AC387" s="118"/>
      <c r="AD387" s="119"/>
      <c r="AE387" s="118"/>
      <c r="AF387" s="152"/>
    </row>
    <row r="388" spans="1:32" x14ac:dyDescent="0.2">
      <c r="A388" s="121">
        <v>1008</v>
      </c>
      <c r="B388" s="122" t="s">
        <v>956</v>
      </c>
      <c r="C388" s="123" t="s">
        <v>87</v>
      </c>
      <c r="D388" s="123" t="s">
        <v>563</v>
      </c>
      <c r="E388" s="124" t="s">
        <v>849</v>
      </c>
      <c r="F388" s="124" t="s">
        <v>850</v>
      </c>
      <c r="G388" s="124" t="s">
        <v>1179</v>
      </c>
      <c r="H388" s="122" t="s">
        <v>8</v>
      </c>
      <c r="I388" s="123">
        <v>21.134899999999998</v>
      </c>
      <c r="J388" s="123">
        <v>-101.66589999999999</v>
      </c>
      <c r="K388" s="122" t="s">
        <v>139</v>
      </c>
      <c r="L388" s="125" t="str">
        <f t="shared" si="16"/>
        <v>Ver en Google Maps</v>
      </c>
      <c r="M388" s="122">
        <v>2</v>
      </c>
      <c r="N388" s="108">
        <v>45929</v>
      </c>
      <c r="O388" s="109">
        <f>DAY('BD1'!$N388)</f>
        <v>29</v>
      </c>
      <c r="P388" s="109">
        <f>MONTH('BD1'!$N388)</f>
        <v>9</v>
      </c>
      <c r="Q388" s="109">
        <f>YEAR('BD1'!$N388)</f>
        <v>2025</v>
      </c>
      <c r="R388" s="109">
        <v>1</v>
      </c>
      <c r="S388" s="109" t="s">
        <v>138</v>
      </c>
      <c r="T388" s="109" t="s">
        <v>138</v>
      </c>
      <c r="U388" s="109" t="s">
        <v>138</v>
      </c>
      <c r="V388" s="109" t="s">
        <v>138</v>
      </c>
      <c r="W388" s="109" t="s">
        <v>138</v>
      </c>
      <c r="X388" s="109" t="s">
        <v>138</v>
      </c>
      <c r="Y388" s="109" t="s">
        <v>138</v>
      </c>
      <c r="Z388" s="109" t="s">
        <v>138</v>
      </c>
      <c r="AA388" s="109">
        <v>19.82</v>
      </c>
      <c r="AB388" s="109">
        <v>20.440000000000001</v>
      </c>
      <c r="AC388" s="110" t="s">
        <v>967</v>
      </c>
      <c r="AD388" s="110" t="s">
        <v>957</v>
      </c>
      <c r="AE388" s="109">
        <f t="shared" ref="AE388:AE452" si="17">COUNTIF(S388:Z388, "si")</f>
        <v>8</v>
      </c>
      <c r="AF388" s="151" t="str">
        <f t="shared" ref="AF386:AF449" si="18">IF(AE388=8,"Estable",(IF(AE388=7,"Funcional con observaciones", (IF(AE388=6,"Funcional con observaciones",(IF(AE388=5,"Rendimiento bajo",(IF(AE388=4,"Parcialmente funcional",(IF(AE388=3,"Parcialmente funcional",(IF(AE388=2,"Inoperativo",(IF(AE388=1,"Inoperativo","Crítico")))))))))))))))</f>
        <v>Estable</v>
      </c>
    </row>
    <row r="389" spans="1:32" x14ac:dyDescent="0.2">
      <c r="A389" s="112">
        <v>1016</v>
      </c>
      <c r="B389" s="113" t="s">
        <v>956</v>
      </c>
      <c r="C389" s="114" t="s">
        <v>87</v>
      </c>
      <c r="D389" s="114" t="s">
        <v>842</v>
      </c>
      <c r="E389" s="115" t="s">
        <v>851</v>
      </c>
      <c r="F389" s="115" t="s">
        <v>852</v>
      </c>
      <c r="G389" s="115" t="s">
        <v>1032</v>
      </c>
      <c r="H389" s="113" t="s">
        <v>8</v>
      </c>
      <c r="I389" s="114">
        <v>21.139142</v>
      </c>
      <c r="J389" s="114">
        <v>-101.75469699999999</v>
      </c>
      <c r="K389" s="113" t="s">
        <v>139</v>
      </c>
      <c r="L389" s="116" t="str">
        <f t="shared" si="16"/>
        <v>Ver en Google Maps</v>
      </c>
      <c r="M389" s="113">
        <v>1</v>
      </c>
      <c r="N389" s="117">
        <v>45930</v>
      </c>
      <c r="O389" s="118">
        <f>DAY('BD1'!$N389)</f>
        <v>30</v>
      </c>
      <c r="P389" s="118">
        <f>MONTH('BD1'!$N389)</f>
        <v>9</v>
      </c>
      <c r="Q389" s="118">
        <f>YEAR('BD1'!$N389)</f>
        <v>2025</v>
      </c>
      <c r="R389" s="118">
        <v>1</v>
      </c>
      <c r="S389" s="118" t="s">
        <v>138</v>
      </c>
      <c r="T389" s="118" t="s">
        <v>138</v>
      </c>
      <c r="U389" s="118" t="s">
        <v>138</v>
      </c>
      <c r="V389" s="118" t="s">
        <v>138</v>
      </c>
      <c r="W389" s="118" t="s">
        <v>138</v>
      </c>
      <c r="X389" s="118" t="s">
        <v>138</v>
      </c>
      <c r="Y389" s="118" t="s">
        <v>138</v>
      </c>
      <c r="Z389" s="118" t="s">
        <v>138</v>
      </c>
      <c r="AA389" s="118">
        <v>59.57</v>
      </c>
      <c r="AB389" s="118">
        <v>34.07</v>
      </c>
      <c r="AC389" s="119" t="s">
        <v>967</v>
      </c>
      <c r="AD389" s="119" t="s">
        <v>957</v>
      </c>
      <c r="AE389" s="118">
        <f t="shared" si="17"/>
        <v>8</v>
      </c>
      <c r="AF389" s="152" t="str">
        <f t="shared" si="18"/>
        <v>Estable</v>
      </c>
    </row>
    <row r="390" spans="1:32" x14ac:dyDescent="0.2">
      <c r="A390" s="121">
        <v>1017</v>
      </c>
      <c r="B390" s="122" t="s">
        <v>956</v>
      </c>
      <c r="C390" s="123" t="s">
        <v>87</v>
      </c>
      <c r="D390" s="123" t="s">
        <v>842</v>
      </c>
      <c r="E390" s="124" t="s">
        <v>853</v>
      </c>
      <c r="F390" s="124" t="s">
        <v>854</v>
      </c>
      <c r="G390" s="124" t="s">
        <v>997</v>
      </c>
      <c r="H390" s="122" t="s">
        <v>8</v>
      </c>
      <c r="I390" s="123">
        <v>21.105696999999999</v>
      </c>
      <c r="J390" s="123">
        <v>-101.730993</v>
      </c>
      <c r="K390" s="122" t="s">
        <v>139</v>
      </c>
      <c r="L390" s="125" t="str">
        <f t="shared" si="16"/>
        <v>Ver en Google Maps</v>
      </c>
      <c r="M390" s="122">
        <v>1</v>
      </c>
      <c r="N390" s="108">
        <v>45933</v>
      </c>
      <c r="O390" s="109">
        <f>DAY('BD1'!$N390)</f>
        <v>3</v>
      </c>
      <c r="P390" s="109">
        <f>MONTH('BD1'!$N390)</f>
        <v>10</v>
      </c>
      <c r="Q390" s="109">
        <f>YEAR('BD1'!$N390)</f>
        <v>2025</v>
      </c>
      <c r="R390" s="109">
        <v>1</v>
      </c>
      <c r="S390" s="109" t="s">
        <v>138</v>
      </c>
      <c r="T390" s="109" t="s">
        <v>138</v>
      </c>
      <c r="U390" s="109" t="s">
        <v>138</v>
      </c>
      <c r="V390" s="109" t="s">
        <v>138</v>
      </c>
      <c r="W390" s="109" t="s">
        <v>138</v>
      </c>
      <c r="X390" s="109" t="s">
        <v>138</v>
      </c>
      <c r="Y390" s="109" t="s">
        <v>138</v>
      </c>
      <c r="Z390" s="109" t="s">
        <v>138</v>
      </c>
      <c r="AA390" s="109">
        <v>45.91</v>
      </c>
      <c r="AB390" s="109">
        <v>71.790000000000006</v>
      </c>
      <c r="AC390" s="110" t="s">
        <v>967</v>
      </c>
      <c r="AD390" s="110" t="s">
        <v>957</v>
      </c>
      <c r="AE390" s="109">
        <f t="shared" si="17"/>
        <v>8</v>
      </c>
      <c r="AF390" s="151" t="str">
        <f t="shared" si="18"/>
        <v>Estable</v>
      </c>
    </row>
    <row r="391" spans="1:32" x14ac:dyDescent="0.2">
      <c r="A391" s="112">
        <v>1018</v>
      </c>
      <c r="B391" s="113" t="s">
        <v>956</v>
      </c>
      <c r="C391" s="114" t="s">
        <v>87</v>
      </c>
      <c r="D391" s="114" t="s">
        <v>842</v>
      </c>
      <c r="E391" s="115" t="s">
        <v>855</v>
      </c>
      <c r="F391" s="115" t="s">
        <v>856</v>
      </c>
      <c r="G391" s="115" t="s">
        <v>1165</v>
      </c>
      <c r="H391" s="113" t="s">
        <v>8</v>
      </c>
      <c r="I391" s="114">
        <v>21.086127000000001</v>
      </c>
      <c r="J391" s="114">
        <v>-101.625591</v>
      </c>
      <c r="K391" s="113"/>
      <c r="L391" s="116" t="str">
        <f t="shared" si="16"/>
        <v>Ver en Google Maps</v>
      </c>
      <c r="M391" s="113">
        <v>1</v>
      </c>
      <c r="N391" s="129"/>
      <c r="O391" s="118"/>
      <c r="P391" s="118"/>
      <c r="Q391" s="118"/>
      <c r="R391" s="118"/>
      <c r="S391" s="118"/>
      <c r="T391" s="118"/>
      <c r="U391" s="118"/>
      <c r="V391" s="118"/>
      <c r="W391" s="118"/>
      <c r="X391" s="118"/>
      <c r="Y391" s="118"/>
      <c r="Z391" s="118"/>
      <c r="AA391" s="118"/>
      <c r="AB391" s="118"/>
      <c r="AC391" s="118"/>
      <c r="AD391" s="119"/>
      <c r="AE391" s="118"/>
      <c r="AF391" s="152"/>
    </row>
    <row r="392" spans="1:32" x14ac:dyDescent="0.2">
      <c r="A392" s="121">
        <v>1022</v>
      </c>
      <c r="B392" s="122" t="s">
        <v>956</v>
      </c>
      <c r="C392" s="123" t="s">
        <v>87</v>
      </c>
      <c r="D392" s="123" t="s">
        <v>782</v>
      </c>
      <c r="E392" s="124" t="s">
        <v>382</v>
      </c>
      <c r="F392" s="124" t="s">
        <v>857</v>
      </c>
      <c r="G392" s="124" t="s">
        <v>43</v>
      </c>
      <c r="H392" s="122" t="s">
        <v>8</v>
      </c>
      <c r="I392" s="123">
        <v>21.126332999999999</v>
      </c>
      <c r="J392" s="123">
        <v>-101.597076</v>
      </c>
      <c r="K392" s="122"/>
      <c r="L392" s="125" t="str">
        <f t="shared" si="16"/>
        <v>Ver en Google Maps</v>
      </c>
      <c r="M392" s="122">
        <v>2</v>
      </c>
      <c r="N392" s="130"/>
      <c r="O392" s="109"/>
      <c r="P392" s="109"/>
      <c r="Q392" s="109"/>
      <c r="R392" s="109"/>
      <c r="S392" s="109"/>
      <c r="T392" s="109"/>
      <c r="U392" s="109"/>
      <c r="V392" s="109"/>
      <c r="W392" s="109"/>
      <c r="X392" s="109"/>
      <c r="Y392" s="109"/>
      <c r="Z392" s="109"/>
      <c r="AA392" s="109"/>
      <c r="AB392" s="109"/>
      <c r="AC392" s="109"/>
      <c r="AD392" s="110"/>
      <c r="AE392" s="109"/>
      <c r="AF392" s="151"/>
    </row>
    <row r="393" spans="1:32" x14ac:dyDescent="0.2">
      <c r="A393" s="112">
        <v>1027</v>
      </c>
      <c r="B393" s="113" t="s">
        <v>956</v>
      </c>
      <c r="C393" s="114" t="s">
        <v>87</v>
      </c>
      <c r="D393" s="114" t="s">
        <v>782</v>
      </c>
      <c r="E393" s="115" t="s">
        <v>858</v>
      </c>
      <c r="F393" s="115" t="s">
        <v>859</v>
      </c>
      <c r="G393" s="115" t="s">
        <v>1078</v>
      </c>
      <c r="H393" s="113" t="s">
        <v>8</v>
      </c>
      <c r="I393" s="114">
        <v>21.060020000000002</v>
      </c>
      <c r="J393" s="114">
        <v>-101.56666</v>
      </c>
      <c r="K393" s="113"/>
      <c r="L393" s="116" t="str">
        <f t="shared" si="16"/>
        <v>Ver en Google Maps</v>
      </c>
      <c r="M393" s="113">
        <v>3</v>
      </c>
      <c r="N393" s="129"/>
      <c r="O393" s="118"/>
      <c r="P393" s="118"/>
      <c r="Q393" s="118"/>
      <c r="R393" s="118"/>
      <c r="S393" s="118"/>
      <c r="T393" s="118"/>
      <c r="U393" s="118"/>
      <c r="V393" s="118"/>
      <c r="W393" s="118"/>
      <c r="X393" s="118"/>
      <c r="Y393" s="118"/>
      <c r="Z393" s="118"/>
      <c r="AA393" s="118"/>
      <c r="AB393" s="118"/>
      <c r="AC393" s="118"/>
      <c r="AD393" s="119"/>
      <c r="AE393" s="118"/>
      <c r="AF393" s="152"/>
    </row>
    <row r="394" spans="1:32" x14ac:dyDescent="0.2">
      <c r="A394" s="121">
        <v>1030</v>
      </c>
      <c r="B394" s="122" t="s">
        <v>956</v>
      </c>
      <c r="C394" s="123" t="s">
        <v>87</v>
      </c>
      <c r="D394" s="123" t="s">
        <v>563</v>
      </c>
      <c r="E394" s="124" t="s">
        <v>860</v>
      </c>
      <c r="F394" s="124" t="s">
        <v>861</v>
      </c>
      <c r="G394" s="124" t="s">
        <v>1180</v>
      </c>
      <c r="H394" s="122" t="s">
        <v>8</v>
      </c>
      <c r="I394" s="123">
        <v>21.086490000000001</v>
      </c>
      <c r="J394" s="123">
        <v>-101.66942</v>
      </c>
      <c r="K394" s="122"/>
      <c r="L394" s="125" t="str">
        <f t="shared" si="16"/>
        <v>Ver en Google Maps</v>
      </c>
      <c r="M394" s="122">
        <v>1</v>
      </c>
      <c r="N394" s="130"/>
      <c r="O394" s="109"/>
      <c r="P394" s="109"/>
      <c r="Q394" s="109"/>
      <c r="R394" s="109"/>
      <c r="S394" s="109"/>
      <c r="T394" s="109"/>
      <c r="U394" s="109"/>
      <c r="V394" s="109"/>
      <c r="W394" s="109"/>
      <c r="X394" s="109"/>
      <c r="Y394" s="109"/>
      <c r="Z394" s="109"/>
      <c r="AA394" s="109"/>
      <c r="AB394" s="109"/>
      <c r="AC394" s="109"/>
      <c r="AD394" s="110"/>
      <c r="AE394" s="109"/>
      <c r="AF394" s="151"/>
    </row>
    <row r="395" spans="1:32" x14ac:dyDescent="0.2">
      <c r="A395" s="112">
        <v>1031</v>
      </c>
      <c r="B395" s="113" t="s">
        <v>956</v>
      </c>
      <c r="C395" s="114" t="s">
        <v>87</v>
      </c>
      <c r="D395" s="114" t="s">
        <v>404</v>
      </c>
      <c r="E395" s="115" t="s">
        <v>862</v>
      </c>
      <c r="F395" s="115" t="s">
        <v>863</v>
      </c>
      <c r="G395" s="115" t="s">
        <v>1181</v>
      </c>
      <c r="H395" s="113" t="s">
        <v>8</v>
      </c>
      <c r="I395" s="114">
        <v>21.086839999999999</v>
      </c>
      <c r="J395" s="114">
        <v>-101.67225999999999</v>
      </c>
      <c r="K395" s="113"/>
      <c r="L395" s="116" t="str">
        <f t="shared" si="16"/>
        <v>Ver en Google Maps</v>
      </c>
      <c r="M395" s="113">
        <v>1</v>
      </c>
      <c r="N395" s="129"/>
      <c r="O395" s="118"/>
      <c r="P395" s="118"/>
      <c r="Q395" s="118"/>
      <c r="R395" s="118"/>
      <c r="S395" s="118"/>
      <c r="T395" s="118"/>
      <c r="U395" s="118"/>
      <c r="V395" s="118"/>
      <c r="W395" s="118"/>
      <c r="X395" s="118"/>
      <c r="Y395" s="118"/>
      <c r="Z395" s="118"/>
      <c r="AA395" s="118"/>
      <c r="AB395" s="118"/>
      <c r="AC395" s="118"/>
      <c r="AD395" s="119"/>
      <c r="AE395" s="118"/>
      <c r="AF395" s="152"/>
    </row>
    <row r="396" spans="1:32" x14ac:dyDescent="0.2">
      <c r="A396" s="121">
        <v>1032</v>
      </c>
      <c r="B396" s="122" t="s">
        <v>956</v>
      </c>
      <c r="C396" s="123" t="s">
        <v>87</v>
      </c>
      <c r="D396" s="123" t="s">
        <v>563</v>
      </c>
      <c r="E396" s="124" t="s">
        <v>864</v>
      </c>
      <c r="F396" s="124" t="s">
        <v>865</v>
      </c>
      <c r="G396" s="124" t="s">
        <v>1182</v>
      </c>
      <c r="H396" s="122" t="s">
        <v>8</v>
      </c>
      <c r="I396" s="123">
        <v>21.151610000000002</v>
      </c>
      <c r="J396" s="123">
        <v>-101.651213</v>
      </c>
      <c r="K396" s="122"/>
      <c r="L396" s="125" t="str">
        <f t="shared" si="16"/>
        <v>Ver en Google Maps</v>
      </c>
      <c r="M396" s="122">
        <v>1</v>
      </c>
      <c r="N396" s="130"/>
      <c r="O396" s="109"/>
      <c r="P396" s="109"/>
      <c r="Q396" s="109"/>
      <c r="R396" s="109"/>
      <c r="S396" s="109"/>
      <c r="T396" s="109"/>
      <c r="U396" s="109"/>
      <c r="V396" s="109"/>
      <c r="W396" s="109"/>
      <c r="X396" s="109"/>
      <c r="Y396" s="109"/>
      <c r="Z396" s="109"/>
      <c r="AA396" s="109"/>
      <c r="AB396" s="109"/>
      <c r="AC396" s="109"/>
      <c r="AD396" s="110"/>
      <c r="AE396" s="109"/>
      <c r="AF396" s="151"/>
    </row>
    <row r="397" spans="1:32" x14ac:dyDescent="0.2">
      <c r="A397" s="112">
        <v>1033</v>
      </c>
      <c r="B397" s="113" t="s">
        <v>956</v>
      </c>
      <c r="C397" s="114" t="s">
        <v>87</v>
      </c>
      <c r="D397" s="114" t="s">
        <v>563</v>
      </c>
      <c r="E397" s="115" t="s">
        <v>866</v>
      </c>
      <c r="F397" s="115" t="s">
        <v>867</v>
      </c>
      <c r="G397" s="115" t="s">
        <v>1183</v>
      </c>
      <c r="H397" s="113" t="s">
        <v>8</v>
      </c>
      <c r="I397" s="114">
        <v>21.160409999999999</v>
      </c>
      <c r="J397" s="114">
        <v>-101.66097000000001</v>
      </c>
      <c r="K397" s="113"/>
      <c r="L397" s="116" t="str">
        <f t="shared" si="16"/>
        <v>Ver en Google Maps</v>
      </c>
      <c r="M397" s="113">
        <v>1</v>
      </c>
      <c r="N397" s="129"/>
      <c r="O397" s="118"/>
      <c r="P397" s="118"/>
      <c r="Q397" s="118"/>
      <c r="R397" s="118"/>
      <c r="S397" s="118"/>
      <c r="T397" s="118"/>
      <c r="U397" s="118"/>
      <c r="V397" s="118"/>
      <c r="W397" s="118"/>
      <c r="X397" s="118"/>
      <c r="Y397" s="118"/>
      <c r="Z397" s="118"/>
      <c r="AA397" s="118"/>
      <c r="AB397" s="118"/>
      <c r="AC397" s="118"/>
      <c r="AD397" s="119"/>
      <c r="AE397" s="118"/>
      <c r="AF397" s="152"/>
    </row>
    <row r="398" spans="1:32" x14ac:dyDescent="0.2">
      <c r="A398" s="121">
        <v>1034</v>
      </c>
      <c r="B398" s="122" t="s">
        <v>956</v>
      </c>
      <c r="C398" s="123" t="s">
        <v>87</v>
      </c>
      <c r="D398" s="123" t="s">
        <v>563</v>
      </c>
      <c r="E398" s="124" t="s">
        <v>868</v>
      </c>
      <c r="F398" s="124" t="s">
        <v>869</v>
      </c>
      <c r="G398" s="124" t="s">
        <v>986</v>
      </c>
      <c r="H398" s="122" t="s">
        <v>8</v>
      </c>
      <c r="I398" s="123">
        <v>21.10388</v>
      </c>
      <c r="J398" s="123">
        <v>-101.67847</v>
      </c>
      <c r="K398" s="122" t="s">
        <v>139</v>
      </c>
      <c r="L398" s="125" t="str">
        <f t="shared" si="16"/>
        <v>Ver en Google Maps</v>
      </c>
      <c r="M398" s="122">
        <v>1</v>
      </c>
      <c r="N398" s="108">
        <v>45932</v>
      </c>
      <c r="O398" s="109">
        <f>DAY('BD1'!$N398)</f>
        <v>2</v>
      </c>
      <c r="P398" s="109">
        <f>MONTH('BD1'!$N398)</f>
        <v>10</v>
      </c>
      <c r="Q398" s="109">
        <f>YEAR('BD1'!$N398)</f>
        <v>2025</v>
      </c>
      <c r="R398" s="109">
        <v>1</v>
      </c>
      <c r="S398" s="109" t="s">
        <v>138</v>
      </c>
      <c r="T398" s="109" t="s">
        <v>138</v>
      </c>
      <c r="U398" s="109" t="s">
        <v>138</v>
      </c>
      <c r="V398" s="109" t="s">
        <v>138</v>
      </c>
      <c r="W398" s="109" t="s">
        <v>138</v>
      </c>
      <c r="X398" s="109" t="s">
        <v>138</v>
      </c>
      <c r="Y398" s="109" t="s">
        <v>138</v>
      </c>
      <c r="Z398" s="109" t="s">
        <v>138</v>
      </c>
      <c r="AA398" s="109">
        <v>24.45</v>
      </c>
      <c r="AB398" s="109">
        <v>33.57</v>
      </c>
      <c r="AC398" s="110" t="s">
        <v>967</v>
      </c>
      <c r="AD398" s="110" t="s">
        <v>957</v>
      </c>
      <c r="AE398" s="109">
        <f t="shared" si="17"/>
        <v>8</v>
      </c>
      <c r="AF398" s="151" t="str">
        <f t="shared" si="18"/>
        <v>Estable</v>
      </c>
    </row>
    <row r="399" spans="1:32" x14ac:dyDescent="0.2">
      <c r="A399" s="112">
        <v>1035</v>
      </c>
      <c r="B399" s="113" t="s">
        <v>956</v>
      </c>
      <c r="C399" s="114" t="s">
        <v>87</v>
      </c>
      <c r="D399" s="114" t="s">
        <v>563</v>
      </c>
      <c r="E399" s="115" t="s">
        <v>870</v>
      </c>
      <c r="F399" s="115" t="s">
        <v>871</v>
      </c>
      <c r="G399" s="115" t="s">
        <v>1184</v>
      </c>
      <c r="H399" s="113" t="s">
        <v>8</v>
      </c>
      <c r="I399" s="114">
        <v>21.176024000000002</v>
      </c>
      <c r="J399" s="114">
        <v>-101.67465199999999</v>
      </c>
      <c r="K399" s="113" t="s">
        <v>139</v>
      </c>
      <c r="L399" s="116" t="str">
        <f t="shared" si="16"/>
        <v>Ver en Google Maps</v>
      </c>
      <c r="M399" s="113">
        <v>1</v>
      </c>
      <c r="N399" s="117">
        <v>45936</v>
      </c>
      <c r="O399" s="118">
        <f>DAY('BD1'!$N399)</f>
        <v>6</v>
      </c>
      <c r="P399" s="118">
        <f>MONTH('BD1'!$N399)</f>
        <v>10</v>
      </c>
      <c r="Q399" s="118">
        <f>YEAR('BD1'!$N399)</f>
        <v>2025</v>
      </c>
      <c r="R399" s="118">
        <v>1</v>
      </c>
      <c r="S399" s="118" t="s">
        <v>138</v>
      </c>
      <c r="T399" s="118" t="s">
        <v>138</v>
      </c>
      <c r="U399" s="118" t="s">
        <v>138</v>
      </c>
      <c r="V399" s="118" t="s">
        <v>138</v>
      </c>
      <c r="W399" s="118" t="s">
        <v>138</v>
      </c>
      <c r="X399" s="118" t="s">
        <v>138</v>
      </c>
      <c r="Y399" s="118" t="s">
        <v>138</v>
      </c>
      <c r="Z399" s="118" t="s">
        <v>138</v>
      </c>
      <c r="AA399" s="118">
        <v>24.72</v>
      </c>
      <c r="AB399" s="118">
        <v>19.329999999999998</v>
      </c>
      <c r="AC399" s="119" t="s">
        <v>967</v>
      </c>
      <c r="AD399" s="119" t="s">
        <v>957</v>
      </c>
      <c r="AE399" s="118">
        <f t="shared" si="17"/>
        <v>8</v>
      </c>
      <c r="AF399" s="152" t="str">
        <f t="shared" si="18"/>
        <v>Estable</v>
      </c>
    </row>
    <row r="400" spans="1:32" x14ac:dyDescent="0.2">
      <c r="A400" s="121">
        <v>1036</v>
      </c>
      <c r="B400" s="122" t="s">
        <v>956</v>
      </c>
      <c r="C400" s="123" t="s">
        <v>87</v>
      </c>
      <c r="D400" s="123" t="s">
        <v>563</v>
      </c>
      <c r="E400" s="124" t="s">
        <v>872</v>
      </c>
      <c r="F400" s="124" t="s">
        <v>873</v>
      </c>
      <c r="G400" s="124" t="s">
        <v>1185</v>
      </c>
      <c r="H400" s="122" t="s">
        <v>8</v>
      </c>
      <c r="I400" s="123">
        <v>21.158840000000001</v>
      </c>
      <c r="J400" s="123">
        <v>-101.63087</v>
      </c>
      <c r="K400" s="122"/>
      <c r="L400" s="125" t="str">
        <f t="shared" si="16"/>
        <v>Ver en Google Maps</v>
      </c>
      <c r="M400" s="122">
        <v>1</v>
      </c>
      <c r="N400" s="130"/>
      <c r="O400" s="109"/>
      <c r="P400" s="109"/>
      <c r="Q400" s="109"/>
      <c r="R400" s="109"/>
      <c r="S400" s="109"/>
      <c r="T400" s="109"/>
      <c r="U400" s="109"/>
      <c r="V400" s="109"/>
      <c r="W400" s="109"/>
      <c r="X400" s="109"/>
      <c r="Y400" s="109"/>
      <c r="Z400" s="109"/>
      <c r="AA400" s="109"/>
      <c r="AB400" s="109"/>
      <c r="AC400" s="109"/>
      <c r="AD400" s="110"/>
      <c r="AE400" s="109"/>
      <c r="AF400" s="151"/>
    </row>
    <row r="401" spans="1:32" x14ac:dyDescent="0.2">
      <c r="A401" s="112">
        <v>1037</v>
      </c>
      <c r="B401" s="113" t="s">
        <v>956</v>
      </c>
      <c r="C401" s="114" t="s">
        <v>87</v>
      </c>
      <c r="D401" s="114" t="s">
        <v>563</v>
      </c>
      <c r="E401" s="115" t="s">
        <v>874</v>
      </c>
      <c r="F401" s="115" t="s">
        <v>875</v>
      </c>
      <c r="G401" s="115" t="s">
        <v>383</v>
      </c>
      <c r="H401" s="113" t="s">
        <v>8</v>
      </c>
      <c r="I401" s="114">
        <v>21.193593</v>
      </c>
      <c r="J401" s="114">
        <v>-101.673776</v>
      </c>
      <c r="K401" s="113"/>
      <c r="L401" s="116" t="str">
        <f t="shared" si="16"/>
        <v>Ver en Google Maps</v>
      </c>
      <c r="M401" s="113">
        <v>1</v>
      </c>
      <c r="N401" s="129"/>
      <c r="O401" s="118"/>
      <c r="P401" s="118"/>
      <c r="Q401" s="118"/>
      <c r="R401" s="118"/>
      <c r="S401" s="118"/>
      <c r="T401" s="118"/>
      <c r="U401" s="118"/>
      <c r="V401" s="118"/>
      <c r="W401" s="118"/>
      <c r="X401" s="118"/>
      <c r="Y401" s="118"/>
      <c r="Z401" s="118"/>
      <c r="AA401" s="118"/>
      <c r="AB401" s="118"/>
      <c r="AC401" s="118"/>
      <c r="AD401" s="119"/>
      <c r="AE401" s="118"/>
      <c r="AF401" s="152"/>
    </row>
    <row r="402" spans="1:32" x14ac:dyDescent="0.2">
      <c r="A402" s="121">
        <v>1038</v>
      </c>
      <c r="B402" s="122" t="s">
        <v>956</v>
      </c>
      <c r="C402" s="123" t="s">
        <v>87</v>
      </c>
      <c r="D402" s="123" t="s">
        <v>876</v>
      </c>
      <c r="E402" s="124" t="s">
        <v>877</v>
      </c>
      <c r="F402" s="124" t="s">
        <v>878</v>
      </c>
      <c r="G402" s="124" t="s">
        <v>1186</v>
      </c>
      <c r="H402" s="122" t="s">
        <v>8</v>
      </c>
      <c r="I402" s="123">
        <v>21.190618000000001</v>
      </c>
      <c r="J402" s="123">
        <v>-101.65072499999999</v>
      </c>
      <c r="K402" s="122"/>
      <c r="L402" s="125" t="str">
        <f t="shared" si="16"/>
        <v>Ver en Google Maps</v>
      </c>
      <c r="M402" s="122">
        <v>1</v>
      </c>
      <c r="N402" s="130"/>
      <c r="O402" s="109"/>
      <c r="P402" s="109"/>
      <c r="Q402" s="109"/>
      <c r="R402" s="109"/>
      <c r="S402" s="109"/>
      <c r="T402" s="109"/>
      <c r="U402" s="109"/>
      <c r="V402" s="109"/>
      <c r="W402" s="109"/>
      <c r="X402" s="109"/>
      <c r="Y402" s="109"/>
      <c r="Z402" s="109"/>
      <c r="AA402" s="109"/>
      <c r="AB402" s="109"/>
      <c r="AC402" s="109"/>
      <c r="AD402" s="110"/>
      <c r="AE402" s="109"/>
      <c r="AF402" s="151"/>
    </row>
    <row r="403" spans="1:32" x14ac:dyDescent="0.2">
      <c r="A403" s="112">
        <v>1039</v>
      </c>
      <c r="B403" s="113" t="s">
        <v>956</v>
      </c>
      <c r="C403" s="114" t="s">
        <v>87</v>
      </c>
      <c r="D403" s="114" t="s">
        <v>805</v>
      </c>
      <c r="E403" s="115" t="s">
        <v>879</v>
      </c>
      <c r="F403" s="115" t="s">
        <v>880</v>
      </c>
      <c r="G403" s="115" t="s">
        <v>1187</v>
      </c>
      <c r="H403" s="113" t="s">
        <v>8</v>
      </c>
      <c r="I403" s="114">
        <v>21.129698000000001</v>
      </c>
      <c r="J403" s="114">
        <v>-101.67059399999999</v>
      </c>
      <c r="K403" s="113" t="s">
        <v>139</v>
      </c>
      <c r="L403" s="116" t="str">
        <f t="shared" si="16"/>
        <v>Ver en Google Maps</v>
      </c>
      <c r="M403" s="113">
        <v>1</v>
      </c>
      <c r="N403" s="117">
        <v>45939</v>
      </c>
      <c r="O403" s="118">
        <f>DAY('BD1'!$N403)</f>
        <v>9</v>
      </c>
      <c r="P403" s="118">
        <f>MONTH('BD1'!$N403)</f>
        <v>10</v>
      </c>
      <c r="Q403" s="118">
        <f>YEAR('BD1'!$N403)</f>
        <v>2025</v>
      </c>
      <c r="R403" s="118">
        <v>1</v>
      </c>
      <c r="S403" s="118" t="s">
        <v>138</v>
      </c>
      <c r="T403" s="118" t="s">
        <v>138</v>
      </c>
      <c r="U403" s="118" t="s">
        <v>138</v>
      </c>
      <c r="V403" s="118" t="s">
        <v>138</v>
      </c>
      <c r="W403" s="118" t="s">
        <v>138</v>
      </c>
      <c r="X403" s="118" t="s">
        <v>138</v>
      </c>
      <c r="Y403" s="118" t="s">
        <v>138</v>
      </c>
      <c r="Z403" s="118" t="s">
        <v>138</v>
      </c>
      <c r="AA403" s="118">
        <v>57.26</v>
      </c>
      <c r="AB403" s="118">
        <v>31.16</v>
      </c>
      <c r="AC403" s="119" t="s">
        <v>967</v>
      </c>
      <c r="AD403" s="119" t="s">
        <v>957</v>
      </c>
      <c r="AE403" s="118">
        <f t="shared" si="17"/>
        <v>8</v>
      </c>
      <c r="AF403" s="152" t="str">
        <f t="shared" si="18"/>
        <v>Estable</v>
      </c>
    </row>
    <row r="404" spans="1:32" x14ac:dyDescent="0.2">
      <c r="A404" s="121">
        <v>1040</v>
      </c>
      <c r="B404" s="122" t="s">
        <v>956</v>
      </c>
      <c r="C404" s="123" t="s">
        <v>87</v>
      </c>
      <c r="D404" s="123" t="s">
        <v>563</v>
      </c>
      <c r="E404" s="124" t="s">
        <v>881</v>
      </c>
      <c r="F404" s="124" t="s">
        <v>882</v>
      </c>
      <c r="G404" s="124" t="s">
        <v>1188</v>
      </c>
      <c r="H404" s="122" t="s">
        <v>8</v>
      </c>
      <c r="I404" s="123">
        <v>21.143038000000001</v>
      </c>
      <c r="J404" s="123">
        <v>-101.653372</v>
      </c>
      <c r="K404" s="122" t="s">
        <v>139</v>
      </c>
      <c r="L404" s="125" t="str">
        <f t="shared" si="16"/>
        <v>Ver en Google Maps</v>
      </c>
      <c r="M404" s="122">
        <v>1</v>
      </c>
      <c r="N404" s="108">
        <v>45931</v>
      </c>
      <c r="O404" s="109">
        <f>DAY('BD1'!$N404)</f>
        <v>1</v>
      </c>
      <c r="P404" s="109">
        <f>MONTH('BD1'!$N404)</f>
        <v>10</v>
      </c>
      <c r="Q404" s="109">
        <f>YEAR('BD1'!$N404)</f>
        <v>2025</v>
      </c>
      <c r="R404" s="109">
        <v>1</v>
      </c>
      <c r="S404" s="109" t="s">
        <v>138</v>
      </c>
      <c r="T404" s="109" t="s">
        <v>138</v>
      </c>
      <c r="U404" s="109" t="s">
        <v>138</v>
      </c>
      <c r="V404" s="109" t="s">
        <v>138</v>
      </c>
      <c r="W404" s="109" t="s">
        <v>138</v>
      </c>
      <c r="X404" s="109" t="s">
        <v>138</v>
      </c>
      <c r="Y404" s="109" t="s">
        <v>138</v>
      </c>
      <c r="Z404" s="109" t="s">
        <v>934</v>
      </c>
      <c r="AA404" s="109">
        <v>12.68</v>
      </c>
      <c r="AB404" s="109">
        <v>17.690000000000001</v>
      </c>
      <c r="AC404" s="110" t="s">
        <v>960</v>
      </c>
      <c r="AD404" s="110" t="s">
        <v>957</v>
      </c>
      <c r="AE404" s="109">
        <f t="shared" si="17"/>
        <v>7</v>
      </c>
      <c r="AF404" s="151" t="str">
        <f t="shared" si="18"/>
        <v>Funcional con observaciones</v>
      </c>
    </row>
    <row r="405" spans="1:32" x14ac:dyDescent="0.2">
      <c r="A405" s="112">
        <v>1041</v>
      </c>
      <c r="B405" s="113" t="s">
        <v>956</v>
      </c>
      <c r="C405" s="114" t="s">
        <v>87</v>
      </c>
      <c r="D405" s="114" t="s">
        <v>805</v>
      </c>
      <c r="E405" s="115" t="s">
        <v>883</v>
      </c>
      <c r="F405" s="115" t="s">
        <v>884</v>
      </c>
      <c r="G405" s="115" t="s">
        <v>1189</v>
      </c>
      <c r="H405" s="113" t="s">
        <v>8</v>
      </c>
      <c r="I405" s="114">
        <v>21.093938999999999</v>
      </c>
      <c r="J405" s="114">
        <v>-101.674997</v>
      </c>
      <c r="K405" s="113"/>
      <c r="L405" s="116" t="str">
        <f t="shared" si="16"/>
        <v>Ver en Google Maps</v>
      </c>
      <c r="M405" s="113">
        <v>1</v>
      </c>
      <c r="N405" s="129"/>
      <c r="O405" s="118"/>
      <c r="P405" s="118"/>
      <c r="Q405" s="118"/>
      <c r="R405" s="118"/>
      <c r="S405" s="118"/>
      <c r="T405" s="118"/>
      <c r="U405" s="118"/>
      <c r="V405" s="118"/>
      <c r="W405" s="118"/>
      <c r="X405" s="118"/>
      <c r="Y405" s="118"/>
      <c r="Z405" s="118"/>
      <c r="AA405" s="118"/>
      <c r="AB405" s="118"/>
      <c r="AC405" s="118"/>
      <c r="AD405" s="119"/>
      <c r="AE405" s="118"/>
      <c r="AF405" s="152"/>
    </row>
    <row r="406" spans="1:32" x14ac:dyDescent="0.2">
      <c r="A406" s="121">
        <v>1042</v>
      </c>
      <c r="B406" s="122" t="s">
        <v>956</v>
      </c>
      <c r="C406" s="123" t="s">
        <v>87</v>
      </c>
      <c r="D406" s="123" t="s">
        <v>805</v>
      </c>
      <c r="E406" s="124" t="s">
        <v>885</v>
      </c>
      <c r="F406" s="124" t="s">
        <v>886</v>
      </c>
      <c r="G406" s="124" t="s">
        <v>1139</v>
      </c>
      <c r="H406" s="122" t="s">
        <v>8</v>
      </c>
      <c r="I406" s="123">
        <v>21.133462999999999</v>
      </c>
      <c r="J406" s="123">
        <v>-101.64882299999999</v>
      </c>
      <c r="K406" s="122" t="s">
        <v>139</v>
      </c>
      <c r="L406" s="125" t="str">
        <f t="shared" si="16"/>
        <v>Ver en Google Maps</v>
      </c>
      <c r="M406" s="122">
        <v>1</v>
      </c>
      <c r="N406" s="108">
        <v>45931</v>
      </c>
      <c r="O406" s="109">
        <f>DAY('BD1'!$N406)</f>
        <v>1</v>
      </c>
      <c r="P406" s="109">
        <f>MONTH('BD1'!$N406)</f>
        <v>10</v>
      </c>
      <c r="Q406" s="109">
        <f>YEAR('BD1'!$N406)</f>
        <v>2025</v>
      </c>
      <c r="R406" s="109">
        <v>1</v>
      </c>
      <c r="S406" s="109" t="s">
        <v>138</v>
      </c>
      <c r="T406" s="109" t="s">
        <v>138</v>
      </c>
      <c r="U406" s="109" t="s">
        <v>138</v>
      </c>
      <c r="V406" s="109" t="s">
        <v>138</v>
      </c>
      <c r="W406" s="109" t="s">
        <v>138</v>
      </c>
      <c r="X406" s="109" t="s">
        <v>138</v>
      </c>
      <c r="Y406" s="109" t="s">
        <v>138</v>
      </c>
      <c r="Z406" s="109" t="s">
        <v>138</v>
      </c>
      <c r="AA406" s="109">
        <v>51.82</v>
      </c>
      <c r="AB406" s="109">
        <v>17.55</v>
      </c>
      <c r="AC406" s="110" t="s">
        <v>967</v>
      </c>
      <c r="AD406" s="110" t="s">
        <v>957</v>
      </c>
      <c r="AE406" s="109">
        <f t="shared" si="17"/>
        <v>8</v>
      </c>
      <c r="AF406" s="151" t="str">
        <f t="shared" si="18"/>
        <v>Estable</v>
      </c>
    </row>
    <row r="407" spans="1:32" x14ac:dyDescent="0.2">
      <c r="A407" s="112">
        <v>1047</v>
      </c>
      <c r="B407" s="113" t="s">
        <v>956</v>
      </c>
      <c r="C407" s="114" t="s">
        <v>87</v>
      </c>
      <c r="D407" s="114" t="s">
        <v>563</v>
      </c>
      <c r="E407" s="115" t="s">
        <v>887</v>
      </c>
      <c r="F407" s="115" t="s">
        <v>888</v>
      </c>
      <c r="G407" s="115" t="s">
        <v>1190</v>
      </c>
      <c r="H407" s="113" t="s">
        <v>8</v>
      </c>
      <c r="I407" s="114">
        <v>21.179489</v>
      </c>
      <c r="J407" s="114">
        <v>-101.660347</v>
      </c>
      <c r="K407" s="113" t="s">
        <v>139</v>
      </c>
      <c r="L407" s="116" t="str">
        <f t="shared" si="16"/>
        <v>Ver en Google Maps</v>
      </c>
      <c r="M407" s="113">
        <v>1</v>
      </c>
      <c r="N407" s="117">
        <v>45936</v>
      </c>
      <c r="O407" s="118">
        <f>DAY('BD1'!$N407)</f>
        <v>6</v>
      </c>
      <c r="P407" s="118">
        <f>MONTH('BD1'!$N407)</f>
        <v>10</v>
      </c>
      <c r="Q407" s="118">
        <f>YEAR('BD1'!$N407)</f>
        <v>2025</v>
      </c>
      <c r="R407" s="118">
        <v>1</v>
      </c>
      <c r="S407" s="118" t="s">
        <v>138</v>
      </c>
      <c r="T407" s="118" t="s">
        <v>138</v>
      </c>
      <c r="U407" s="118" t="s">
        <v>138</v>
      </c>
      <c r="V407" s="118" t="s">
        <v>138</v>
      </c>
      <c r="W407" s="118" t="s">
        <v>138</v>
      </c>
      <c r="X407" s="118" t="s">
        <v>138</v>
      </c>
      <c r="Y407" s="118" t="s">
        <v>138</v>
      </c>
      <c r="Z407" s="118" t="s">
        <v>138</v>
      </c>
      <c r="AA407" s="118">
        <v>20.88</v>
      </c>
      <c r="AB407" s="118">
        <v>27.63</v>
      </c>
      <c r="AC407" s="119" t="s">
        <v>967</v>
      </c>
      <c r="AD407" s="119" t="s">
        <v>957</v>
      </c>
      <c r="AE407" s="118">
        <f t="shared" si="17"/>
        <v>8</v>
      </c>
      <c r="AF407" s="152" t="str">
        <f t="shared" si="18"/>
        <v>Estable</v>
      </c>
    </row>
    <row r="408" spans="1:32" x14ac:dyDescent="0.2">
      <c r="A408" s="121">
        <v>1048</v>
      </c>
      <c r="B408" s="122" t="s">
        <v>956</v>
      </c>
      <c r="C408" s="123" t="s">
        <v>87</v>
      </c>
      <c r="D408" s="123" t="s">
        <v>563</v>
      </c>
      <c r="E408" s="124" t="s">
        <v>889</v>
      </c>
      <c r="F408" s="124" t="s">
        <v>890</v>
      </c>
      <c r="G408" s="124" t="s">
        <v>1191</v>
      </c>
      <c r="H408" s="122" t="s">
        <v>8</v>
      </c>
      <c r="I408" s="123">
        <v>21.208880000000001</v>
      </c>
      <c r="J408" s="123">
        <v>-101.67459599999999</v>
      </c>
      <c r="K408" s="122"/>
      <c r="L408" s="125" t="str">
        <f t="shared" si="16"/>
        <v>Ver en Google Maps</v>
      </c>
      <c r="M408" s="122">
        <v>1</v>
      </c>
      <c r="N408" s="130"/>
      <c r="O408" s="109"/>
      <c r="P408" s="109"/>
      <c r="Q408" s="109"/>
      <c r="R408" s="109"/>
      <c r="S408" s="109"/>
      <c r="T408" s="109"/>
      <c r="U408" s="109"/>
      <c r="V408" s="109"/>
      <c r="W408" s="109"/>
      <c r="X408" s="109"/>
      <c r="Y408" s="109"/>
      <c r="Z408" s="109"/>
      <c r="AA408" s="109"/>
      <c r="AB408" s="109"/>
      <c r="AC408" s="109"/>
      <c r="AD408" s="110"/>
      <c r="AE408" s="109"/>
      <c r="AF408" s="151"/>
    </row>
    <row r="409" spans="1:32" x14ac:dyDescent="0.2">
      <c r="A409" s="112">
        <v>1049</v>
      </c>
      <c r="B409" s="113" t="s">
        <v>956</v>
      </c>
      <c r="C409" s="114" t="s">
        <v>87</v>
      </c>
      <c r="D409" s="114" t="s">
        <v>563</v>
      </c>
      <c r="E409" s="115" t="s">
        <v>891</v>
      </c>
      <c r="F409" s="115" t="s">
        <v>892</v>
      </c>
      <c r="G409" s="115" t="s">
        <v>1192</v>
      </c>
      <c r="H409" s="113" t="s">
        <v>8</v>
      </c>
      <c r="I409" s="114">
        <v>21.169146999999999</v>
      </c>
      <c r="J409" s="114">
        <v>-101.638357</v>
      </c>
      <c r="K409" s="113"/>
      <c r="L409" s="116" t="str">
        <f t="shared" si="16"/>
        <v>Ver en Google Maps</v>
      </c>
      <c r="M409" s="113">
        <v>1</v>
      </c>
      <c r="N409" s="129"/>
      <c r="O409" s="118"/>
      <c r="P409" s="118"/>
      <c r="Q409" s="118"/>
      <c r="R409" s="118"/>
      <c r="S409" s="118"/>
      <c r="T409" s="118"/>
      <c r="U409" s="118"/>
      <c r="V409" s="118"/>
      <c r="W409" s="118"/>
      <c r="X409" s="118"/>
      <c r="Y409" s="118"/>
      <c r="Z409" s="118"/>
      <c r="AA409" s="118"/>
      <c r="AB409" s="118"/>
      <c r="AC409" s="118"/>
      <c r="AD409" s="119"/>
      <c r="AE409" s="118"/>
      <c r="AF409" s="152"/>
    </row>
    <row r="410" spans="1:32" x14ac:dyDescent="0.2">
      <c r="A410" s="121">
        <v>1055</v>
      </c>
      <c r="B410" s="122" t="s">
        <v>956</v>
      </c>
      <c r="C410" s="123" t="s">
        <v>87</v>
      </c>
      <c r="D410" s="123" t="s">
        <v>893</v>
      </c>
      <c r="E410" s="124" t="s">
        <v>384</v>
      </c>
      <c r="F410" s="124" t="s">
        <v>894</v>
      </c>
      <c r="G410" s="124" t="s">
        <v>1165</v>
      </c>
      <c r="H410" s="122" t="s">
        <v>8</v>
      </c>
      <c r="I410" s="123">
        <v>21.088370999999999</v>
      </c>
      <c r="J410" s="123">
        <v>-101.620634</v>
      </c>
      <c r="K410" s="122"/>
      <c r="L410" s="125" t="str">
        <f t="shared" si="16"/>
        <v>Ver en Google Maps</v>
      </c>
      <c r="M410" s="122">
        <v>1</v>
      </c>
      <c r="N410" s="130"/>
      <c r="O410" s="109"/>
      <c r="P410" s="109"/>
      <c r="Q410" s="109"/>
      <c r="R410" s="109"/>
      <c r="S410" s="109"/>
      <c r="T410" s="109"/>
      <c r="U410" s="109"/>
      <c r="V410" s="109"/>
      <c r="W410" s="109"/>
      <c r="X410" s="109"/>
      <c r="Y410" s="109"/>
      <c r="Z410" s="109"/>
      <c r="AA410" s="109"/>
      <c r="AB410" s="109"/>
      <c r="AC410" s="109"/>
      <c r="AD410" s="110"/>
      <c r="AE410" s="109"/>
      <c r="AF410" s="151"/>
    </row>
    <row r="411" spans="1:32" x14ac:dyDescent="0.2">
      <c r="A411" s="112">
        <v>1057</v>
      </c>
      <c r="B411" s="113" t="s">
        <v>956</v>
      </c>
      <c r="C411" s="114" t="s">
        <v>14</v>
      </c>
      <c r="D411" s="114" t="s">
        <v>735</v>
      </c>
      <c r="E411" s="115" t="s">
        <v>895</v>
      </c>
      <c r="F411" s="115" t="s">
        <v>896</v>
      </c>
      <c r="G411" s="115" t="s">
        <v>1018</v>
      </c>
      <c r="H411" s="113" t="s">
        <v>8</v>
      </c>
      <c r="I411" s="114">
        <v>21.117000000000001</v>
      </c>
      <c r="J411" s="114">
        <v>-101.58602</v>
      </c>
      <c r="K411" s="113"/>
      <c r="L411" s="116" t="str">
        <f t="shared" si="16"/>
        <v>Ver en Google Maps</v>
      </c>
      <c r="M411" s="113">
        <v>1</v>
      </c>
      <c r="N411" s="129"/>
      <c r="O411" s="118"/>
      <c r="P411" s="118"/>
      <c r="Q411" s="118"/>
      <c r="R411" s="118"/>
      <c r="S411" s="118"/>
      <c r="T411" s="118"/>
      <c r="U411" s="118"/>
      <c r="V411" s="118"/>
      <c r="W411" s="118"/>
      <c r="X411" s="118"/>
      <c r="Y411" s="118"/>
      <c r="Z411" s="118"/>
      <c r="AA411" s="118"/>
      <c r="AB411" s="118"/>
      <c r="AC411" s="118"/>
      <c r="AD411" s="119"/>
      <c r="AE411" s="118"/>
      <c r="AF411" s="152"/>
    </row>
    <row r="412" spans="1:32" x14ac:dyDescent="0.2">
      <c r="A412" s="121" t="s">
        <v>3103</v>
      </c>
      <c r="B412" s="122" t="s">
        <v>956</v>
      </c>
      <c r="C412" s="123" t="s">
        <v>11</v>
      </c>
      <c r="D412" s="123" t="s">
        <v>404</v>
      </c>
      <c r="E412" s="124" t="s">
        <v>385</v>
      </c>
      <c r="F412" s="124" t="s">
        <v>897</v>
      </c>
      <c r="G412" s="124" t="s">
        <v>1158</v>
      </c>
      <c r="H412" s="122" t="s">
        <v>8</v>
      </c>
      <c r="I412" s="123">
        <v>21.143360000000001</v>
      </c>
      <c r="J412" s="123">
        <v>-101.64295</v>
      </c>
      <c r="K412" s="122" t="s">
        <v>139</v>
      </c>
      <c r="L412" s="125" t="str">
        <f t="shared" ref="L412:L413" si="19">HYPERLINK("https://www.google.com/maps?q=" &amp; I412 &amp; "," &amp; J412, "Ver en Google Maps")</f>
        <v>Ver en Google Maps</v>
      </c>
      <c r="M412" s="122">
        <v>3</v>
      </c>
      <c r="N412" s="108">
        <v>45931</v>
      </c>
      <c r="O412" s="109">
        <f>DAY('BD1'!$N412)</f>
        <v>1</v>
      </c>
      <c r="P412" s="109">
        <f>MONTH('BD1'!$N412)</f>
        <v>10</v>
      </c>
      <c r="Q412" s="109">
        <f>YEAR('BD1'!$N412)</f>
        <v>2025</v>
      </c>
      <c r="R412" s="109">
        <v>1</v>
      </c>
      <c r="S412" s="109" t="s">
        <v>138</v>
      </c>
      <c r="T412" s="109" t="s">
        <v>138</v>
      </c>
      <c r="U412" s="109" t="s">
        <v>138</v>
      </c>
      <c r="V412" s="109" t="s">
        <v>138</v>
      </c>
      <c r="W412" s="109" t="s">
        <v>138</v>
      </c>
      <c r="X412" s="109" t="s">
        <v>138</v>
      </c>
      <c r="Y412" s="109" t="s">
        <v>138</v>
      </c>
      <c r="Z412" s="109" t="s">
        <v>138</v>
      </c>
      <c r="AA412" s="109">
        <v>110</v>
      </c>
      <c r="AB412" s="109">
        <v>92.7</v>
      </c>
      <c r="AC412" s="110" t="s">
        <v>967</v>
      </c>
      <c r="AD412" s="110" t="s">
        <v>957</v>
      </c>
      <c r="AE412" s="109">
        <f>COUNTIF(S412:Z412, "si")</f>
        <v>8</v>
      </c>
      <c r="AF412" s="151" t="str">
        <f t="shared" si="18"/>
        <v>Estable</v>
      </c>
    </row>
    <row r="413" spans="1:32" x14ac:dyDescent="0.2">
      <c r="A413" s="112" t="s">
        <v>3104</v>
      </c>
      <c r="B413" s="113" t="s">
        <v>956</v>
      </c>
      <c r="C413" s="114" t="s">
        <v>11</v>
      </c>
      <c r="D413" s="114" t="s">
        <v>404</v>
      </c>
      <c r="E413" s="115" t="s">
        <v>385</v>
      </c>
      <c r="F413" s="115" t="s">
        <v>897</v>
      </c>
      <c r="G413" s="115" t="s">
        <v>1158</v>
      </c>
      <c r="H413" s="113" t="s">
        <v>8</v>
      </c>
      <c r="I413" s="114">
        <v>21.143360000000001</v>
      </c>
      <c r="J413" s="114">
        <v>-101.64295</v>
      </c>
      <c r="K413" s="113" t="s">
        <v>139</v>
      </c>
      <c r="L413" s="116" t="str">
        <f t="shared" si="19"/>
        <v>Ver en Google Maps</v>
      </c>
      <c r="M413" s="113">
        <v>3</v>
      </c>
      <c r="N413" s="117">
        <v>45931</v>
      </c>
      <c r="O413" s="118">
        <f>DAY('BD1'!$N413)</f>
        <v>1</v>
      </c>
      <c r="P413" s="118">
        <f>MONTH('BD1'!$N413)</f>
        <v>10</v>
      </c>
      <c r="Q413" s="118">
        <f>YEAR('BD1'!$N413)</f>
        <v>2025</v>
      </c>
      <c r="R413" s="118">
        <v>1</v>
      </c>
      <c r="S413" s="118" t="s">
        <v>138</v>
      </c>
      <c r="T413" s="118" t="s">
        <v>138</v>
      </c>
      <c r="U413" s="118" t="s">
        <v>138</v>
      </c>
      <c r="V413" s="118" t="s">
        <v>138</v>
      </c>
      <c r="W413" s="118" t="s">
        <v>138</v>
      </c>
      <c r="X413" s="118" t="s">
        <v>138</v>
      </c>
      <c r="Y413" s="118" t="s">
        <v>138</v>
      </c>
      <c r="Z413" s="118" t="s">
        <v>138</v>
      </c>
      <c r="AA413" s="118">
        <v>48.5</v>
      </c>
      <c r="AB413" s="118">
        <v>34</v>
      </c>
      <c r="AC413" s="119" t="s">
        <v>967</v>
      </c>
      <c r="AD413" s="119" t="s">
        <v>957</v>
      </c>
      <c r="AE413" s="118">
        <f>COUNTIF(S413:Z413, "si")</f>
        <v>8</v>
      </c>
      <c r="AF413" s="152" t="str">
        <f t="shared" si="18"/>
        <v>Estable</v>
      </c>
    </row>
    <row r="414" spans="1:32" x14ac:dyDescent="0.2">
      <c r="A414" s="121" t="s">
        <v>3105</v>
      </c>
      <c r="B414" s="122" t="s">
        <v>956</v>
      </c>
      <c r="C414" s="123" t="s">
        <v>11</v>
      </c>
      <c r="D414" s="123" t="s">
        <v>404</v>
      </c>
      <c r="E414" s="124" t="s">
        <v>385</v>
      </c>
      <c r="F414" s="124" t="s">
        <v>897</v>
      </c>
      <c r="G414" s="124" t="s">
        <v>1158</v>
      </c>
      <c r="H414" s="122" t="s">
        <v>8</v>
      </c>
      <c r="I414" s="123">
        <v>21.143360000000001</v>
      </c>
      <c r="J414" s="123">
        <v>-101.64295</v>
      </c>
      <c r="K414" s="122" t="s">
        <v>139</v>
      </c>
      <c r="L414" s="125" t="str">
        <f t="shared" si="16"/>
        <v>Ver en Google Maps</v>
      </c>
      <c r="M414" s="122">
        <v>3</v>
      </c>
      <c r="N414" s="108">
        <v>45931</v>
      </c>
      <c r="O414" s="109">
        <f>DAY('BD1'!$N414)</f>
        <v>1</v>
      </c>
      <c r="P414" s="109">
        <f>MONTH('BD1'!$N414)</f>
        <v>10</v>
      </c>
      <c r="Q414" s="109">
        <f>YEAR('BD1'!$N414)</f>
        <v>2025</v>
      </c>
      <c r="R414" s="109">
        <v>1</v>
      </c>
      <c r="S414" s="109" t="s">
        <v>138</v>
      </c>
      <c r="T414" s="109" t="s">
        <v>138</v>
      </c>
      <c r="U414" s="109" t="s">
        <v>138</v>
      </c>
      <c r="V414" s="109" t="s">
        <v>138</v>
      </c>
      <c r="W414" s="109" t="s">
        <v>138</v>
      </c>
      <c r="X414" s="109" t="s">
        <v>138</v>
      </c>
      <c r="Y414" s="109" t="s">
        <v>138</v>
      </c>
      <c r="Z414" s="109" t="s">
        <v>138</v>
      </c>
      <c r="AA414" s="109">
        <v>15.7</v>
      </c>
      <c r="AB414" s="109">
        <v>7.54</v>
      </c>
      <c r="AC414" s="110" t="s">
        <v>967</v>
      </c>
      <c r="AD414" s="110" t="s">
        <v>957</v>
      </c>
      <c r="AE414" s="109">
        <f t="shared" si="17"/>
        <v>8</v>
      </c>
      <c r="AF414" s="151" t="str">
        <f t="shared" si="18"/>
        <v>Estable</v>
      </c>
    </row>
    <row r="415" spans="1:32" x14ac:dyDescent="0.2">
      <c r="A415" s="112">
        <v>1064</v>
      </c>
      <c r="B415" s="113" t="s">
        <v>956</v>
      </c>
      <c r="C415" s="114" t="s">
        <v>14</v>
      </c>
      <c r="D415" s="114" t="s">
        <v>735</v>
      </c>
      <c r="E415" s="115" t="s">
        <v>898</v>
      </c>
      <c r="F415" s="115" t="s">
        <v>899</v>
      </c>
      <c r="G415" s="115" t="s">
        <v>1193</v>
      </c>
      <c r="H415" s="113" t="s">
        <v>8</v>
      </c>
      <c r="I415" s="114">
        <v>21.134526000000001</v>
      </c>
      <c r="J415" s="114">
        <v>-101.652953</v>
      </c>
      <c r="K415" s="113" t="s">
        <v>139</v>
      </c>
      <c r="L415" s="116" t="str">
        <f t="shared" si="16"/>
        <v>Ver en Google Maps</v>
      </c>
      <c r="M415" s="113">
        <v>2</v>
      </c>
      <c r="N415" s="117">
        <v>45932</v>
      </c>
      <c r="O415" s="118">
        <f>DAY('BD1'!$N415)</f>
        <v>2</v>
      </c>
      <c r="P415" s="118">
        <f>MONTH('BD1'!$N415)</f>
        <v>10</v>
      </c>
      <c r="Q415" s="118">
        <f>YEAR('BD1'!$N415)</f>
        <v>2025</v>
      </c>
      <c r="R415" s="118">
        <v>1</v>
      </c>
      <c r="S415" s="118" t="s">
        <v>138</v>
      </c>
      <c r="T415" s="118" t="s">
        <v>138</v>
      </c>
      <c r="U415" s="118" t="s">
        <v>138</v>
      </c>
      <c r="V415" s="118" t="s">
        <v>138</v>
      </c>
      <c r="W415" s="118" t="s">
        <v>138</v>
      </c>
      <c r="X415" s="118" t="s">
        <v>138</v>
      </c>
      <c r="Y415" s="118" t="s">
        <v>934</v>
      </c>
      <c r="Z415" s="118" t="s">
        <v>138</v>
      </c>
      <c r="AA415" s="118">
        <v>34.24</v>
      </c>
      <c r="AB415" s="118">
        <v>24.87</v>
      </c>
      <c r="AC415" s="119" t="s">
        <v>962</v>
      </c>
      <c r="AD415" s="119" t="s">
        <v>957</v>
      </c>
      <c r="AE415" s="118">
        <f t="shared" si="17"/>
        <v>7</v>
      </c>
      <c r="AF415" s="152" t="str">
        <f t="shared" si="18"/>
        <v>Funcional con observaciones</v>
      </c>
    </row>
    <row r="416" spans="1:32" x14ac:dyDescent="0.2">
      <c r="A416" s="121">
        <v>1065</v>
      </c>
      <c r="B416" s="122" t="s">
        <v>956</v>
      </c>
      <c r="C416" s="123" t="s">
        <v>429</v>
      </c>
      <c r="D416" s="123" t="s">
        <v>336</v>
      </c>
      <c r="E416" s="124" t="s">
        <v>900</v>
      </c>
      <c r="F416" s="124" t="s">
        <v>901</v>
      </c>
      <c r="G416" s="124" t="s">
        <v>367</v>
      </c>
      <c r="H416" s="122" t="s">
        <v>8</v>
      </c>
      <c r="I416" s="123">
        <v>21.139700000000001</v>
      </c>
      <c r="J416" s="123">
        <v>-101.71977</v>
      </c>
      <c r="K416" s="122"/>
      <c r="L416" s="125" t="str">
        <f t="shared" si="16"/>
        <v>Ver en Google Maps</v>
      </c>
      <c r="M416" s="122">
        <v>2</v>
      </c>
      <c r="N416" s="130"/>
      <c r="O416" s="109"/>
      <c r="P416" s="109"/>
      <c r="Q416" s="109"/>
      <c r="R416" s="109"/>
      <c r="S416" s="109"/>
      <c r="T416" s="109"/>
      <c r="U416" s="109"/>
      <c r="V416" s="109"/>
      <c r="W416" s="109"/>
      <c r="X416" s="109"/>
      <c r="Y416" s="109"/>
      <c r="Z416" s="109"/>
      <c r="AA416" s="109"/>
      <c r="AB416" s="109"/>
      <c r="AC416" s="109"/>
      <c r="AD416" s="110"/>
      <c r="AE416" s="109"/>
      <c r="AF416" s="151"/>
    </row>
    <row r="417" spans="1:32" x14ac:dyDescent="0.2">
      <c r="A417" s="112">
        <v>1066</v>
      </c>
      <c r="B417" s="113" t="s">
        <v>956</v>
      </c>
      <c r="C417" s="114" t="s">
        <v>429</v>
      </c>
      <c r="D417" s="114" t="s">
        <v>132</v>
      </c>
      <c r="E417" s="115" t="s">
        <v>386</v>
      </c>
      <c r="F417" s="115" t="s">
        <v>902</v>
      </c>
      <c r="G417" s="115" t="s">
        <v>1194</v>
      </c>
      <c r="H417" s="113" t="s">
        <v>8</v>
      </c>
      <c r="I417" s="114">
        <v>21.18375</v>
      </c>
      <c r="J417" s="114">
        <v>-101.67068</v>
      </c>
      <c r="K417" s="113" t="s">
        <v>139</v>
      </c>
      <c r="L417" s="116" t="str">
        <f t="shared" si="16"/>
        <v>Ver en Google Maps</v>
      </c>
      <c r="M417" s="113">
        <v>2</v>
      </c>
      <c r="N417" s="117">
        <v>45936</v>
      </c>
      <c r="O417" s="118">
        <f>DAY('BD1'!$N417)</f>
        <v>6</v>
      </c>
      <c r="P417" s="118">
        <f>MONTH('BD1'!$N417)</f>
        <v>10</v>
      </c>
      <c r="Q417" s="118">
        <f>YEAR('BD1'!$N417)</f>
        <v>2025</v>
      </c>
      <c r="R417" s="118">
        <v>1</v>
      </c>
      <c r="S417" s="118" t="s">
        <v>138</v>
      </c>
      <c r="T417" s="118" t="s">
        <v>138</v>
      </c>
      <c r="U417" s="118" t="s">
        <v>138</v>
      </c>
      <c r="V417" s="118" t="s">
        <v>138</v>
      </c>
      <c r="W417" s="118" t="s">
        <v>138</v>
      </c>
      <c r="X417" s="118" t="s">
        <v>138</v>
      </c>
      <c r="Y417" s="118" t="s">
        <v>138</v>
      </c>
      <c r="Z417" s="118" t="s">
        <v>934</v>
      </c>
      <c r="AA417" s="118">
        <v>8.92</v>
      </c>
      <c r="AB417" s="118">
        <v>27.02</v>
      </c>
      <c r="AC417" s="119" t="s">
        <v>960</v>
      </c>
      <c r="AD417" s="119" t="s">
        <v>957</v>
      </c>
      <c r="AE417" s="118">
        <f t="shared" si="17"/>
        <v>7</v>
      </c>
      <c r="AF417" s="152" t="str">
        <f t="shared" si="18"/>
        <v>Funcional con observaciones</v>
      </c>
    </row>
    <row r="418" spans="1:32" x14ac:dyDescent="0.2">
      <c r="A418" s="121">
        <v>1067</v>
      </c>
      <c r="B418" s="122" t="s">
        <v>956</v>
      </c>
      <c r="C418" s="123" t="s">
        <v>429</v>
      </c>
      <c r="D418" s="123" t="s">
        <v>132</v>
      </c>
      <c r="E418" s="124" t="s">
        <v>387</v>
      </c>
      <c r="F418" s="124" t="s">
        <v>903</v>
      </c>
      <c r="G418" s="124" t="s">
        <v>1104</v>
      </c>
      <c r="H418" s="122" t="s">
        <v>8</v>
      </c>
      <c r="I418" s="123">
        <v>21.081510000000002</v>
      </c>
      <c r="J418" s="123">
        <v>-101.62083</v>
      </c>
      <c r="K418" s="122"/>
      <c r="L418" s="125" t="str">
        <f t="shared" si="16"/>
        <v>Ver en Google Maps</v>
      </c>
      <c r="M418" s="122">
        <v>2</v>
      </c>
      <c r="N418" s="130"/>
      <c r="O418" s="109"/>
      <c r="P418" s="109"/>
      <c r="Q418" s="109"/>
      <c r="R418" s="109"/>
      <c r="S418" s="109"/>
      <c r="T418" s="109"/>
      <c r="U418" s="109"/>
      <c r="V418" s="109"/>
      <c r="W418" s="109"/>
      <c r="X418" s="109"/>
      <c r="Y418" s="109"/>
      <c r="Z418" s="109"/>
      <c r="AA418" s="109"/>
      <c r="AB418" s="109"/>
      <c r="AC418" s="109"/>
      <c r="AD418" s="110"/>
      <c r="AE418" s="109"/>
      <c r="AF418" s="151"/>
    </row>
    <row r="419" spans="1:32" x14ac:dyDescent="0.2">
      <c r="A419" s="112">
        <v>1068</v>
      </c>
      <c r="B419" s="113" t="s">
        <v>956</v>
      </c>
      <c r="C419" s="114" t="s">
        <v>429</v>
      </c>
      <c r="D419" s="114" t="s">
        <v>132</v>
      </c>
      <c r="E419" s="115" t="s">
        <v>388</v>
      </c>
      <c r="F419" s="115" t="s">
        <v>904</v>
      </c>
      <c r="G419" s="115" t="s">
        <v>389</v>
      </c>
      <c r="H419" s="113" t="s">
        <v>8</v>
      </c>
      <c r="I419" s="114">
        <v>21.124140000000001</v>
      </c>
      <c r="J419" s="114">
        <v>-101.63737399999999</v>
      </c>
      <c r="K419" s="113" t="s">
        <v>139</v>
      </c>
      <c r="L419" s="116" t="str">
        <f t="shared" si="16"/>
        <v>Ver en Google Maps</v>
      </c>
      <c r="M419" s="113">
        <v>2</v>
      </c>
      <c r="N419" s="117">
        <v>45934</v>
      </c>
      <c r="O419" s="118">
        <f>DAY('BD1'!$N419)</f>
        <v>4</v>
      </c>
      <c r="P419" s="118">
        <f>MONTH('BD1'!$N419)</f>
        <v>10</v>
      </c>
      <c r="Q419" s="118">
        <f>YEAR('BD1'!$N419)</f>
        <v>2025</v>
      </c>
      <c r="R419" s="118">
        <v>1</v>
      </c>
      <c r="S419" s="118" t="s">
        <v>138</v>
      </c>
      <c r="T419" s="118" t="s">
        <v>138</v>
      </c>
      <c r="U419" s="118" t="s">
        <v>138</v>
      </c>
      <c r="V419" s="118" t="s">
        <v>138</v>
      </c>
      <c r="W419" s="118" t="s">
        <v>138</v>
      </c>
      <c r="X419" s="118" t="s">
        <v>138</v>
      </c>
      <c r="Y419" s="118" t="s">
        <v>138</v>
      </c>
      <c r="Z419" s="118" t="s">
        <v>138</v>
      </c>
      <c r="AA419" s="118">
        <v>23.98</v>
      </c>
      <c r="AB419" s="118">
        <v>33.26</v>
      </c>
      <c r="AC419" s="119" t="s">
        <v>967</v>
      </c>
      <c r="AD419" s="119" t="s">
        <v>957</v>
      </c>
      <c r="AE419" s="118">
        <f t="shared" si="17"/>
        <v>8</v>
      </c>
      <c r="AF419" s="152" t="str">
        <f t="shared" si="18"/>
        <v>Estable</v>
      </c>
    </row>
    <row r="420" spans="1:32" x14ac:dyDescent="0.2">
      <c r="A420" s="121">
        <v>1071</v>
      </c>
      <c r="B420" s="122" t="s">
        <v>956</v>
      </c>
      <c r="C420" s="123" t="s">
        <v>429</v>
      </c>
      <c r="D420" s="123" t="s">
        <v>132</v>
      </c>
      <c r="E420" s="124" t="s">
        <v>390</v>
      </c>
      <c r="F420" s="124" t="s">
        <v>905</v>
      </c>
      <c r="G420" s="124" t="s">
        <v>1195</v>
      </c>
      <c r="H420" s="122" t="s">
        <v>8</v>
      </c>
      <c r="I420" s="123">
        <v>21.12189</v>
      </c>
      <c r="J420" s="123">
        <v>-101.65131</v>
      </c>
      <c r="K420" s="122" t="s">
        <v>139</v>
      </c>
      <c r="L420" s="125" t="str">
        <f t="shared" si="16"/>
        <v>Ver en Google Maps</v>
      </c>
      <c r="M420" s="122">
        <v>2</v>
      </c>
      <c r="N420" s="108">
        <v>45931</v>
      </c>
      <c r="O420" s="109">
        <f>DAY('BD1'!$N420)</f>
        <v>1</v>
      </c>
      <c r="P420" s="109">
        <f>MONTH('BD1'!$N420)</f>
        <v>10</v>
      </c>
      <c r="Q420" s="109">
        <f>YEAR('BD1'!$N420)</f>
        <v>2025</v>
      </c>
      <c r="R420" s="109">
        <v>1</v>
      </c>
      <c r="S420" s="109" t="s">
        <v>138</v>
      </c>
      <c r="T420" s="109" t="s">
        <v>138</v>
      </c>
      <c r="U420" s="109" t="s">
        <v>138</v>
      </c>
      <c r="V420" s="109" t="s">
        <v>138</v>
      </c>
      <c r="W420" s="109" t="s">
        <v>138</v>
      </c>
      <c r="X420" s="109" t="s">
        <v>138</v>
      </c>
      <c r="Y420" s="109" t="s">
        <v>138</v>
      </c>
      <c r="Z420" s="109" t="s">
        <v>138</v>
      </c>
      <c r="AA420" s="109">
        <v>19.72</v>
      </c>
      <c r="AB420" s="109">
        <v>15.73</v>
      </c>
      <c r="AC420" s="110" t="s">
        <v>967</v>
      </c>
      <c r="AD420" s="110" t="s">
        <v>957</v>
      </c>
      <c r="AE420" s="109">
        <f t="shared" si="17"/>
        <v>8</v>
      </c>
      <c r="AF420" s="151" t="str">
        <f t="shared" si="18"/>
        <v>Estable</v>
      </c>
    </row>
    <row r="421" spans="1:32" x14ac:dyDescent="0.2">
      <c r="A421" s="112">
        <v>1076</v>
      </c>
      <c r="B421" s="113" t="s">
        <v>956</v>
      </c>
      <c r="C421" s="114" t="s">
        <v>429</v>
      </c>
      <c r="D421" s="114" t="s">
        <v>132</v>
      </c>
      <c r="E421" s="115" t="s">
        <v>391</v>
      </c>
      <c r="F421" s="115" t="s">
        <v>906</v>
      </c>
      <c r="G421" s="115" t="s">
        <v>1196</v>
      </c>
      <c r="H421" s="113" t="s">
        <v>8</v>
      </c>
      <c r="I421" s="114">
        <v>21.140526999999999</v>
      </c>
      <c r="J421" s="114">
        <v>-101.717894</v>
      </c>
      <c r="K421" s="113"/>
      <c r="L421" s="116" t="str">
        <f t="shared" si="16"/>
        <v>Ver en Google Maps</v>
      </c>
      <c r="M421" s="113">
        <v>2</v>
      </c>
      <c r="N421" s="129"/>
      <c r="O421" s="118"/>
      <c r="P421" s="118"/>
      <c r="Q421" s="118"/>
      <c r="R421" s="118"/>
      <c r="S421" s="118"/>
      <c r="T421" s="118"/>
      <c r="U421" s="118"/>
      <c r="V421" s="118"/>
      <c r="W421" s="118"/>
      <c r="X421" s="118"/>
      <c r="Y421" s="118"/>
      <c r="Z421" s="118"/>
      <c r="AA421" s="118"/>
      <c r="AB421" s="118"/>
      <c r="AC421" s="118"/>
      <c r="AD421" s="119"/>
      <c r="AE421" s="118"/>
      <c r="AF421" s="152"/>
    </row>
    <row r="422" spans="1:32" x14ac:dyDescent="0.2">
      <c r="A422" s="121">
        <v>1077</v>
      </c>
      <c r="B422" s="122" t="s">
        <v>956</v>
      </c>
      <c r="C422" s="123" t="s">
        <v>429</v>
      </c>
      <c r="D422" s="123" t="s">
        <v>132</v>
      </c>
      <c r="E422" s="124" t="s">
        <v>392</v>
      </c>
      <c r="F422" s="124" t="s">
        <v>907</v>
      </c>
      <c r="G422" s="124" t="s">
        <v>1032</v>
      </c>
      <c r="H422" s="122" t="s">
        <v>8</v>
      </c>
      <c r="I422" s="123">
        <v>21.139303999999999</v>
      </c>
      <c r="J422" s="123">
        <v>-101.755343</v>
      </c>
      <c r="K422" s="122" t="s">
        <v>139</v>
      </c>
      <c r="L422" s="125" t="str">
        <f t="shared" si="16"/>
        <v>Ver en Google Maps</v>
      </c>
      <c r="M422" s="122">
        <v>2</v>
      </c>
      <c r="N422" s="108">
        <v>45930</v>
      </c>
      <c r="O422" s="109">
        <f>DAY('BD1'!$N422)</f>
        <v>30</v>
      </c>
      <c r="P422" s="109">
        <f>MONTH('BD1'!$N422)</f>
        <v>9</v>
      </c>
      <c r="Q422" s="109">
        <f>YEAR('BD1'!$N422)</f>
        <v>2025</v>
      </c>
      <c r="R422" s="109">
        <v>1</v>
      </c>
      <c r="S422" s="109" t="s">
        <v>138</v>
      </c>
      <c r="T422" s="109" t="s">
        <v>138</v>
      </c>
      <c r="U422" s="109" t="s">
        <v>138</v>
      </c>
      <c r="V422" s="109" t="s">
        <v>138</v>
      </c>
      <c r="W422" s="109" t="s">
        <v>138</v>
      </c>
      <c r="X422" s="109" t="s">
        <v>138</v>
      </c>
      <c r="Y422" s="109" t="s">
        <v>138</v>
      </c>
      <c r="Z422" s="109" t="s">
        <v>934</v>
      </c>
      <c r="AA422" s="109">
        <v>11.5</v>
      </c>
      <c r="AB422" s="109">
        <v>6.11</v>
      </c>
      <c r="AC422" s="110" t="s">
        <v>960</v>
      </c>
      <c r="AD422" s="110" t="s">
        <v>957</v>
      </c>
      <c r="AE422" s="109">
        <f t="shared" si="17"/>
        <v>7</v>
      </c>
      <c r="AF422" s="151" t="str">
        <f t="shared" si="18"/>
        <v>Funcional con observaciones</v>
      </c>
    </row>
    <row r="423" spans="1:32" x14ac:dyDescent="0.2">
      <c r="A423" s="112">
        <v>1078</v>
      </c>
      <c r="B423" s="113" t="s">
        <v>956</v>
      </c>
      <c r="C423" s="114" t="s">
        <v>429</v>
      </c>
      <c r="D423" s="114" t="s">
        <v>132</v>
      </c>
      <c r="E423" s="115" t="s">
        <v>393</v>
      </c>
      <c r="F423" s="115" t="s">
        <v>908</v>
      </c>
      <c r="G423" s="115" t="s">
        <v>1036</v>
      </c>
      <c r="H423" s="113" t="s">
        <v>8</v>
      </c>
      <c r="I423" s="114">
        <v>21.129061</v>
      </c>
      <c r="J423" s="114">
        <v>-101.714563</v>
      </c>
      <c r="K423" s="113"/>
      <c r="L423" s="116" t="str">
        <f t="shared" si="16"/>
        <v>Ver en Google Maps</v>
      </c>
      <c r="M423" s="113">
        <v>2</v>
      </c>
      <c r="N423" s="129"/>
      <c r="O423" s="118"/>
      <c r="P423" s="118"/>
      <c r="Q423" s="118"/>
      <c r="R423" s="118"/>
      <c r="S423" s="118"/>
      <c r="T423" s="118"/>
      <c r="U423" s="118"/>
      <c r="V423" s="118"/>
      <c r="W423" s="118"/>
      <c r="X423" s="118"/>
      <c r="Y423" s="118"/>
      <c r="Z423" s="118"/>
      <c r="AA423" s="118"/>
      <c r="AB423" s="118"/>
      <c r="AC423" s="118"/>
      <c r="AD423" s="119"/>
      <c r="AE423" s="118"/>
      <c r="AF423" s="152"/>
    </row>
    <row r="424" spans="1:32" x14ac:dyDescent="0.2">
      <c r="A424" s="121">
        <v>1079</v>
      </c>
      <c r="B424" s="122" t="s">
        <v>956</v>
      </c>
      <c r="C424" s="123" t="s">
        <v>429</v>
      </c>
      <c r="D424" s="123" t="s">
        <v>132</v>
      </c>
      <c r="E424" s="124" t="s">
        <v>394</v>
      </c>
      <c r="F424" s="124" t="s">
        <v>909</v>
      </c>
      <c r="G424" s="124" t="s">
        <v>997</v>
      </c>
      <c r="H424" s="122" t="s">
        <v>8</v>
      </c>
      <c r="I424" s="123">
        <v>21.122029999999999</v>
      </c>
      <c r="J424" s="123">
        <v>-101.73099000000001</v>
      </c>
      <c r="K424" s="122"/>
      <c r="L424" s="125" t="str">
        <f t="shared" si="16"/>
        <v>Ver en Google Maps</v>
      </c>
      <c r="M424" s="122">
        <v>2</v>
      </c>
      <c r="N424" s="130"/>
      <c r="O424" s="109"/>
      <c r="P424" s="109"/>
      <c r="Q424" s="109"/>
      <c r="R424" s="109"/>
      <c r="S424" s="109"/>
      <c r="T424" s="109"/>
      <c r="U424" s="109"/>
      <c r="V424" s="109"/>
      <c r="W424" s="109"/>
      <c r="X424" s="109"/>
      <c r="Y424" s="109"/>
      <c r="Z424" s="109"/>
      <c r="AA424" s="109"/>
      <c r="AB424" s="109"/>
      <c r="AC424" s="109"/>
      <c r="AD424" s="110"/>
      <c r="AE424" s="109"/>
      <c r="AF424" s="151"/>
    </row>
    <row r="425" spans="1:32" x14ac:dyDescent="0.2">
      <c r="A425" s="112">
        <v>1082</v>
      </c>
      <c r="B425" s="113" t="s">
        <v>956</v>
      </c>
      <c r="C425" s="114" t="s">
        <v>18</v>
      </c>
      <c r="D425" s="114" t="s">
        <v>404</v>
      </c>
      <c r="E425" s="115" t="s">
        <v>134</v>
      </c>
      <c r="F425" s="115" t="s">
        <v>910</v>
      </c>
      <c r="G425" s="115" t="s">
        <v>1197</v>
      </c>
      <c r="H425" s="113" t="s">
        <v>8</v>
      </c>
      <c r="I425" s="114">
        <v>21.087554000000001</v>
      </c>
      <c r="J425" s="114">
        <v>-101.62041600000001</v>
      </c>
      <c r="K425" s="113"/>
      <c r="L425" s="116" t="str">
        <f t="shared" si="16"/>
        <v>Ver en Google Maps</v>
      </c>
      <c r="M425" s="113">
        <v>1</v>
      </c>
      <c r="N425" s="129"/>
      <c r="O425" s="118"/>
      <c r="P425" s="118"/>
      <c r="Q425" s="118"/>
      <c r="R425" s="118"/>
      <c r="S425" s="118"/>
      <c r="T425" s="118"/>
      <c r="U425" s="118"/>
      <c r="V425" s="118"/>
      <c r="W425" s="118"/>
      <c r="X425" s="118"/>
      <c r="Y425" s="118"/>
      <c r="Z425" s="118"/>
      <c r="AA425" s="118"/>
      <c r="AB425" s="118"/>
      <c r="AC425" s="118"/>
      <c r="AD425" s="119"/>
      <c r="AE425" s="118"/>
      <c r="AF425" s="152"/>
    </row>
    <row r="426" spans="1:32" x14ac:dyDescent="0.2">
      <c r="A426" s="121">
        <v>1083</v>
      </c>
      <c r="B426" s="122" t="s">
        <v>956</v>
      </c>
      <c r="C426" s="123" t="s">
        <v>18</v>
      </c>
      <c r="D426" s="123" t="s">
        <v>404</v>
      </c>
      <c r="E426" s="124" t="s">
        <v>395</v>
      </c>
      <c r="F426" s="124" t="s">
        <v>911</v>
      </c>
      <c r="G426" s="124" t="s">
        <v>1197</v>
      </c>
      <c r="H426" s="122" t="s">
        <v>8</v>
      </c>
      <c r="I426" s="123">
        <v>21.087440000000001</v>
      </c>
      <c r="J426" s="123">
        <v>-101.6203</v>
      </c>
      <c r="K426" s="122"/>
      <c r="L426" s="125" t="str">
        <f t="shared" si="16"/>
        <v>Ver en Google Maps</v>
      </c>
      <c r="M426" s="122">
        <v>1</v>
      </c>
      <c r="N426" s="130"/>
      <c r="O426" s="109"/>
      <c r="P426" s="109"/>
      <c r="Q426" s="109"/>
      <c r="R426" s="109"/>
      <c r="S426" s="109"/>
      <c r="T426" s="109"/>
      <c r="U426" s="109"/>
      <c r="V426" s="109"/>
      <c r="W426" s="109"/>
      <c r="X426" s="109"/>
      <c r="Y426" s="109"/>
      <c r="Z426" s="109"/>
      <c r="AA426" s="109"/>
      <c r="AB426" s="109"/>
      <c r="AC426" s="109"/>
      <c r="AD426" s="110"/>
      <c r="AE426" s="109"/>
      <c r="AF426" s="151"/>
    </row>
    <row r="427" spans="1:32" x14ac:dyDescent="0.2">
      <c r="A427" s="112">
        <v>1084</v>
      </c>
      <c r="B427" s="113" t="s">
        <v>956</v>
      </c>
      <c r="C427" s="114" t="s">
        <v>18</v>
      </c>
      <c r="D427" s="114" t="s">
        <v>404</v>
      </c>
      <c r="E427" s="115" t="s">
        <v>396</v>
      </c>
      <c r="F427" s="115" t="s">
        <v>912</v>
      </c>
      <c r="G427" s="115" t="s">
        <v>1197</v>
      </c>
      <c r="H427" s="113" t="s">
        <v>8</v>
      </c>
      <c r="I427" s="114">
        <v>21.087302000000001</v>
      </c>
      <c r="J427" s="114">
        <v>-101.620121</v>
      </c>
      <c r="K427" s="113"/>
      <c r="L427" s="116" t="str">
        <f t="shared" si="16"/>
        <v>Ver en Google Maps</v>
      </c>
      <c r="M427" s="113">
        <v>1</v>
      </c>
      <c r="N427" s="129"/>
      <c r="O427" s="118"/>
      <c r="P427" s="118"/>
      <c r="Q427" s="118"/>
      <c r="R427" s="118"/>
      <c r="S427" s="118"/>
      <c r="T427" s="118"/>
      <c r="U427" s="118"/>
      <c r="V427" s="118"/>
      <c r="W427" s="118"/>
      <c r="X427" s="118"/>
      <c r="Y427" s="118"/>
      <c r="Z427" s="118"/>
      <c r="AA427" s="118"/>
      <c r="AB427" s="118"/>
      <c r="AC427" s="118"/>
      <c r="AD427" s="119"/>
      <c r="AE427" s="118"/>
      <c r="AF427" s="152"/>
    </row>
    <row r="428" spans="1:32" x14ac:dyDescent="0.2">
      <c r="A428" s="121">
        <v>1086</v>
      </c>
      <c r="B428" s="122" t="s">
        <v>956</v>
      </c>
      <c r="C428" s="123" t="s">
        <v>18</v>
      </c>
      <c r="D428" s="123" t="s">
        <v>404</v>
      </c>
      <c r="E428" s="124" t="s">
        <v>397</v>
      </c>
      <c r="F428" s="124" t="s">
        <v>913</v>
      </c>
      <c r="G428" s="124" t="s">
        <v>1198</v>
      </c>
      <c r="H428" s="122" t="s">
        <v>8</v>
      </c>
      <c r="I428" s="123">
        <v>21.153790000000001</v>
      </c>
      <c r="J428" s="123">
        <v>-101.70484999999999</v>
      </c>
      <c r="K428" s="122" t="s">
        <v>139</v>
      </c>
      <c r="L428" s="125" t="str">
        <f t="shared" si="16"/>
        <v>Ver en Google Maps</v>
      </c>
      <c r="M428" s="122">
        <v>2</v>
      </c>
      <c r="N428" s="108">
        <v>45930</v>
      </c>
      <c r="O428" s="109">
        <f>DAY('BD1'!$N428)</f>
        <v>30</v>
      </c>
      <c r="P428" s="109">
        <f>MONTH('BD1'!$N428)</f>
        <v>9</v>
      </c>
      <c r="Q428" s="109">
        <f>YEAR('BD1'!$N428)</f>
        <v>2025</v>
      </c>
      <c r="R428" s="109">
        <v>1</v>
      </c>
      <c r="S428" s="109" t="s">
        <v>138</v>
      </c>
      <c r="T428" s="109" t="s">
        <v>138</v>
      </c>
      <c r="U428" s="109" t="s">
        <v>138</v>
      </c>
      <c r="V428" s="109" t="s">
        <v>138</v>
      </c>
      <c r="W428" s="109" t="s">
        <v>138</v>
      </c>
      <c r="X428" s="109" t="s">
        <v>138</v>
      </c>
      <c r="Y428" s="109" t="s">
        <v>138</v>
      </c>
      <c r="Z428" s="109" t="s">
        <v>934</v>
      </c>
      <c r="AA428" s="109">
        <v>7.36</v>
      </c>
      <c r="AB428" s="109">
        <v>8.48</v>
      </c>
      <c r="AC428" s="110" t="s">
        <v>960</v>
      </c>
      <c r="AD428" s="110" t="s">
        <v>957</v>
      </c>
      <c r="AE428" s="109">
        <f t="shared" si="17"/>
        <v>7</v>
      </c>
      <c r="AF428" s="151" t="str">
        <f t="shared" si="18"/>
        <v>Funcional con observaciones</v>
      </c>
    </row>
    <row r="429" spans="1:32" x14ac:dyDescent="0.2">
      <c r="A429" s="112">
        <v>1094</v>
      </c>
      <c r="B429" s="113" t="s">
        <v>956</v>
      </c>
      <c r="C429" s="114" t="s">
        <v>14</v>
      </c>
      <c r="D429" s="114" t="s">
        <v>404</v>
      </c>
      <c r="E429" s="115" t="s">
        <v>135</v>
      </c>
      <c r="F429" s="115" t="s">
        <v>914</v>
      </c>
      <c r="G429" s="115" t="s">
        <v>1199</v>
      </c>
      <c r="H429" s="113" t="s">
        <v>8</v>
      </c>
      <c r="I429" s="114">
        <v>21.098209000000001</v>
      </c>
      <c r="J429" s="114">
        <v>-101.64255</v>
      </c>
      <c r="K429" s="113"/>
      <c r="L429" s="116" t="str">
        <f t="shared" si="16"/>
        <v>Ver en Google Maps</v>
      </c>
      <c r="M429" s="113">
        <v>1</v>
      </c>
      <c r="N429" s="129"/>
      <c r="O429" s="118"/>
      <c r="P429" s="118"/>
      <c r="Q429" s="118"/>
      <c r="R429" s="118"/>
      <c r="S429" s="118"/>
      <c r="T429" s="118"/>
      <c r="U429" s="118"/>
      <c r="V429" s="118"/>
      <c r="W429" s="118"/>
      <c r="X429" s="118"/>
      <c r="Y429" s="118"/>
      <c r="Z429" s="118"/>
      <c r="AA429" s="118"/>
      <c r="AB429" s="118"/>
      <c r="AC429" s="118"/>
      <c r="AD429" s="119"/>
      <c r="AE429" s="118"/>
      <c r="AF429" s="152"/>
    </row>
    <row r="430" spans="1:32" x14ac:dyDescent="0.2">
      <c r="A430" s="121">
        <v>1095</v>
      </c>
      <c r="B430" s="122" t="s">
        <v>956</v>
      </c>
      <c r="C430" s="123" t="s">
        <v>14</v>
      </c>
      <c r="D430" s="123" t="s">
        <v>404</v>
      </c>
      <c r="E430" s="124" t="s">
        <v>398</v>
      </c>
      <c r="F430" s="124" t="s">
        <v>915</v>
      </c>
      <c r="G430" s="124" t="s">
        <v>360</v>
      </c>
      <c r="H430" s="122" t="s">
        <v>8</v>
      </c>
      <c r="I430" s="123">
        <v>21.12623</v>
      </c>
      <c r="J430" s="123">
        <v>-101.68548</v>
      </c>
      <c r="K430" s="122" t="s">
        <v>139</v>
      </c>
      <c r="L430" s="125" t="str">
        <f t="shared" si="16"/>
        <v>Ver en Google Maps</v>
      </c>
      <c r="M430" s="122">
        <v>2</v>
      </c>
      <c r="N430" s="108">
        <v>45930</v>
      </c>
      <c r="O430" s="109">
        <f>DAY('BD1'!$N430)</f>
        <v>30</v>
      </c>
      <c r="P430" s="109">
        <f>MONTH('BD1'!$N430)</f>
        <v>9</v>
      </c>
      <c r="Q430" s="109">
        <f>YEAR('BD1'!$N430)</f>
        <v>2025</v>
      </c>
      <c r="R430" s="109">
        <v>1</v>
      </c>
      <c r="S430" s="109" t="s">
        <v>934</v>
      </c>
      <c r="T430" s="109" t="s">
        <v>934</v>
      </c>
      <c r="U430" s="109" t="s">
        <v>934</v>
      </c>
      <c r="V430" s="109" t="s">
        <v>934</v>
      </c>
      <c r="W430" s="109" t="s">
        <v>934</v>
      </c>
      <c r="X430" s="109" t="s">
        <v>934</v>
      </c>
      <c r="Y430" s="109" t="s">
        <v>934</v>
      </c>
      <c r="Z430" s="109" t="s">
        <v>934</v>
      </c>
      <c r="AA430" s="109">
        <v>0</v>
      </c>
      <c r="AB430" s="109">
        <v>0</v>
      </c>
      <c r="AC430" s="110" t="s">
        <v>966</v>
      </c>
      <c r="AD430" s="110" t="s">
        <v>957</v>
      </c>
      <c r="AE430" s="109">
        <f t="shared" si="17"/>
        <v>0</v>
      </c>
      <c r="AF430" s="151" t="str">
        <f t="shared" si="18"/>
        <v>Crítico</v>
      </c>
    </row>
    <row r="431" spans="1:32" x14ac:dyDescent="0.2">
      <c r="A431" s="112">
        <v>1103</v>
      </c>
      <c r="B431" s="113" t="s">
        <v>956</v>
      </c>
      <c r="C431" s="114" t="s">
        <v>429</v>
      </c>
      <c r="D431" s="114" t="s">
        <v>132</v>
      </c>
      <c r="E431" s="115" t="s">
        <v>136</v>
      </c>
      <c r="F431" s="115" t="s">
        <v>916</v>
      </c>
      <c r="G431" s="115" t="s">
        <v>1199</v>
      </c>
      <c r="H431" s="113" t="s">
        <v>8</v>
      </c>
      <c r="I431" s="114">
        <v>21.09422</v>
      </c>
      <c r="J431" s="114">
        <v>-101.64615999999999</v>
      </c>
      <c r="K431" s="113"/>
      <c r="L431" s="116" t="str">
        <f t="shared" si="16"/>
        <v>Ver en Google Maps</v>
      </c>
      <c r="M431" s="113">
        <v>2</v>
      </c>
      <c r="N431" s="129"/>
      <c r="O431" s="118"/>
      <c r="P431" s="118"/>
      <c r="Q431" s="118"/>
      <c r="R431" s="118"/>
      <c r="S431" s="118"/>
      <c r="T431" s="118"/>
      <c r="U431" s="118"/>
      <c r="V431" s="118"/>
      <c r="W431" s="118"/>
      <c r="X431" s="118"/>
      <c r="Y431" s="118"/>
      <c r="Z431" s="118"/>
      <c r="AA431" s="118"/>
      <c r="AB431" s="118"/>
      <c r="AC431" s="118"/>
      <c r="AD431" s="119"/>
      <c r="AE431" s="118"/>
      <c r="AF431" s="152"/>
    </row>
    <row r="432" spans="1:32" x14ac:dyDescent="0.2">
      <c r="A432" s="121">
        <v>1104</v>
      </c>
      <c r="B432" s="122" t="s">
        <v>956</v>
      </c>
      <c r="C432" s="123" t="s">
        <v>429</v>
      </c>
      <c r="D432" s="123" t="s">
        <v>132</v>
      </c>
      <c r="E432" s="124" t="s">
        <v>137</v>
      </c>
      <c r="F432" s="124" t="s">
        <v>917</v>
      </c>
      <c r="G432" s="124" t="s">
        <v>1200</v>
      </c>
      <c r="H432" s="122" t="s">
        <v>8</v>
      </c>
      <c r="I432" s="123">
        <v>21.080500000000001</v>
      </c>
      <c r="J432" s="123">
        <v>-101.6343</v>
      </c>
      <c r="K432" s="122"/>
      <c r="L432" s="125" t="str">
        <f t="shared" si="16"/>
        <v>Ver en Google Maps</v>
      </c>
      <c r="M432" s="122">
        <v>2</v>
      </c>
      <c r="N432" s="130"/>
      <c r="O432" s="109"/>
      <c r="P432" s="109"/>
      <c r="Q432" s="109"/>
      <c r="R432" s="109"/>
      <c r="S432" s="109"/>
      <c r="T432" s="109"/>
      <c r="U432" s="109"/>
      <c r="V432" s="109"/>
      <c r="W432" s="109"/>
      <c r="X432" s="109"/>
      <c r="Y432" s="109"/>
      <c r="Z432" s="109"/>
      <c r="AA432" s="109"/>
      <c r="AB432" s="109"/>
      <c r="AC432" s="109"/>
      <c r="AD432" s="110"/>
      <c r="AE432" s="109"/>
      <c r="AF432" s="151"/>
    </row>
    <row r="433" spans="1:32" x14ac:dyDescent="0.2">
      <c r="A433" s="112">
        <v>1105</v>
      </c>
      <c r="B433" s="113" t="s">
        <v>956</v>
      </c>
      <c r="C433" s="114" t="s">
        <v>429</v>
      </c>
      <c r="D433" s="114" t="s">
        <v>132</v>
      </c>
      <c r="E433" s="115" t="s">
        <v>399</v>
      </c>
      <c r="F433" s="115" t="s">
        <v>918</v>
      </c>
      <c r="G433" s="115" t="s">
        <v>1008</v>
      </c>
      <c r="H433" s="113" t="s">
        <v>8</v>
      </c>
      <c r="I433" s="114">
        <v>21.108550000000001</v>
      </c>
      <c r="J433" s="114">
        <v>-101.69425</v>
      </c>
      <c r="K433" s="113" t="s">
        <v>139</v>
      </c>
      <c r="L433" s="116" t="str">
        <f t="shared" si="16"/>
        <v>Ver en Google Maps</v>
      </c>
      <c r="M433" s="113">
        <v>2</v>
      </c>
      <c r="N433" s="117">
        <v>45932</v>
      </c>
      <c r="O433" s="118">
        <f>DAY('BD1'!$N433)</f>
        <v>2</v>
      </c>
      <c r="P433" s="118">
        <f>MONTH('BD1'!$N433)</f>
        <v>10</v>
      </c>
      <c r="Q433" s="118">
        <f>YEAR('BD1'!$N433)</f>
        <v>2025</v>
      </c>
      <c r="R433" s="118">
        <v>1</v>
      </c>
      <c r="S433" s="118" t="s">
        <v>138</v>
      </c>
      <c r="T433" s="118" t="s">
        <v>138</v>
      </c>
      <c r="U433" s="118" t="s">
        <v>138</v>
      </c>
      <c r="V433" s="118" t="s">
        <v>138</v>
      </c>
      <c r="W433" s="118" t="s">
        <v>138</v>
      </c>
      <c r="X433" s="118" t="s">
        <v>138</v>
      </c>
      <c r="Y433" s="118" t="s">
        <v>934</v>
      </c>
      <c r="Z433" s="118" t="s">
        <v>138</v>
      </c>
      <c r="AA433" s="118">
        <v>33.11</v>
      </c>
      <c r="AB433" s="118">
        <v>32.380000000000003</v>
      </c>
      <c r="AC433" s="119" t="s">
        <v>961</v>
      </c>
      <c r="AD433" s="119" t="s">
        <v>957</v>
      </c>
      <c r="AE433" s="118">
        <f t="shared" si="17"/>
        <v>7</v>
      </c>
      <c r="AF433" s="152" t="str">
        <f t="shared" si="18"/>
        <v>Funcional con observaciones</v>
      </c>
    </row>
    <row r="434" spans="1:32" x14ac:dyDescent="0.2">
      <c r="A434" s="121">
        <v>1106</v>
      </c>
      <c r="B434" s="122" t="s">
        <v>956</v>
      </c>
      <c r="C434" s="123" t="s">
        <v>429</v>
      </c>
      <c r="D434" s="123" t="s">
        <v>132</v>
      </c>
      <c r="E434" s="124" t="s">
        <v>400</v>
      </c>
      <c r="F434" s="124" t="s">
        <v>919</v>
      </c>
      <c r="G434" s="124" t="s">
        <v>23</v>
      </c>
      <c r="H434" s="122" t="s">
        <v>8</v>
      </c>
      <c r="I434" s="123">
        <v>21.10596</v>
      </c>
      <c r="J434" s="123">
        <v>-101.70863</v>
      </c>
      <c r="K434" s="122"/>
      <c r="L434" s="125" t="str">
        <f t="shared" si="16"/>
        <v>Ver en Google Maps</v>
      </c>
      <c r="M434" s="122">
        <v>2</v>
      </c>
      <c r="N434" s="130"/>
      <c r="O434" s="109"/>
      <c r="P434" s="109"/>
      <c r="Q434" s="109"/>
      <c r="R434" s="109"/>
      <c r="S434" s="109"/>
      <c r="T434" s="109"/>
      <c r="U434" s="109"/>
      <c r="V434" s="109"/>
      <c r="W434" s="109"/>
      <c r="X434" s="109"/>
      <c r="Y434" s="109"/>
      <c r="Z434" s="109"/>
      <c r="AA434" s="109"/>
      <c r="AB434" s="109"/>
      <c r="AC434" s="109"/>
      <c r="AD434" s="110"/>
      <c r="AE434" s="109"/>
      <c r="AF434" s="151"/>
    </row>
    <row r="435" spans="1:32" x14ac:dyDescent="0.2">
      <c r="A435" s="112">
        <v>1110</v>
      </c>
      <c r="B435" s="113" t="s">
        <v>956</v>
      </c>
      <c r="C435" s="114" t="s">
        <v>429</v>
      </c>
      <c r="D435" s="114" t="s">
        <v>132</v>
      </c>
      <c r="E435" s="115" t="s">
        <v>401</v>
      </c>
      <c r="F435" s="115" t="s">
        <v>920</v>
      </c>
      <c r="G435" s="115" t="s">
        <v>1043</v>
      </c>
      <c r="H435" s="113" t="s">
        <v>8</v>
      </c>
      <c r="I435" s="114">
        <v>21.096309999999999</v>
      </c>
      <c r="J435" s="114">
        <v>-101.59954999999999</v>
      </c>
      <c r="K435" s="113" t="s">
        <v>139</v>
      </c>
      <c r="L435" s="116" t="str">
        <f t="shared" si="16"/>
        <v>Ver en Google Maps</v>
      </c>
      <c r="M435" s="113">
        <v>2</v>
      </c>
      <c r="N435" s="117">
        <v>45931</v>
      </c>
      <c r="O435" s="118">
        <f>DAY('BD1'!$N435)</f>
        <v>1</v>
      </c>
      <c r="P435" s="118">
        <f>MONTH('BD1'!$N435)</f>
        <v>10</v>
      </c>
      <c r="Q435" s="118">
        <f>YEAR('BD1'!$N435)</f>
        <v>2025</v>
      </c>
      <c r="R435" s="118">
        <v>1</v>
      </c>
      <c r="S435" s="118" t="s">
        <v>138</v>
      </c>
      <c r="T435" s="118" t="s">
        <v>138</v>
      </c>
      <c r="U435" s="118" t="s">
        <v>138</v>
      </c>
      <c r="V435" s="118" t="s">
        <v>138</v>
      </c>
      <c r="W435" s="118" t="s">
        <v>138</v>
      </c>
      <c r="X435" s="118" t="s">
        <v>138</v>
      </c>
      <c r="Y435" s="118" t="s">
        <v>138</v>
      </c>
      <c r="Z435" s="118" t="s">
        <v>138</v>
      </c>
      <c r="AA435" s="118">
        <v>25.12</v>
      </c>
      <c r="AB435" s="118">
        <v>22.3</v>
      </c>
      <c r="AC435" s="119" t="s">
        <v>967</v>
      </c>
      <c r="AD435" s="119" t="s">
        <v>957</v>
      </c>
      <c r="AE435" s="118">
        <f t="shared" si="17"/>
        <v>8</v>
      </c>
      <c r="AF435" s="152" t="str">
        <f t="shared" si="18"/>
        <v>Estable</v>
      </c>
    </row>
    <row r="436" spans="1:32" ht="12.75" thickBot="1" x14ac:dyDescent="0.25">
      <c r="A436" s="121">
        <v>1121</v>
      </c>
      <c r="B436" s="122" t="s">
        <v>956</v>
      </c>
      <c r="C436" s="123" t="s">
        <v>429</v>
      </c>
      <c r="D436" s="123" t="s">
        <v>15</v>
      </c>
      <c r="E436" s="124" t="s">
        <v>921</v>
      </c>
      <c r="F436" s="124" t="s">
        <v>922</v>
      </c>
      <c r="G436" s="124" t="s">
        <v>1158</v>
      </c>
      <c r="H436" s="122" t="s">
        <v>8</v>
      </c>
      <c r="I436" s="123">
        <v>21.139892</v>
      </c>
      <c r="J436" s="123">
        <v>-101.64966699999999</v>
      </c>
      <c r="K436" s="122" t="s">
        <v>139</v>
      </c>
      <c r="L436" s="125" t="str">
        <f t="shared" si="16"/>
        <v>Ver en Google Maps</v>
      </c>
      <c r="M436" s="122">
        <v>2</v>
      </c>
      <c r="N436" s="108">
        <v>45932</v>
      </c>
      <c r="O436" s="109">
        <f>DAY('BD1'!$N436)</f>
        <v>2</v>
      </c>
      <c r="P436" s="109">
        <f>MONTH('BD1'!$N436)</f>
        <v>10</v>
      </c>
      <c r="Q436" s="109">
        <f>YEAR('BD1'!$N436)</f>
        <v>2025</v>
      </c>
      <c r="R436" s="109">
        <v>1</v>
      </c>
      <c r="S436" s="109" t="s">
        <v>138</v>
      </c>
      <c r="T436" s="109" t="s">
        <v>138</v>
      </c>
      <c r="U436" s="109" t="s">
        <v>138</v>
      </c>
      <c r="V436" s="109" t="s">
        <v>138</v>
      </c>
      <c r="W436" s="109" t="s">
        <v>138</v>
      </c>
      <c r="X436" s="109" t="s">
        <v>138</v>
      </c>
      <c r="Y436" s="109" t="s">
        <v>138</v>
      </c>
      <c r="Z436" s="109" t="s">
        <v>138</v>
      </c>
      <c r="AA436" s="109">
        <v>15.51</v>
      </c>
      <c r="AB436" s="109">
        <v>6.04</v>
      </c>
      <c r="AC436" s="110" t="s">
        <v>969</v>
      </c>
      <c r="AD436" s="110" t="s">
        <v>957</v>
      </c>
      <c r="AE436" s="109">
        <f t="shared" si="17"/>
        <v>8</v>
      </c>
      <c r="AF436" s="151" t="str">
        <f t="shared" si="18"/>
        <v>Estable</v>
      </c>
    </row>
    <row r="437" spans="1:32" x14ac:dyDescent="0.2">
      <c r="A437" s="132" t="s">
        <v>1406</v>
      </c>
      <c r="B437" s="133" t="s">
        <v>1204</v>
      </c>
      <c r="C437" s="134" t="s">
        <v>11</v>
      </c>
      <c r="D437" s="134" t="s">
        <v>404</v>
      </c>
      <c r="E437" s="135" t="s">
        <v>1205</v>
      </c>
      <c r="F437" s="135" t="s">
        <v>1206</v>
      </c>
      <c r="G437" s="135" t="s">
        <v>1105</v>
      </c>
      <c r="H437" s="133" t="s">
        <v>1207</v>
      </c>
      <c r="I437" s="134">
        <v>20.950721000000001</v>
      </c>
      <c r="J437" s="134">
        <v>-101.421764</v>
      </c>
      <c r="K437" s="133" t="s">
        <v>139</v>
      </c>
      <c r="L437" s="136" t="str">
        <f t="shared" si="16"/>
        <v>Ver en Google Maps</v>
      </c>
      <c r="M437" s="133">
        <v>1</v>
      </c>
      <c r="N437" s="117">
        <v>45937</v>
      </c>
      <c r="O437" s="118">
        <f>DAY('BD1'!$N437)</f>
        <v>7</v>
      </c>
      <c r="P437" s="118">
        <f>MONTH('BD1'!$N437)</f>
        <v>10</v>
      </c>
      <c r="Q437" s="118">
        <f>YEAR('BD1'!$N437)</f>
        <v>2025</v>
      </c>
      <c r="R437" s="118">
        <v>1</v>
      </c>
      <c r="S437" s="118" t="s">
        <v>138</v>
      </c>
      <c r="T437" s="118" t="s">
        <v>138</v>
      </c>
      <c r="U437" s="118" t="s">
        <v>138</v>
      </c>
      <c r="V437" s="118" t="s">
        <v>138</v>
      </c>
      <c r="W437" s="118" t="s">
        <v>138</v>
      </c>
      <c r="X437" s="118" t="s">
        <v>138</v>
      </c>
      <c r="Y437" s="118" t="s">
        <v>138</v>
      </c>
      <c r="Z437" s="118" t="s">
        <v>138</v>
      </c>
      <c r="AA437" s="118">
        <v>24.81</v>
      </c>
      <c r="AB437" s="118">
        <v>12.78</v>
      </c>
      <c r="AC437" s="119" t="s">
        <v>967</v>
      </c>
      <c r="AD437" s="119" t="s">
        <v>1403</v>
      </c>
      <c r="AE437" s="118">
        <f t="shared" si="17"/>
        <v>8</v>
      </c>
      <c r="AF437" s="152" t="str">
        <f t="shared" si="18"/>
        <v>Estable</v>
      </c>
    </row>
    <row r="438" spans="1:32" x14ac:dyDescent="0.2">
      <c r="A438" s="121" t="s">
        <v>1405</v>
      </c>
      <c r="B438" s="122" t="s">
        <v>1204</v>
      </c>
      <c r="C438" s="123" t="s">
        <v>11</v>
      </c>
      <c r="D438" s="123" t="s">
        <v>404</v>
      </c>
      <c r="E438" s="124" t="s">
        <v>1205</v>
      </c>
      <c r="F438" s="124" t="s">
        <v>1206</v>
      </c>
      <c r="G438" s="124" t="s">
        <v>1105</v>
      </c>
      <c r="H438" s="122" t="s">
        <v>1207</v>
      </c>
      <c r="I438" s="123">
        <v>20.950721000000001</v>
      </c>
      <c r="J438" s="123">
        <v>-101.421764</v>
      </c>
      <c r="K438" s="122" t="s">
        <v>139</v>
      </c>
      <c r="L438" s="125" t="str">
        <f>HYPERLINK("https://www.google.com/maps?q=" &amp; I438 &amp; "," &amp; J438, "Ver en Google Maps")</f>
        <v>Ver en Google Maps</v>
      </c>
      <c r="M438" s="122">
        <v>1</v>
      </c>
      <c r="N438" s="108">
        <v>45937</v>
      </c>
      <c r="O438" s="109">
        <f>DAY('BD1'!$N438)</f>
        <v>7</v>
      </c>
      <c r="P438" s="109">
        <f>MONTH('BD1'!$N438)</f>
        <v>10</v>
      </c>
      <c r="Q438" s="109">
        <f>YEAR('BD1'!$N438)</f>
        <v>2025</v>
      </c>
      <c r="R438" s="109">
        <v>1</v>
      </c>
      <c r="S438" s="109" t="s">
        <v>138</v>
      </c>
      <c r="T438" s="109" t="s">
        <v>138</v>
      </c>
      <c r="U438" s="109" t="s">
        <v>138</v>
      </c>
      <c r="V438" s="109" t="s">
        <v>138</v>
      </c>
      <c r="W438" s="109" t="s">
        <v>138</v>
      </c>
      <c r="X438" s="109" t="s">
        <v>138</v>
      </c>
      <c r="Y438" s="109" t="s">
        <v>138</v>
      </c>
      <c r="Z438" s="109" t="s">
        <v>138</v>
      </c>
      <c r="AA438" s="109">
        <v>23.37</v>
      </c>
      <c r="AB438" s="109">
        <v>46.08</v>
      </c>
      <c r="AC438" s="110" t="s">
        <v>967</v>
      </c>
      <c r="AD438" s="110" t="s">
        <v>1403</v>
      </c>
      <c r="AE438" s="109">
        <f t="shared" si="17"/>
        <v>8</v>
      </c>
      <c r="AF438" s="151" t="str">
        <f t="shared" si="18"/>
        <v>Estable</v>
      </c>
    </row>
    <row r="439" spans="1:32" x14ac:dyDescent="0.2">
      <c r="A439" s="112">
        <v>28</v>
      </c>
      <c r="B439" s="113" t="s">
        <v>1204</v>
      </c>
      <c r="C439" s="114" t="s">
        <v>7</v>
      </c>
      <c r="D439" s="114" t="s">
        <v>404</v>
      </c>
      <c r="E439" s="115" t="s">
        <v>1208</v>
      </c>
      <c r="F439" s="115" t="s">
        <v>1209</v>
      </c>
      <c r="G439" s="115" t="s">
        <v>1797</v>
      </c>
      <c r="H439" s="113" t="s">
        <v>1207</v>
      </c>
      <c r="I439" s="114">
        <v>20.938929000000002</v>
      </c>
      <c r="J439" s="114">
        <v>-101.433953</v>
      </c>
      <c r="K439" s="113" t="s">
        <v>139</v>
      </c>
      <c r="L439" s="116" t="str">
        <f t="shared" si="16"/>
        <v>Ver en Google Maps</v>
      </c>
      <c r="M439" s="113">
        <v>2</v>
      </c>
      <c r="N439" s="117">
        <v>45937</v>
      </c>
      <c r="O439" s="118">
        <f>DAY('BD1'!$N439)</f>
        <v>7</v>
      </c>
      <c r="P439" s="118">
        <f>MONTH('BD1'!$N439)</f>
        <v>10</v>
      </c>
      <c r="Q439" s="118">
        <f>YEAR('BD1'!$N439)</f>
        <v>2025</v>
      </c>
      <c r="R439" s="118">
        <v>1</v>
      </c>
      <c r="S439" s="118" t="s">
        <v>138</v>
      </c>
      <c r="T439" s="118" t="s">
        <v>138</v>
      </c>
      <c r="U439" s="118" t="s">
        <v>138</v>
      </c>
      <c r="V439" s="118" t="s">
        <v>138</v>
      </c>
      <c r="W439" s="118" t="s">
        <v>138</v>
      </c>
      <c r="X439" s="118" t="s">
        <v>138</v>
      </c>
      <c r="Y439" s="118" t="s">
        <v>138</v>
      </c>
      <c r="Z439" s="118" t="s">
        <v>138</v>
      </c>
      <c r="AA439" s="118">
        <v>119</v>
      </c>
      <c r="AB439" s="118">
        <v>60.4</v>
      </c>
      <c r="AC439" s="119" t="s">
        <v>967</v>
      </c>
      <c r="AD439" s="119" t="s">
        <v>1403</v>
      </c>
      <c r="AE439" s="118">
        <f t="shared" si="17"/>
        <v>8</v>
      </c>
      <c r="AF439" s="152" t="str">
        <f t="shared" si="18"/>
        <v>Estable</v>
      </c>
    </row>
    <row r="440" spans="1:32" x14ac:dyDescent="0.2">
      <c r="A440" s="121">
        <v>29</v>
      </c>
      <c r="B440" s="122" t="s">
        <v>1204</v>
      </c>
      <c r="C440" s="123" t="s">
        <v>7</v>
      </c>
      <c r="D440" s="123" t="s">
        <v>404</v>
      </c>
      <c r="E440" s="124" t="s">
        <v>1210</v>
      </c>
      <c r="F440" s="124" t="s">
        <v>1211</v>
      </c>
      <c r="G440" s="124" t="s">
        <v>1105</v>
      </c>
      <c r="H440" s="122" t="s">
        <v>1207</v>
      </c>
      <c r="I440" s="123">
        <v>20.943666</v>
      </c>
      <c r="J440" s="123">
        <v>-101.426964</v>
      </c>
      <c r="K440" s="122" t="s">
        <v>139</v>
      </c>
      <c r="L440" s="125" t="str">
        <f t="shared" si="16"/>
        <v>Ver en Google Maps</v>
      </c>
      <c r="M440" s="122">
        <v>1</v>
      </c>
      <c r="N440" s="108">
        <v>45937</v>
      </c>
      <c r="O440" s="109">
        <f>DAY('BD1'!$N440)</f>
        <v>7</v>
      </c>
      <c r="P440" s="109">
        <f>MONTH('BD1'!$N440)</f>
        <v>10</v>
      </c>
      <c r="Q440" s="109">
        <f>YEAR('BD1'!$N440)</f>
        <v>2025</v>
      </c>
      <c r="R440" s="109">
        <v>1</v>
      </c>
      <c r="S440" s="109" t="s">
        <v>138</v>
      </c>
      <c r="T440" s="109" t="s">
        <v>138</v>
      </c>
      <c r="U440" s="109" t="s">
        <v>138</v>
      </c>
      <c r="V440" s="109" t="s">
        <v>138</v>
      </c>
      <c r="W440" s="109" t="s">
        <v>138</v>
      </c>
      <c r="X440" s="109" t="s">
        <v>138</v>
      </c>
      <c r="Y440" s="109" t="s">
        <v>138</v>
      </c>
      <c r="Z440" s="109" t="s">
        <v>934</v>
      </c>
      <c r="AA440" s="109">
        <v>6.74</v>
      </c>
      <c r="AB440" s="109">
        <v>30.44</v>
      </c>
      <c r="AC440" s="110" t="s">
        <v>1412</v>
      </c>
      <c r="AD440" s="110" t="s">
        <v>1403</v>
      </c>
      <c r="AE440" s="109">
        <f t="shared" si="17"/>
        <v>7</v>
      </c>
      <c r="AF440" s="151" t="str">
        <f t="shared" si="18"/>
        <v>Funcional con observaciones</v>
      </c>
    </row>
    <row r="441" spans="1:32" x14ac:dyDescent="0.2">
      <c r="A441" s="112">
        <v>30</v>
      </c>
      <c r="B441" s="113" t="s">
        <v>1204</v>
      </c>
      <c r="C441" s="114" t="s">
        <v>7</v>
      </c>
      <c r="D441" s="114" t="s">
        <v>404</v>
      </c>
      <c r="E441" s="115" t="s">
        <v>1213</v>
      </c>
      <c r="F441" s="115" t="s">
        <v>1214</v>
      </c>
      <c r="G441" s="115" t="s">
        <v>1105</v>
      </c>
      <c r="H441" s="113" t="s">
        <v>1207</v>
      </c>
      <c r="I441" s="114">
        <v>20.946221000000001</v>
      </c>
      <c r="J441" s="114">
        <v>-101.426796</v>
      </c>
      <c r="K441" s="113" t="s">
        <v>139</v>
      </c>
      <c r="L441" s="116" t="str">
        <f t="shared" si="16"/>
        <v>Ver en Google Maps</v>
      </c>
      <c r="M441" s="113">
        <v>1</v>
      </c>
      <c r="N441" s="117">
        <v>45937</v>
      </c>
      <c r="O441" s="118">
        <f>DAY('BD1'!$N441)</f>
        <v>7</v>
      </c>
      <c r="P441" s="118">
        <f>MONTH('BD1'!$N441)</f>
        <v>10</v>
      </c>
      <c r="Q441" s="118">
        <f>YEAR('BD1'!$N441)</f>
        <v>2025</v>
      </c>
      <c r="R441" s="118">
        <v>1</v>
      </c>
      <c r="S441" s="118" t="s">
        <v>138</v>
      </c>
      <c r="T441" s="118" t="s">
        <v>138</v>
      </c>
      <c r="U441" s="118" t="s">
        <v>138</v>
      </c>
      <c r="V441" s="118" t="s">
        <v>138</v>
      </c>
      <c r="W441" s="118" t="s">
        <v>138</v>
      </c>
      <c r="X441" s="118" t="s">
        <v>138</v>
      </c>
      <c r="Y441" s="118" t="s">
        <v>138</v>
      </c>
      <c r="Z441" s="118" t="s">
        <v>138</v>
      </c>
      <c r="AA441" s="118">
        <v>33.49</v>
      </c>
      <c r="AB441" s="118">
        <v>31.08</v>
      </c>
      <c r="AC441" s="119" t="s">
        <v>967</v>
      </c>
      <c r="AD441" s="119" t="s">
        <v>1403</v>
      </c>
      <c r="AE441" s="118">
        <f t="shared" si="17"/>
        <v>8</v>
      </c>
      <c r="AF441" s="152" t="str">
        <f t="shared" si="18"/>
        <v>Estable</v>
      </c>
    </row>
    <row r="442" spans="1:32" x14ac:dyDescent="0.2">
      <c r="A442" s="121">
        <v>31</v>
      </c>
      <c r="B442" s="122" t="s">
        <v>1204</v>
      </c>
      <c r="C442" s="123" t="s">
        <v>7</v>
      </c>
      <c r="D442" s="123" t="s">
        <v>404</v>
      </c>
      <c r="E442" s="124" t="s">
        <v>1215</v>
      </c>
      <c r="F442" s="124" t="s">
        <v>1216</v>
      </c>
      <c r="G442" s="124" t="s">
        <v>1798</v>
      </c>
      <c r="H442" s="122" t="s">
        <v>1207</v>
      </c>
      <c r="I442" s="123">
        <v>20.939492000000001</v>
      </c>
      <c r="J442" s="123">
        <v>-101.431826</v>
      </c>
      <c r="K442" s="122" t="s">
        <v>139</v>
      </c>
      <c r="L442" s="125" t="str">
        <f t="shared" si="16"/>
        <v>Ver en Google Maps</v>
      </c>
      <c r="M442" s="122">
        <v>1</v>
      </c>
      <c r="N442" s="108">
        <v>45937</v>
      </c>
      <c r="O442" s="109">
        <f>DAY('BD1'!$N442)</f>
        <v>7</v>
      </c>
      <c r="P442" s="109">
        <f>MONTH('BD1'!$N442)</f>
        <v>10</v>
      </c>
      <c r="Q442" s="109">
        <f>YEAR('BD1'!$N442)</f>
        <v>2025</v>
      </c>
      <c r="R442" s="109">
        <v>1</v>
      </c>
      <c r="S442" s="109" t="s">
        <v>138</v>
      </c>
      <c r="T442" s="109" t="s">
        <v>138</v>
      </c>
      <c r="U442" s="109" t="s">
        <v>138</v>
      </c>
      <c r="V442" s="109" t="s">
        <v>138</v>
      </c>
      <c r="W442" s="109" t="s">
        <v>138</v>
      </c>
      <c r="X442" s="109" t="s">
        <v>138</v>
      </c>
      <c r="Y442" s="109" t="s">
        <v>138</v>
      </c>
      <c r="Z442" s="109" t="s">
        <v>138</v>
      </c>
      <c r="AA442" s="109">
        <v>84.27</v>
      </c>
      <c r="AB442" s="109">
        <v>28.55</v>
      </c>
      <c r="AC442" s="110" t="s">
        <v>967</v>
      </c>
      <c r="AD442" s="110" t="s">
        <v>1403</v>
      </c>
      <c r="AE442" s="109">
        <f t="shared" si="17"/>
        <v>8</v>
      </c>
      <c r="AF442" s="151" t="str">
        <f t="shared" si="18"/>
        <v>Estable</v>
      </c>
    </row>
    <row r="443" spans="1:32" x14ac:dyDescent="0.2">
      <c r="A443" s="112">
        <v>32</v>
      </c>
      <c r="B443" s="113" t="s">
        <v>1204</v>
      </c>
      <c r="C443" s="114" t="s">
        <v>7</v>
      </c>
      <c r="D443" s="114" t="s">
        <v>404</v>
      </c>
      <c r="E443" s="115" t="s">
        <v>1208</v>
      </c>
      <c r="F443" s="115" t="s">
        <v>1217</v>
      </c>
      <c r="G443" s="115" t="s">
        <v>1797</v>
      </c>
      <c r="H443" s="113" t="s">
        <v>1207</v>
      </c>
      <c r="I443" s="114">
        <v>20.938929000000002</v>
      </c>
      <c r="J443" s="114">
        <v>-101.433953</v>
      </c>
      <c r="K443" s="113" t="s">
        <v>139</v>
      </c>
      <c r="L443" s="116" t="str">
        <f t="shared" si="16"/>
        <v>Ver en Google Maps</v>
      </c>
      <c r="M443" s="113">
        <v>1</v>
      </c>
      <c r="N443" s="117">
        <v>45937</v>
      </c>
      <c r="O443" s="118">
        <f>DAY('BD1'!$N443)</f>
        <v>7</v>
      </c>
      <c r="P443" s="118">
        <f>MONTH('BD1'!$N443)</f>
        <v>10</v>
      </c>
      <c r="Q443" s="118">
        <f>YEAR('BD1'!$N443)</f>
        <v>2025</v>
      </c>
      <c r="R443" s="118">
        <v>1</v>
      </c>
      <c r="S443" s="118" t="s">
        <v>138</v>
      </c>
      <c r="T443" s="118" t="s">
        <v>138</v>
      </c>
      <c r="U443" s="118" t="s">
        <v>138</v>
      </c>
      <c r="V443" s="118" t="s">
        <v>138</v>
      </c>
      <c r="W443" s="118" t="s">
        <v>138</v>
      </c>
      <c r="X443" s="118" t="s">
        <v>138</v>
      </c>
      <c r="Y443" s="118" t="s">
        <v>138</v>
      </c>
      <c r="Z443" s="118" t="s">
        <v>138</v>
      </c>
      <c r="AA443" s="118">
        <v>64.31</v>
      </c>
      <c r="AB443" s="118">
        <v>35.43</v>
      </c>
      <c r="AC443" s="119" t="s">
        <v>967</v>
      </c>
      <c r="AD443" s="119" t="s">
        <v>1403</v>
      </c>
      <c r="AE443" s="118">
        <f t="shared" si="17"/>
        <v>8</v>
      </c>
      <c r="AF443" s="152" t="str">
        <f t="shared" si="18"/>
        <v>Estable</v>
      </c>
    </row>
    <row r="444" spans="1:32" x14ac:dyDescent="0.2">
      <c r="A444" s="121">
        <v>33</v>
      </c>
      <c r="B444" s="122" t="s">
        <v>1204</v>
      </c>
      <c r="C444" s="123" t="s">
        <v>7</v>
      </c>
      <c r="D444" s="123" t="s">
        <v>404</v>
      </c>
      <c r="E444" s="124" t="s">
        <v>1218</v>
      </c>
      <c r="F444" s="124" t="s">
        <v>1219</v>
      </c>
      <c r="G444" s="124" t="s">
        <v>1105</v>
      </c>
      <c r="H444" s="122" t="s">
        <v>1207</v>
      </c>
      <c r="I444" s="123">
        <v>20.943484000000002</v>
      </c>
      <c r="J444" s="123">
        <v>-101.42883999999999</v>
      </c>
      <c r="K444" s="122" t="s">
        <v>139</v>
      </c>
      <c r="L444" s="125" t="str">
        <f t="shared" si="16"/>
        <v>Ver en Google Maps</v>
      </c>
      <c r="M444" s="122">
        <v>1</v>
      </c>
      <c r="N444" s="108">
        <v>45937</v>
      </c>
      <c r="O444" s="109">
        <f>DAY('BD1'!$N444)</f>
        <v>7</v>
      </c>
      <c r="P444" s="109">
        <f>MONTH('BD1'!$N444)</f>
        <v>10</v>
      </c>
      <c r="Q444" s="109">
        <f>YEAR('BD1'!$N444)</f>
        <v>2025</v>
      </c>
      <c r="R444" s="109">
        <v>1</v>
      </c>
      <c r="S444" s="109" t="s">
        <v>138</v>
      </c>
      <c r="T444" s="109" t="s">
        <v>138</v>
      </c>
      <c r="U444" s="109" t="s">
        <v>138</v>
      </c>
      <c r="V444" s="109" t="s">
        <v>138</v>
      </c>
      <c r="W444" s="109" t="s">
        <v>138</v>
      </c>
      <c r="X444" s="109" t="s">
        <v>138</v>
      </c>
      <c r="Y444" s="109" t="s">
        <v>138</v>
      </c>
      <c r="Z444" s="109" t="s">
        <v>138</v>
      </c>
      <c r="AA444" s="109">
        <v>31.21</v>
      </c>
      <c r="AB444" s="109">
        <v>31</v>
      </c>
      <c r="AC444" s="110" t="s">
        <v>967</v>
      </c>
      <c r="AD444" s="110" t="s">
        <v>1403</v>
      </c>
      <c r="AE444" s="109">
        <f t="shared" si="17"/>
        <v>8</v>
      </c>
      <c r="AF444" s="151" t="str">
        <f t="shared" si="18"/>
        <v>Estable</v>
      </c>
    </row>
    <row r="445" spans="1:32" x14ac:dyDescent="0.2">
      <c r="A445" s="112">
        <v>34</v>
      </c>
      <c r="B445" s="113" t="s">
        <v>1204</v>
      </c>
      <c r="C445" s="114" t="s">
        <v>11</v>
      </c>
      <c r="D445" s="114" t="s">
        <v>404</v>
      </c>
      <c r="E445" s="115" t="s">
        <v>1220</v>
      </c>
      <c r="F445" s="115" t="s">
        <v>1221</v>
      </c>
      <c r="G445" s="115" t="s">
        <v>1799</v>
      </c>
      <c r="H445" s="113" t="s">
        <v>1207</v>
      </c>
      <c r="I445" s="114">
        <v>20.934314000000001</v>
      </c>
      <c r="J445" s="114">
        <v>-101.43236400000001</v>
      </c>
      <c r="K445" s="113" t="s">
        <v>139</v>
      </c>
      <c r="L445" s="116" t="str">
        <f t="shared" si="16"/>
        <v>Ver en Google Maps</v>
      </c>
      <c r="M445" s="113">
        <v>1</v>
      </c>
      <c r="N445" s="117">
        <v>45937</v>
      </c>
      <c r="O445" s="118">
        <f>DAY('BD1'!$N445)</f>
        <v>7</v>
      </c>
      <c r="P445" s="118">
        <f>MONTH('BD1'!$N445)</f>
        <v>10</v>
      </c>
      <c r="Q445" s="118">
        <f>YEAR('BD1'!$N445)</f>
        <v>2025</v>
      </c>
      <c r="R445" s="118">
        <v>1</v>
      </c>
      <c r="S445" s="118" t="s">
        <v>138</v>
      </c>
      <c r="T445" s="118" t="s">
        <v>138</v>
      </c>
      <c r="U445" s="118" t="s">
        <v>138</v>
      </c>
      <c r="V445" s="118" t="s">
        <v>138</v>
      </c>
      <c r="W445" s="118" t="s">
        <v>138</v>
      </c>
      <c r="X445" s="118" t="s">
        <v>138</v>
      </c>
      <c r="Y445" s="118" t="s">
        <v>138</v>
      </c>
      <c r="Z445" s="118" t="s">
        <v>138</v>
      </c>
      <c r="AA445" s="118">
        <v>68.17</v>
      </c>
      <c r="AB445" s="118">
        <v>72.75</v>
      </c>
      <c r="AC445" s="119" t="s">
        <v>967</v>
      </c>
      <c r="AD445" s="119" t="s">
        <v>1403</v>
      </c>
      <c r="AE445" s="118">
        <f t="shared" si="17"/>
        <v>8</v>
      </c>
      <c r="AF445" s="152" t="str">
        <f t="shared" si="18"/>
        <v>Estable</v>
      </c>
    </row>
    <row r="446" spans="1:32" x14ac:dyDescent="0.2">
      <c r="A446" s="121">
        <v>35</v>
      </c>
      <c r="B446" s="122" t="s">
        <v>1204</v>
      </c>
      <c r="C446" s="123" t="s">
        <v>7</v>
      </c>
      <c r="D446" s="123" t="s">
        <v>1402</v>
      </c>
      <c r="E446" s="124" t="s">
        <v>1222</v>
      </c>
      <c r="F446" s="124" t="s">
        <v>1223</v>
      </c>
      <c r="G446" s="124" t="s">
        <v>1224</v>
      </c>
      <c r="H446" s="122" t="s">
        <v>1207</v>
      </c>
      <c r="I446" s="123">
        <v>20.936053000000001</v>
      </c>
      <c r="J446" s="123">
        <v>-101.420919</v>
      </c>
      <c r="K446" s="122" t="s">
        <v>139</v>
      </c>
      <c r="L446" s="125" t="str">
        <f t="shared" si="16"/>
        <v>Ver en Google Maps</v>
      </c>
      <c r="M446" s="122">
        <v>1</v>
      </c>
      <c r="N446" s="108">
        <v>45937</v>
      </c>
      <c r="O446" s="109">
        <f>DAY('BD1'!$N446)</f>
        <v>7</v>
      </c>
      <c r="P446" s="109">
        <f>MONTH('BD1'!$N446)</f>
        <v>10</v>
      </c>
      <c r="Q446" s="109">
        <f>YEAR('BD1'!$N446)</f>
        <v>2025</v>
      </c>
      <c r="R446" s="109">
        <v>1</v>
      </c>
      <c r="S446" s="109" t="s">
        <v>138</v>
      </c>
      <c r="T446" s="109" t="s">
        <v>138</v>
      </c>
      <c r="U446" s="109" t="s">
        <v>138</v>
      </c>
      <c r="V446" s="109" t="s">
        <v>138</v>
      </c>
      <c r="W446" s="109" t="s">
        <v>138</v>
      </c>
      <c r="X446" s="109" t="s">
        <v>138</v>
      </c>
      <c r="Y446" s="109" t="s">
        <v>138</v>
      </c>
      <c r="Z446" s="109" t="s">
        <v>138</v>
      </c>
      <c r="AA446" s="109">
        <v>34.01</v>
      </c>
      <c r="AB446" s="109">
        <v>22.74</v>
      </c>
      <c r="AC446" s="110" t="s">
        <v>967</v>
      </c>
      <c r="AD446" s="110" t="s">
        <v>1403</v>
      </c>
      <c r="AE446" s="109">
        <f t="shared" si="17"/>
        <v>8</v>
      </c>
      <c r="AF446" s="151" t="str">
        <f t="shared" si="18"/>
        <v>Estable</v>
      </c>
    </row>
    <row r="447" spans="1:32" x14ac:dyDescent="0.2">
      <c r="A447" s="112">
        <v>36</v>
      </c>
      <c r="B447" s="113" t="s">
        <v>1204</v>
      </c>
      <c r="C447" s="114" t="s">
        <v>7</v>
      </c>
      <c r="D447" s="114" t="s">
        <v>404</v>
      </c>
      <c r="E447" s="115" t="s">
        <v>1225</v>
      </c>
      <c r="F447" s="115" t="s">
        <v>1226</v>
      </c>
      <c r="G447" s="115" t="s">
        <v>1800</v>
      </c>
      <c r="H447" s="113" t="s">
        <v>1207</v>
      </c>
      <c r="I447" s="114">
        <v>20.962568999999998</v>
      </c>
      <c r="J447" s="114">
        <v>-101.42131500000001</v>
      </c>
      <c r="K447" s="113" t="s">
        <v>139</v>
      </c>
      <c r="L447" s="116" t="str">
        <f t="shared" si="16"/>
        <v>Ver en Google Maps</v>
      </c>
      <c r="M447" s="113">
        <v>1</v>
      </c>
      <c r="N447" s="117">
        <v>45937</v>
      </c>
      <c r="O447" s="118">
        <f>DAY('BD1'!$N447)</f>
        <v>7</v>
      </c>
      <c r="P447" s="118">
        <f>MONTH('BD1'!$N447)</f>
        <v>10</v>
      </c>
      <c r="Q447" s="118">
        <f>YEAR('BD1'!$N447)</f>
        <v>2025</v>
      </c>
      <c r="R447" s="118">
        <v>1</v>
      </c>
      <c r="S447" s="118" t="s">
        <v>138</v>
      </c>
      <c r="T447" s="118" t="s">
        <v>138</v>
      </c>
      <c r="U447" s="118" t="s">
        <v>138</v>
      </c>
      <c r="V447" s="118" t="s">
        <v>138</v>
      </c>
      <c r="W447" s="118" t="s">
        <v>138</v>
      </c>
      <c r="X447" s="118" t="s">
        <v>138</v>
      </c>
      <c r="Y447" s="118" t="s">
        <v>138</v>
      </c>
      <c r="Z447" s="118" t="s">
        <v>138</v>
      </c>
      <c r="AA447" s="118">
        <v>33.659999999999997</v>
      </c>
      <c r="AB447" s="118">
        <v>17.54</v>
      </c>
      <c r="AC447" s="119" t="s">
        <v>967</v>
      </c>
      <c r="AD447" s="119" t="s">
        <v>1403</v>
      </c>
      <c r="AE447" s="118">
        <f t="shared" si="17"/>
        <v>8</v>
      </c>
      <c r="AF447" s="152" t="str">
        <f t="shared" si="18"/>
        <v>Estable</v>
      </c>
    </row>
    <row r="448" spans="1:32" x14ac:dyDescent="0.2">
      <c r="A448" s="121">
        <v>104</v>
      </c>
      <c r="B448" s="122" t="s">
        <v>1204</v>
      </c>
      <c r="C448" s="123" t="s">
        <v>15</v>
      </c>
      <c r="D448" s="123" t="s">
        <v>15</v>
      </c>
      <c r="E448" s="124" t="s">
        <v>1227</v>
      </c>
      <c r="F448" s="124" t="s">
        <v>1228</v>
      </c>
      <c r="G448" s="124" t="s">
        <v>1801</v>
      </c>
      <c r="H448" s="122" t="s">
        <v>1207</v>
      </c>
      <c r="I448" s="123">
        <v>20.939119999999999</v>
      </c>
      <c r="J448" s="123">
        <v>-101.42984</v>
      </c>
      <c r="K448" s="122" t="s">
        <v>139</v>
      </c>
      <c r="L448" s="125" t="str">
        <f t="shared" si="16"/>
        <v>Ver en Google Maps</v>
      </c>
      <c r="M448" s="122">
        <v>2</v>
      </c>
      <c r="N448" s="108">
        <v>45937</v>
      </c>
      <c r="O448" s="109">
        <f>DAY('BD1'!$N448)</f>
        <v>7</v>
      </c>
      <c r="P448" s="109">
        <f>MONTH('BD1'!$N448)</f>
        <v>10</v>
      </c>
      <c r="Q448" s="109">
        <f>YEAR('BD1'!$N448)</f>
        <v>2025</v>
      </c>
      <c r="R448" s="109">
        <v>1</v>
      </c>
      <c r="S448" s="109" t="s">
        <v>934</v>
      </c>
      <c r="T448" s="109" t="s">
        <v>934</v>
      </c>
      <c r="U448" s="109" t="s">
        <v>934</v>
      </c>
      <c r="V448" s="109" t="s">
        <v>934</v>
      </c>
      <c r="W448" s="109" t="s">
        <v>934</v>
      </c>
      <c r="X448" s="109" t="s">
        <v>934</v>
      </c>
      <c r="Y448" s="109" t="s">
        <v>934</v>
      </c>
      <c r="Z448" s="109" t="s">
        <v>934</v>
      </c>
      <c r="AA448" s="109">
        <v>0</v>
      </c>
      <c r="AB448" s="109">
        <v>0</v>
      </c>
      <c r="AC448" s="110" t="s">
        <v>1413</v>
      </c>
      <c r="AD448" s="110" t="s">
        <v>1403</v>
      </c>
      <c r="AE448" s="109">
        <f t="shared" si="17"/>
        <v>0</v>
      </c>
      <c r="AF448" s="151" t="str">
        <f t="shared" si="18"/>
        <v>Crítico</v>
      </c>
    </row>
    <row r="449" spans="1:32" x14ac:dyDescent="0.2">
      <c r="A449" s="112">
        <v>121</v>
      </c>
      <c r="B449" s="113" t="s">
        <v>1204</v>
      </c>
      <c r="C449" s="114" t="s">
        <v>17</v>
      </c>
      <c r="D449" s="114" t="s">
        <v>17</v>
      </c>
      <c r="E449" s="115" t="s">
        <v>1229</v>
      </c>
      <c r="F449" s="115" t="s">
        <v>1230</v>
      </c>
      <c r="G449" s="115" t="s">
        <v>360</v>
      </c>
      <c r="H449" s="113" t="s">
        <v>1207</v>
      </c>
      <c r="I449" s="114">
        <v>20.944949999999999</v>
      </c>
      <c r="J449" s="114">
        <v>-101.42086</v>
      </c>
      <c r="K449" s="113" t="s">
        <v>139</v>
      </c>
      <c r="L449" s="116" t="str">
        <f t="shared" si="16"/>
        <v>Ver en Google Maps</v>
      </c>
      <c r="M449" s="113">
        <v>2</v>
      </c>
      <c r="N449" s="117">
        <v>45937</v>
      </c>
      <c r="O449" s="118">
        <f>DAY('BD1'!$N449)</f>
        <v>7</v>
      </c>
      <c r="P449" s="118">
        <f>MONTH('BD1'!$N449)</f>
        <v>10</v>
      </c>
      <c r="Q449" s="118">
        <f>YEAR('BD1'!$N449)</f>
        <v>2025</v>
      </c>
      <c r="R449" s="118">
        <v>1</v>
      </c>
      <c r="S449" s="118" t="s">
        <v>934</v>
      </c>
      <c r="T449" s="118" t="s">
        <v>138</v>
      </c>
      <c r="U449" s="118" t="s">
        <v>138</v>
      </c>
      <c r="V449" s="118" t="s">
        <v>138</v>
      </c>
      <c r="W449" s="118" t="s">
        <v>138</v>
      </c>
      <c r="X449" s="118" t="s">
        <v>138</v>
      </c>
      <c r="Y449" s="118" t="s">
        <v>934</v>
      </c>
      <c r="Z449" s="118" t="s">
        <v>934</v>
      </c>
      <c r="AA449" s="118">
        <v>0</v>
      </c>
      <c r="AB449" s="118">
        <v>0</v>
      </c>
      <c r="AC449" s="119" t="s">
        <v>1415</v>
      </c>
      <c r="AD449" s="119" t="s">
        <v>1403</v>
      </c>
      <c r="AE449" s="118">
        <f t="shared" si="17"/>
        <v>5</v>
      </c>
      <c r="AF449" s="152" t="str">
        <f t="shared" si="18"/>
        <v>Rendimiento bajo</v>
      </c>
    </row>
    <row r="450" spans="1:32" x14ac:dyDescent="0.2">
      <c r="A450" s="121">
        <v>150</v>
      </c>
      <c r="B450" s="122" t="s">
        <v>1204</v>
      </c>
      <c r="C450" s="123" t="s">
        <v>17</v>
      </c>
      <c r="D450" s="123" t="s">
        <v>17</v>
      </c>
      <c r="E450" s="124" t="s">
        <v>1232</v>
      </c>
      <c r="F450" s="124" t="s">
        <v>1233</v>
      </c>
      <c r="G450" s="124" t="s">
        <v>360</v>
      </c>
      <c r="H450" s="122" t="s">
        <v>1207</v>
      </c>
      <c r="I450" s="123">
        <v>20.950340000000001</v>
      </c>
      <c r="J450" s="123">
        <v>-101.42801</v>
      </c>
      <c r="K450" s="122" t="s">
        <v>139</v>
      </c>
      <c r="L450" s="125" t="str">
        <f t="shared" si="16"/>
        <v>Ver en Google Maps</v>
      </c>
      <c r="M450" s="122">
        <v>1</v>
      </c>
      <c r="N450" s="108">
        <v>45937</v>
      </c>
      <c r="O450" s="109">
        <f>DAY('BD1'!$N450)</f>
        <v>7</v>
      </c>
      <c r="P450" s="109">
        <f>MONTH('BD1'!$N450)</f>
        <v>10</v>
      </c>
      <c r="Q450" s="109">
        <f>YEAR('BD1'!$N450)</f>
        <v>2025</v>
      </c>
      <c r="R450" s="109">
        <v>1</v>
      </c>
      <c r="S450" s="109" t="s">
        <v>138</v>
      </c>
      <c r="T450" s="109" t="s">
        <v>138</v>
      </c>
      <c r="U450" s="109" t="s">
        <v>138</v>
      </c>
      <c r="V450" s="109" t="s">
        <v>138</v>
      </c>
      <c r="W450" s="109" t="s">
        <v>138</v>
      </c>
      <c r="X450" s="109" t="s">
        <v>138</v>
      </c>
      <c r="Y450" s="109" t="s">
        <v>138</v>
      </c>
      <c r="Z450" s="109" t="s">
        <v>138</v>
      </c>
      <c r="AA450" s="109">
        <v>34.29</v>
      </c>
      <c r="AB450" s="109">
        <v>31.09</v>
      </c>
      <c r="AC450" s="110" t="s">
        <v>967</v>
      </c>
      <c r="AD450" s="110" t="s">
        <v>1403</v>
      </c>
      <c r="AE450" s="109">
        <f t="shared" si="17"/>
        <v>8</v>
      </c>
      <c r="AF450" s="151" t="str">
        <f t="shared" ref="AF450:AF513" si="20">IF(AE450=8,"Estable",(IF(AE450=7,"Funcional con observaciones", (IF(AE450=6,"Funcional con observaciones",(IF(AE450=5,"Rendimiento bajo",(IF(AE450=4,"Parcialmente funcional",(IF(AE450=3,"Parcialmente funcional",(IF(AE450=2,"Inoperativo",(IF(AE450=1,"Inoperativo","Crítico")))))))))))))))</f>
        <v>Estable</v>
      </c>
    </row>
    <row r="451" spans="1:32" x14ac:dyDescent="0.2">
      <c r="A451" s="112">
        <v>160</v>
      </c>
      <c r="B451" s="113" t="s">
        <v>1204</v>
      </c>
      <c r="C451" s="114" t="s">
        <v>17</v>
      </c>
      <c r="D451" s="114" t="s">
        <v>17</v>
      </c>
      <c r="E451" s="115" t="s">
        <v>1234</v>
      </c>
      <c r="F451" s="115" t="s">
        <v>1235</v>
      </c>
      <c r="G451" s="115" t="s">
        <v>1802</v>
      </c>
      <c r="H451" s="113" t="s">
        <v>1207</v>
      </c>
      <c r="I451" s="114">
        <v>20.938199999999998</v>
      </c>
      <c r="J451" s="114">
        <v>-101.42286</v>
      </c>
      <c r="K451" s="113" t="s">
        <v>139</v>
      </c>
      <c r="L451" s="116" t="str">
        <f t="shared" si="16"/>
        <v>Ver en Google Maps</v>
      </c>
      <c r="M451" s="113">
        <v>1</v>
      </c>
      <c r="N451" s="117">
        <v>45937</v>
      </c>
      <c r="O451" s="118">
        <f>DAY('BD1'!$N451)</f>
        <v>7</v>
      </c>
      <c r="P451" s="118">
        <f>MONTH('BD1'!$N451)</f>
        <v>10</v>
      </c>
      <c r="Q451" s="118">
        <f>YEAR('BD1'!$N451)</f>
        <v>2025</v>
      </c>
      <c r="R451" s="118">
        <v>1</v>
      </c>
      <c r="S451" s="118" t="s">
        <v>138</v>
      </c>
      <c r="T451" s="118" t="s">
        <v>138</v>
      </c>
      <c r="U451" s="118" t="s">
        <v>138</v>
      </c>
      <c r="V451" s="118" t="s">
        <v>138</v>
      </c>
      <c r="W451" s="118" t="s">
        <v>138</v>
      </c>
      <c r="X451" s="118" t="s">
        <v>138</v>
      </c>
      <c r="Y451" s="118" t="s">
        <v>138</v>
      </c>
      <c r="Z451" s="118" t="s">
        <v>934</v>
      </c>
      <c r="AA451" s="118">
        <v>11.06</v>
      </c>
      <c r="AB451" s="118">
        <v>14.85</v>
      </c>
      <c r="AC451" s="119" t="s">
        <v>1412</v>
      </c>
      <c r="AD451" s="119" t="s">
        <v>1403</v>
      </c>
      <c r="AE451" s="118">
        <f t="shared" si="17"/>
        <v>7</v>
      </c>
      <c r="AF451" s="152" t="str">
        <f t="shared" si="20"/>
        <v>Funcional con observaciones</v>
      </c>
    </row>
    <row r="452" spans="1:32" x14ac:dyDescent="0.2">
      <c r="A452" s="121">
        <v>161</v>
      </c>
      <c r="B452" s="122" t="s">
        <v>1204</v>
      </c>
      <c r="C452" s="123" t="s">
        <v>17</v>
      </c>
      <c r="D452" s="123" t="s">
        <v>17</v>
      </c>
      <c r="E452" s="124" t="s">
        <v>1236</v>
      </c>
      <c r="F452" s="124" t="s">
        <v>1237</v>
      </c>
      <c r="G452" s="124" t="s">
        <v>1803</v>
      </c>
      <c r="H452" s="122" t="s">
        <v>1207</v>
      </c>
      <c r="I452" s="123">
        <v>20.962009999999999</v>
      </c>
      <c r="J452" s="123">
        <v>-101.42373000000001</v>
      </c>
      <c r="K452" s="122" t="s">
        <v>139</v>
      </c>
      <c r="L452" s="125" t="str">
        <f t="shared" si="16"/>
        <v>Ver en Google Maps</v>
      </c>
      <c r="M452" s="122">
        <v>1</v>
      </c>
      <c r="N452" s="108">
        <v>45937</v>
      </c>
      <c r="O452" s="109">
        <f>DAY('BD1'!$N452)</f>
        <v>7</v>
      </c>
      <c r="P452" s="109">
        <f>MONTH('BD1'!$N452)</f>
        <v>10</v>
      </c>
      <c r="Q452" s="109">
        <f>YEAR('BD1'!$N452)</f>
        <v>2025</v>
      </c>
      <c r="R452" s="109">
        <v>1</v>
      </c>
      <c r="S452" s="109" t="s">
        <v>138</v>
      </c>
      <c r="T452" s="109" t="s">
        <v>138</v>
      </c>
      <c r="U452" s="109" t="s">
        <v>138</v>
      </c>
      <c r="V452" s="109" t="s">
        <v>138</v>
      </c>
      <c r="W452" s="109" t="s">
        <v>138</v>
      </c>
      <c r="X452" s="109" t="s">
        <v>138</v>
      </c>
      <c r="Y452" s="109" t="s">
        <v>138</v>
      </c>
      <c r="Z452" s="109" t="s">
        <v>138</v>
      </c>
      <c r="AA452" s="109">
        <v>20.65</v>
      </c>
      <c r="AB452" s="109">
        <v>57.11</v>
      </c>
      <c r="AC452" s="110" t="s">
        <v>967</v>
      </c>
      <c r="AD452" s="110" t="s">
        <v>1403</v>
      </c>
      <c r="AE452" s="109">
        <f t="shared" si="17"/>
        <v>8</v>
      </c>
      <c r="AF452" s="151" t="str">
        <f t="shared" si="20"/>
        <v>Estable</v>
      </c>
    </row>
    <row r="453" spans="1:32" x14ac:dyDescent="0.2">
      <c r="A453" s="112">
        <v>162</v>
      </c>
      <c r="B453" s="113" t="s">
        <v>1204</v>
      </c>
      <c r="C453" s="114" t="s">
        <v>17</v>
      </c>
      <c r="D453" s="114" t="s">
        <v>17</v>
      </c>
      <c r="E453" s="115" t="s">
        <v>1319</v>
      </c>
      <c r="F453" s="115" t="s">
        <v>1320</v>
      </c>
      <c r="G453" s="115" t="s">
        <v>1321</v>
      </c>
      <c r="H453" s="113" t="s">
        <v>1207</v>
      </c>
      <c r="I453" s="114">
        <v>20.975059999999999</v>
      </c>
      <c r="J453" s="114">
        <v>-101.45</v>
      </c>
      <c r="K453" s="113"/>
      <c r="L453" s="116" t="str">
        <f t="shared" si="16"/>
        <v>Ver en Google Maps</v>
      </c>
      <c r="M453" s="113">
        <v>1</v>
      </c>
      <c r="N453" s="129"/>
      <c r="O453" s="118"/>
      <c r="P453" s="118"/>
      <c r="Q453" s="118"/>
      <c r="R453" s="118"/>
      <c r="S453" s="118"/>
      <c r="T453" s="118"/>
      <c r="U453" s="118"/>
      <c r="V453" s="118"/>
      <c r="W453" s="118"/>
      <c r="X453" s="118"/>
      <c r="Y453" s="118"/>
      <c r="Z453" s="118"/>
      <c r="AA453" s="118"/>
      <c r="AB453" s="118"/>
      <c r="AC453" s="119"/>
      <c r="AD453" s="119"/>
      <c r="AE453" s="118"/>
      <c r="AF453" s="152"/>
    </row>
    <row r="454" spans="1:32" x14ac:dyDescent="0.2">
      <c r="A454" s="121">
        <v>181</v>
      </c>
      <c r="B454" s="122" t="s">
        <v>1204</v>
      </c>
      <c r="C454" s="123" t="s">
        <v>17</v>
      </c>
      <c r="D454" s="123" t="s">
        <v>17</v>
      </c>
      <c r="E454" s="124" t="s">
        <v>1322</v>
      </c>
      <c r="F454" s="124" t="s">
        <v>1323</v>
      </c>
      <c r="G454" s="124" t="s">
        <v>1324</v>
      </c>
      <c r="H454" s="122" t="s">
        <v>1207</v>
      </c>
      <c r="I454" s="123">
        <v>20.925070000000002</v>
      </c>
      <c r="J454" s="123">
        <v>-101.45702</v>
      </c>
      <c r="K454" s="122"/>
      <c r="L454" s="125" t="str">
        <f t="shared" ref="L454:L517" si="21">HYPERLINK("https://www.google.com/maps?q=" &amp; I454 &amp; "," &amp; J454, "Ver en Google Maps")</f>
        <v>Ver en Google Maps</v>
      </c>
      <c r="M454" s="122">
        <v>1</v>
      </c>
      <c r="N454" s="130"/>
      <c r="O454" s="109"/>
      <c r="P454" s="109"/>
      <c r="Q454" s="109"/>
      <c r="R454" s="109"/>
      <c r="S454" s="109"/>
      <c r="T454" s="109"/>
      <c r="U454" s="109"/>
      <c r="V454" s="109"/>
      <c r="W454" s="109"/>
      <c r="X454" s="109"/>
      <c r="Y454" s="109"/>
      <c r="Z454" s="109"/>
      <c r="AA454" s="109"/>
      <c r="AB454" s="109"/>
      <c r="AC454" s="110"/>
      <c r="AD454" s="110"/>
      <c r="AE454" s="109"/>
      <c r="AF454" s="151"/>
    </row>
    <row r="455" spans="1:32" x14ac:dyDescent="0.2">
      <c r="A455" s="112">
        <v>182</v>
      </c>
      <c r="B455" s="113" t="s">
        <v>1204</v>
      </c>
      <c r="C455" s="114" t="s">
        <v>15</v>
      </c>
      <c r="D455" s="114" t="s">
        <v>15</v>
      </c>
      <c r="E455" s="115" t="s">
        <v>1325</v>
      </c>
      <c r="F455" s="115" t="s">
        <v>1326</v>
      </c>
      <c r="G455" s="115" t="s">
        <v>1327</v>
      </c>
      <c r="H455" s="113" t="s">
        <v>1207</v>
      </c>
      <c r="I455" s="114">
        <v>20.980667449721501</v>
      </c>
      <c r="J455" s="114">
        <v>-101.417222256195</v>
      </c>
      <c r="K455" s="113"/>
      <c r="L455" s="116" t="str">
        <f t="shared" si="21"/>
        <v>Ver en Google Maps</v>
      </c>
      <c r="M455" s="113">
        <v>1</v>
      </c>
      <c r="N455" s="129"/>
      <c r="O455" s="118"/>
      <c r="P455" s="118"/>
      <c r="Q455" s="118"/>
      <c r="R455" s="118"/>
      <c r="S455" s="118"/>
      <c r="T455" s="118"/>
      <c r="U455" s="118"/>
      <c r="V455" s="118"/>
      <c r="W455" s="118"/>
      <c r="X455" s="118"/>
      <c r="Y455" s="118"/>
      <c r="Z455" s="118"/>
      <c r="AA455" s="118"/>
      <c r="AB455" s="118"/>
      <c r="AC455" s="119"/>
      <c r="AD455" s="119"/>
      <c r="AE455" s="118"/>
      <c r="AF455" s="152"/>
    </row>
    <row r="456" spans="1:32" x14ac:dyDescent="0.2">
      <c r="A456" s="121">
        <v>183</v>
      </c>
      <c r="B456" s="122" t="s">
        <v>1204</v>
      </c>
      <c r="C456" s="123" t="s">
        <v>17</v>
      </c>
      <c r="D456" s="123" t="s">
        <v>17</v>
      </c>
      <c r="E456" s="124" t="s">
        <v>1238</v>
      </c>
      <c r="F456" s="124" t="s">
        <v>1239</v>
      </c>
      <c r="G456" s="124" t="s">
        <v>1302</v>
      </c>
      <c r="H456" s="122" t="s">
        <v>1207</v>
      </c>
      <c r="I456" s="123">
        <v>20.939589999999999</v>
      </c>
      <c r="J456" s="123">
        <v>-101.4199</v>
      </c>
      <c r="K456" s="122"/>
      <c r="L456" s="125" t="str">
        <f t="shared" si="21"/>
        <v>Ver en Google Maps</v>
      </c>
      <c r="M456" s="122">
        <v>1</v>
      </c>
      <c r="N456" s="130"/>
      <c r="O456" s="109"/>
      <c r="P456" s="109"/>
      <c r="Q456" s="109"/>
      <c r="R456" s="109"/>
      <c r="S456" s="109"/>
      <c r="T456" s="109"/>
      <c r="U456" s="109"/>
      <c r="V456" s="109"/>
      <c r="W456" s="109"/>
      <c r="X456" s="109"/>
      <c r="Y456" s="109"/>
      <c r="Z456" s="109"/>
      <c r="AA456" s="109"/>
      <c r="AB456" s="109"/>
      <c r="AC456" s="110"/>
      <c r="AD456" s="110"/>
      <c r="AE456" s="109"/>
      <c r="AF456" s="151"/>
    </row>
    <row r="457" spans="1:32" x14ac:dyDescent="0.2">
      <c r="A457" s="112">
        <v>184</v>
      </c>
      <c r="B457" s="113" t="s">
        <v>1204</v>
      </c>
      <c r="C457" s="114" t="s">
        <v>17</v>
      </c>
      <c r="D457" s="114" t="s">
        <v>17</v>
      </c>
      <c r="E457" s="115" t="s">
        <v>1240</v>
      </c>
      <c r="F457" s="115" t="s">
        <v>1241</v>
      </c>
      <c r="G457" s="115" t="s">
        <v>979</v>
      </c>
      <c r="H457" s="113" t="s">
        <v>1207</v>
      </c>
      <c r="I457" s="114">
        <v>20.941939999999999</v>
      </c>
      <c r="J457" s="114">
        <v>-101.43971999999999</v>
      </c>
      <c r="K457" s="113"/>
      <c r="L457" s="116" t="str">
        <f t="shared" si="21"/>
        <v>Ver en Google Maps</v>
      </c>
      <c r="M457" s="113">
        <v>1</v>
      </c>
      <c r="N457" s="129"/>
      <c r="O457" s="118"/>
      <c r="P457" s="118"/>
      <c r="Q457" s="118"/>
      <c r="R457" s="118"/>
      <c r="S457" s="118"/>
      <c r="T457" s="118"/>
      <c r="U457" s="118"/>
      <c r="V457" s="118"/>
      <c r="W457" s="118"/>
      <c r="X457" s="118"/>
      <c r="Y457" s="118"/>
      <c r="Z457" s="118"/>
      <c r="AA457" s="118"/>
      <c r="AB457" s="118"/>
      <c r="AC457" s="119"/>
      <c r="AD457" s="119"/>
      <c r="AE457" s="118"/>
      <c r="AF457" s="152"/>
    </row>
    <row r="458" spans="1:32" x14ac:dyDescent="0.2">
      <c r="A458" s="121">
        <v>209</v>
      </c>
      <c r="B458" s="122" t="s">
        <v>1204</v>
      </c>
      <c r="C458" s="123" t="s">
        <v>17</v>
      </c>
      <c r="D458" s="123" t="s">
        <v>17</v>
      </c>
      <c r="E458" s="124" t="s">
        <v>1243</v>
      </c>
      <c r="F458" s="124" t="s">
        <v>1244</v>
      </c>
      <c r="G458" s="124" t="s">
        <v>360</v>
      </c>
      <c r="H458" s="122" t="s">
        <v>1207</v>
      </c>
      <c r="I458" s="123">
        <v>20.94022</v>
      </c>
      <c r="J458" s="123">
        <v>-101.43210999999999</v>
      </c>
      <c r="K458" s="122" t="s">
        <v>139</v>
      </c>
      <c r="L458" s="125" t="str">
        <f t="shared" si="21"/>
        <v>Ver en Google Maps</v>
      </c>
      <c r="M458" s="122">
        <v>1</v>
      </c>
      <c r="N458" s="108">
        <v>45937</v>
      </c>
      <c r="O458" s="109">
        <f>DAY('BD1'!$N458)</f>
        <v>7</v>
      </c>
      <c r="P458" s="109">
        <f>MONTH('BD1'!$N458)</f>
        <v>10</v>
      </c>
      <c r="Q458" s="109">
        <f>YEAR('BD1'!$N458)</f>
        <v>2025</v>
      </c>
      <c r="R458" s="109">
        <v>1</v>
      </c>
      <c r="S458" s="109" t="s">
        <v>138</v>
      </c>
      <c r="T458" s="109" t="s">
        <v>138</v>
      </c>
      <c r="U458" s="109" t="s">
        <v>138</v>
      </c>
      <c r="V458" s="109" t="s">
        <v>138</v>
      </c>
      <c r="W458" s="109" t="s">
        <v>138</v>
      </c>
      <c r="X458" s="109" t="s">
        <v>138</v>
      </c>
      <c r="Y458" s="109" t="s">
        <v>138</v>
      </c>
      <c r="Z458" s="109" t="s">
        <v>138</v>
      </c>
      <c r="AA458" s="109">
        <v>71.23</v>
      </c>
      <c r="AB458" s="109">
        <v>82.71</v>
      </c>
      <c r="AC458" s="110" t="s">
        <v>967</v>
      </c>
      <c r="AD458" s="110" t="s">
        <v>1403</v>
      </c>
      <c r="AE458" s="109">
        <f t="shared" ref="AE458:AE516" si="22">COUNTIF(S458:Z458, "si")</f>
        <v>8</v>
      </c>
      <c r="AF458" s="151" t="str">
        <f t="shared" si="20"/>
        <v>Estable</v>
      </c>
    </row>
    <row r="459" spans="1:32" x14ac:dyDescent="0.2">
      <c r="A459" s="112">
        <v>237</v>
      </c>
      <c r="B459" s="113" t="s">
        <v>1204</v>
      </c>
      <c r="C459" s="114" t="s">
        <v>17</v>
      </c>
      <c r="D459" s="114" t="s">
        <v>17</v>
      </c>
      <c r="E459" s="115" t="s">
        <v>1328</v>
      </c>
      <c r="F459" s="115" t="s">
        <v>1329</v>
      </c>
      <c r="G459" s="115" t="s">
        <v>1804</v>
      </c>
      <c r="H459" s="113" t="s">
        <v>1207</v>
      </c>
      <c r="I459" s="114">
        <v>20.95065</v>
      </c>
      <c r="J459" s="114">
        <v>-101.40526</v>
      </c>
      <c r="K459" s="113"/>
      <c r="L459" s="116" t="str">
        <f t="shared" si="21"/>
        <v>Ver en Google Maps</v>
      </c>
      <c r="M459" s="113">
        <v>1</v>
      </c>
      <c r="N459" s="129"/>
      <c r="O459" s="118"/>
      <c r="P459" s="118"/>
      <c r="Q459" s="118"/>
      <c r="R459" s="118"/>
      <c r="S459" s="118"/>
      <c r="T459" s="118"/>
      <c r="U459" s="118"/>
      <c r="V459" s="118"/>
      <c r="W459" s="118"/>
      <c r="X459" s="118"/>
      <c r="Y459" s="118"/>
      <c r="Z459" s="118"/>
      <c r="AA459" s="118"/>
      <c r="AB459" s="118"/>
      <c r="AC459" s="119"/>
      <c r="AD459" s="119"/>
      <c r="AE459" s="118"/>
      <c r="AF459" s="152"/>
    </row>
    <row r="460" spans="1:32" x14ac:dyDescent="0.2">
      <c r="A460" s="121">
        <v>238</v>
      </c>
      <c r="B460" s="122" t="s">
        <v>1204</v>
      </c>
      <c r="C460" s="123" t="s">
        <v>17</v>
      </c>
      <c r="D460" s="123" t="s">
        <v>17</v>
      </c>
      <c r="E460" s="124" t="s">
        <v>1330</v>
      </c>
      <c r="F460" s="124" t="s">
        <v>1331</v>
      </c>
      <c r="G460" s="124" t="s">
        <v>1332</v>
      </c>
      <c r="H460" s="122" t="s">
        <v>1207</v>
      </c>
      <c r="I460" s="123">
        <v>20.92013</v>
      </c>
      <c r="J460" s="123">
        <v>-101.39796</v>
      </c>
      <c r="K460" s="122"/>
      <c r="L460" s="125" t="str">
        <f t="shared" si="21"/>
        <v>Ver en Google Maps</v>
      </c>
      <c r="M460" s="122">
        <v>1</v>
      </c>
      <c r="N460" s="130"/>
      <c r="O460" s="109"/>
      <c r="P460" s="109"/>
      <c r="Q460" s="109"/>
      <c r="R460" s="109"/>
      <c r="S460" s="109"/>
      <c r="T460" s="109"/>
      <c r="U460" s="109"/>
      <c r="V460" s="109"/>
      <c r="W460" s="109"/>
      <c r="X460" s="109"/>
      <c r="Y460" s="109"/>
      <c r="Z460" s="109"/>
      <c r="AA460" s="109"/>
      <c r="AB460" s="109"/>
      <c r="AC460" s="110"/>
      <c r="AD460" s="110"/>
      <c r="AE460" s="109"/>
      <c r="AF460" s="151"/>
    </row>
    <row r="461" spans="1:32" x14ac:dyDescent="0.2">
      <c r="A461" s="112">
        <v>247</v>
      </c>
      <c r="B461" s="113" t="s">
        <v>1204</v>
      </c>
      <c r="C461" s="114" t="s">
        <v>17</v>
      </c>
      <c r="D461" s="114" t="s">
        <v>17</v>
      </c>
      <c r="E461" s="115" t="s">
        <v>1333</v>
      </c>
      <c r="F461" s="115" t="s">
        <v>1334</v>
      </c>
      <c r="G461" s="115" t="s">
        <v>1805</v>
      </c>
      <c r="H461" s="113" t="s">
        <v>1207</v>
      </c>
      <c r="I461" s="114">
        <v>20.931221000000001</v>
      </c>
      <c r="J461" s="114">
        <v>-101.441875</v>
      </c>
      <c r="K461" s="113"/>
      <c r="L461" s="116" t="str">
        <f t="shared" si="21"/>
        <v>Ver en Google Maps</v>
      </c>
      <c r="M461" s="113">
        <v>1</v>
      </c>
      <c r="N461" s="129"/>
      <c r="O461" s="118"/>
      <c r="P461" s="118"/>
      <c r="Q461" s="118"/>
      <c r="R461" s="118"/>
      <c r="S461" s="118"/>
      <c r="T461" s="118"/>
      <c r="U461" s="118"/>
      <c r="V461" s="118"/>
      <c r="W461" s="118"/>
      <c r="X461" s="118"/>
      <c r="Y461" s="118"/>
      <c r="Z461" s="118"/>
      <c r="AA461" s="118"/>
      <c r="AB461" s="118"/>
      <c r="AC461" s="119"/>
      <c r="AD461" s="119"/>
      <c r="AE461" s="118"/>
      <c r="AF461" s="152"/>
    </row>
    <row r="462" spans="1:32" x14ac:dyDescent="0.2">
      <c r="A462" s="121">
        <v>249</v>
      </c>
      <c r="B462" s="122" t="s">
        <v>1204</v>
      </c>
      <c r="C462" s="123" t="s">
        <v>17</v>
      </c>
      <c r="D462" s="123" t="s">
        <v>17</v>
      </c>
      <c r="E462" s="124" t="s">
        <v>1335</v>
      </c>
      <c r="F462" s="124" t="s">
        <v>1336</v>
      </c>
      <c r="G462" s="124" t="s">
        <v>1806</v>
      </c>
      <c r="H462" s="122" t="s">
        <v>1207</v>
      </c>
      <c r="I462" s="123">
        <v>20.909877000000002</v>
      </c>
      <c r="J462" s="123">
        <v>-101.45601499999999</v>
      </c>
      <c r="K462" s="122"/>
      <c r="L462" s="125" t="str">
        <f t="shared" si="21"/>
        <v>Ver en Google Maps</v>
      </c>
      <c r="M462" s="122">
        <v>1</v>
      </c>
      <c r="N462" s="130"/>
      <c r="O462" s="109"/>
      <c r="P462" s="109"/>
      <c r="Q462" s="109"/>
      <c r="R462" s="109"/>
      <c r="S462" s="109"/>
      <c r="T462" s="109"/>
      <c r="U462" s="109"/>
      <c r="V462" s="109"/>
      <c r="W462" s="109"/>
      <c r="X462" s="109"/>
      <c r="Y462" s="109"/>
      <c r="Z462" s="109"/>
      <c r="AA462" s="109"/>
      <c r="AB462" s="109"/>
      <c r="AC462" s="110"/>
      <c r="AD462" s="110"/>
      <c r="AE462" s="109"/>
      <c r="AF462" s="151"/>
    </row>
    <row r="463" spans="1:32" x14ac:dyDescent="0.2">
      <c r="A463" s="112">
        <v>251</v>
      </c>
      <c r="B463" s="113" t="s">
        <v>1204</v>
      </c>
      <c r="C463" s="114" t="s">
        <v>17</v>
      </c>
      <c r="D463" s="114" t="s">
        <v>17</v>
      </c>
      <c r="E463" s="115" t="s">
        <v>1245</v>
      </c>
      <c r="F463" s="115" t="s">
        <v>1246</v>
      </c>
      <c r="G463" s="115" t="s">
        <v>1807</v>
      </c>
      <c r="H463" s="113" t="s">
        <v>1207</v>
      </c>
      <c r="I463" s="114">
        <v>20.953040000000001</v>
      </c>
      <c r="J463" s="114">
        <v>-101.41724000000001</v>
      </c>
      <c r="K463" s="113" t="s">
        <v>139</v>
      </c>
      <c r="L463" s="116" t="str">
        <f t="shared" si="21"/>
        <v>Ver en Google Maps</v>
      </c>
      <c r="M463" s="113">
        <v>1</v>
      </c>
      <c r="N463" s="117">
        <v>45937</v>
      </c>
      <c r="O463" s="118">
        <f>DAY('BD1'!$N463)</f>
        <v>7</v>
      </c>
      <c r="P463" s="118">
        <f>MONTH('BD1'!$N463)</f>
        <v>10</v>
      </c>
      <c r="Q463" s="118">
        <f>YEAR('BD1'!$N463)</f>
        <v>2025</v>
      </c>
      <c r="R463" s="118">
        <v>1</v>
      </c>
      <c r="S463" s="118" t="s">
        <v>138</v>
      </c>
      <c r="T463" s="118" t="s">
        <v>138</v>
      </c>
      <c r="U463" s="118" t="s">
        <v>138</v>
      </c>
      <c r="V463" s="118" t="s">
        <v>138</v>
      </c>
      <c r="W463" s="118" t="s">
        <v>138</v>
      </c>
      <c r="X463" s="118" t="s">
        <v>138</v>
      </c>
      <c r="Y463" s="118" t="s">
        <v>138</v>
      </c>
      <c r="Z463" s="118" t="s">
        <v>138</v>
      </c>
      <c r="AA463" s="118">
        <v>57.75</v>
      </c>
      <c r="AB463" s="118">
        <v>17.66</v>
      </c>
      <c r="AC463" s="119" t="s">
        <v>967</v>
      </c>
      <c r="AD463" s="119" t="s">
        <v>1403</v>
      </c>
      <c r="AE463" s="118">
        <f t="shared" si="22"/>
        <v>8</v>
      </c>
      <c r="AF463" s="152" t="str">
        <f t="shared" si="20"/>
        <v>Estable</v>
      </c>
    </row>
    <row r="464" spans="1:32" x14ac:dyDescent="0.2">
      <c r="A464" s="121">
        <v>262</v>
      </c>
      <c r="B464" s="122" t="s">
        <v>1204</v>
      </c>
      <c r="C464" s="123" t="s">
        <v>17</v>
      </c>
      <c r="D464" s="123" t="s">
        <v>17</v>
      </c>
      <c r="E464" s="124" t="s">
        <v>1337</v>
      </c>
      <c r="F464" s="124" t="s">
        <v>1338</v>
      </c>
      <c r="G464" s="124" t="s">
        <v>1145</v>
      </c>
      <c r="H464" s="122" t="s">
        <v>1207</v>
      </c>
      <c r="I464" s="123">
        <v>20.959890000000001</v>
      </c>
      <c r="J464" s="123">
        <v>-101.4337</v>
      </c>
      <c r="K464" s="122" t="s">
        <v>139</v>
      </c>
      <c r="L464" s="125" t="str">
        <f t="shared" si="21"/>
        <v>Ver en Google Maps</v>
      </c>
      <c r="M464" s="122">
        <v>1</v>
      </c>
      <c r="N464" s="108">
        <v>45937</v>
      </c>
      <c r="O464" s="109">
        <f>DAY('BD1'!$N464)</f>
        <v>7</v>
      </c>
      <c r="P464" s="109">
        <f>MONTH('BD1'!$N464)</f>
        <v>10</v>
      </c>
      <c r="Q464" s="109">
        <f>YEAR('BD1'!$N464)</f>
        <v>2025</v>
      </c>
      <c r="R464" s="109">
        <v>1</v>
      </c>
      <c r="S464" s="109" t="s">
        <v>138</v>
      </c>
      <c r="T464" s="109" t="s">
        <v>138</v>
      </c>
      <c r="U464" s="109" t="s">
        <v>138</v>
      </c>
      <c r="V464" s="109" t="s">
        <v>138</v>
      </c>
      <c r="W464" s="109" t="s">
        <v>138</v>
      </c>
      <c r="X464" s="109" t="s">
        <v>138</v>
      </c>
      <c r="Y464" s="109" t="s">
        <v>138</v>
      </c>
      <c r="Z464" s="109" t="s">
        <v>138</v>
      </c>
      <c r="AA464" s="109">
        <v>32.200000000000003</v>
      </c>
      <c r="AB464" s="109">
        <v>31.41</v>
      </c>
      <c r="AC464" s="110" t="s">
        <v>967</v>
      </c>
      <c r="AD464" s="110" t="s">
        <v>1403</v>
      </c>
      <c r="AE464" s="109">
        <f t="shared" si="22"/>
        <v>8</v>
      </c>
      <c r="AF464" s="151" t="str">
        <f t="shared" si="20"/>
        <v>Estable</v>
      </c>
    </row>
    <row r="465" spans="1:32" x14ac:dyDescent="0.2">
      <c r="A465" s="112">
        <v>263</v>
      </c>
      <c r="B465" s="113" t="s">
        <v>1204</v>
      </c>
      <c r="C465" s="114" t="s">
        <v>17</v>
      </c>
      <c r="D465" s="114" t="s">
        <v>17</v>
      </c>
      <c r="E465" s="115" t="s">
        <v>1339</v>
      </c>
      <c r="F465" s="115" t="s">
        <v>1340</v>
      </c>
      <c r="G465" s="115" t="s">
        <v>1808</v>
      </c>
      <c r="H465" s="113" t="s">
        <v>1207</v>
      </c>
      <c r="I465" s="114">
        <v>20.949940000000002</v>
      </c>
      <c r="J465" s="114">
        <v>-101.43789</v>
      </c>
      <c r="K465" s="113"/>
      <c r="L465" s="116" t="str">
        <f t="shared" si="21"/>
        <v>Ver en Google Maps</v>
      </c>
      <c r="M465" s="113">
        <v>1</v>
      </c>
      <c r="N465" s="129"/>
      <c r="O465" s="118"/>
      <c r="P465" s="118"/>
      <c r="Q465" s="118"/>
      <c r="R465" s="118"/>
      <c r="S465" s="118"/>
      <c r="T465" s="118"/>
      <c r="U465" s="118"/>
      <c r="V465" s="118"/>
      <c r="W465" s="118"/>
      <c r="X465" s="118"/>
      <c r="Y465" s="118"/>
      <c r="Z465" s="118"/>
      <c r="AA465" s="118"/>
      <c r="AB465" s="118"/>
      <c r="AC465" s="119"/>
      <c r="AD465" s="119"/>
      <c r="AE465" s="118"/>
      <c r="AF465" s="152"/>
    </row>
    <row r="466" spans="1:32" x14ac:dyDescent="0.2">
      <c r="A466" s="121">
        <v>300</v>
      </c>
      <c r="B466" s="122" t="s">
        <v>1204</v>
      </c>
      <c r="C466" s="123" t="s">
        <v>16</v>
      </c>
      <c r="D466" s="123" t="s">
        <v>16</v>
      </c>
      <c r="E466" s="124" t="s">
        <v>1247</v>
      </c>
      <c r="F466" s="124" t="s">
        <v>1248</v>
      </c>
      <c r="G466" s="124" t="s">
        <v>1809</v>
      </c>
      <c r="H466" s="122" t="s">
        <v>1207</v>
      </c>
      <c r="I466" s="123">
        <v>20.95147</v>
      </c>
      <c r="J466" s="123">
        <v>-101.41773999999999</v>
      </c>
      <c r="K466" s="122" t="s">
        <v>139</v>
      </c>
      <c r="L466" s="125" t="str">
        <f t="shared" si="21"/>
        <v>Ver en Google Maps</v>
      </c>
      <c r="M466" s="122">
        <v>1</v>
      </c>
      <c r="N466" s="108">
        <v>45937</v>
      </c>
      <c r="O466" s="109">
        <f>DAY('BD1'!$N466)</f>
        <v>7</v>
      </c>
      <c r="P466" s="109">
        <f>MONTH('BD1'!$N466)</f>
        <v>10</v>
      </c>
      <c r="Q466" s="109">
        <f>YEAR('BD1'!$N466)</f>
        <v>2025</v>
      </c>
      <c r="R466" s="109">
        <v>1</v>
      </c>
      <c r="S466" s="109" t="s">
        <v>138</v>
      </c>
      <c r="T466" s="109" t="s">
        <v>138</v>
      </c>
      <c r="U466" s="109" t="s">
        <v>138</v>
      </c>
      <c r="V466" s="109" t="s">
        <v>138</v>
      </c>
      <c r="W466" s="109" t="s">
        <v>138</v>
      </c>
      <c r="X466" s="109" t="s">
        <v>138</v>
      </c>
      <c r="Y466" s="109" t="s">
        <v>138</v>
      </c>
      <c r="Z466" s="109" t="s">
        <v>934</v>
      </c>
      <c r="AA466" s="109">
        <v>8.94</v>
      </c>
      <c r="AB466" s="109">
        <v>19.100000000000001</v>
      </c>
      <c r="AC466" s="110" t="s">
        <v>1407</v>
      </c>
      <c r="AD466" s="110" t="s">
        <v>1403</v>
      </c>
      <c r="AE466" s="109">
        <f t="shared" si="22"/>
        <v>7</v>
      </c>
      <c r="AF466" s="151" t="str">
        <f t="shared" si="20"/>
        <v>Funcional con observaciones</v>
      </c>
    </row>
    <row r="467" spans="1:32" x14ac:dyDescent="0.2">
      <c r="A467" s="112">
        <v>301</v>
      </c>
      <c r="B467" s="113" t="s">
        <v>1204</v>
      </c>
      <c r="C467" s="114" t="s">
        <v>16</v>
      </c>
      <c r="D467" s="114" t="s">
        <v>16</v>
      </c>
      <c r="E467" s="115" t="s">
        <v>1249</v>
      </c>
      <c r="F467" s="115" t="s">
        <v>1250</v>
      </c>
      <c r="G467" s="115" t="s">
        <v>1802</v>
      </c>
      <c r="H467" s="113" t="s">
        <v>1207</v>
      </c>
      <c r="I467" s="114">
        <v>20.938289999999999</v>
      </c>
      <c r="J467" s="114">
        <v>-101.42421</v>
      </c>
      <c r="K467" s="113" t="s">
        <v>139</v>
      </c>
      <c r="L467" s="116" t="str">
        <f t="shared" si="21"/>
        <v>Ver en Google Maps</v>
      </c>
      <c r="M467" s="113">
        <v>1</v>
      </c>
      <c r="N467" s="117">
        <v>45937</v>
      </c>
      <c r="O467" s="118">
        <f>DAY('BD1'!$N467)</f>
        <v>7</v>
      </c>
      <c r="P467" s="118">
        <f>MONTH('BD1'!$N467)</f>
        <v>10</v>
      </c>
      <c r="Q467" s="118">
        <f>YEAR('BD1'!$N467)</f>
        <v>2025</v>
      </c>
      <c r="R467" s="118">
        <v>1</v>
      </c>
      <c r="S467" s="118" t="s">
        <v>138</v>
      </c>
      <c r="T467" s="118" t="s">
        <v>138</v>
      </c>
      <c r="U467" s="118" t="s">
        <v>138</v>
      </c>
      <c r="V467" s="118" t="s">
        <v>138</v>
      </c>
      <c r="W467" s="118" t="s">
        <v>138</v>
      </c>
      <c r="X467" s="118" t="s">
        <v>138</v>
      </c>
      <c r="Y467" s="118" t="s">
        <v>138</v>
      </c>
      <c r="Z467" s="118" t="s">
        <v>138</v>
      </c>
      <c r="AA467" s="118">
        <v>17.62</v>
      </c>
      <c r="AB467" s="118">
        <v>102.27</v>
      </c>
      <c r="AC467" s="119" t="s">
        <v>967</v>
      </c>
      <c r="AD467" s="119" t="s">
        <v>1403</v>
      </c>
      <c r="AE467" s="118">
        <f t="shared" si="22"/>
        <v>8</v>
      </c>
      <c r="AF467" s="152" t="str">
        <f t="shared" si="20"/>
        <v>Estable</v>
      </c>
    </row>
    <row r="468" spans="1:32" x14ac:dyDescent="0.2">
      <c r="A468" s="121">
        <v>302</v>
      </c>
      <c r="B468" s="122" t="s">
        <v>1204</v>
      </c>
      <c r="C468" s="123" t="s">
        <v>16</v>
      </c>
      <c r="D468" s="123" t="s">
        <v>16</v>
      </c>
      <c r="E468" s="124" t="s">
        <v>1251</v>
      </c>
      <c r="F468" s="124" t="s">
        <v>1252</v>
      </c>
      <c r="G468" s="124" t="s">
        <v>1801</v>
      </c>
      <c r="H468" s="122" t="s">
        <v>1207</v>
      </c>
      <c r="I468" s="123">
        <v>20.94585</v>
      </c>
      <c r="J468" s="123">
        <v>-101.42771</v>
      </c>
      <c r="K468" s="122" t="s">
        <v>139</v>
      </c>
      <c r="L468" s="125" t="str">
        <f t="shared" si="21"/>
        <v>Ver en Google Maps</v>
      </c>
      <c r="M468" s="122">
        <v>1</v>
      </c>
      <c r="N468" s="108">
        <v>45937</v>
      </c>
      <c r="O468" s="109">
        <f>DAY('BD1'!$N468)</f>
        <v>7</v>
      </c>
      <c r="P468" s="109">
        <f>MONTH('BD1'!$N468)</f>
        <v>10</v>
      </c>
      <c r="Q468" s="109">
        <f>YEAR('BD1'!$N468)</f>
        <v>2025</v>
      </c>
      <c r="R468" s="109">
        <v>1</v>
      </c>
      <c r="S468" s="109" t="s">
        <v>138</v>
      </c>
      <c r="T468" s="109" t="s">
        <v>138</v>
      </c>
      <c r="U468" s="109" t="s">
        <v>138</v>
      </c>
      <c r="V468" s="109" t="s">
        <v>138</v>
      </c>
      <c r="W468" s="109" t="s">
        <v>138</v>
      </c>
      <c r="X468" s="109" t="s">
        <v>138</v>
      </c>
      <c r="Y468" s="109" t="s">
        <v>138</v>
      </c>
      <c r="Z468" s="109" t="s">
        <v>138</v>
      </c>
      <c r="AA468" s="109">
        <v>34.520000000000003</v>
      </c>
      <c r="AB468" s="109">
        <v>30.91</v>
      </c>
      <c r="AC468" s="110" t="s">
        <v>1409</v>
      </c>
      <c r="AD468" s="110" t="s">
        <v>1403</v>
      </c>
      <c r="AE468" s="109">
        <f t="shared" si="22"/>
        <v>8</v>
      </c>
      <c r="AF468" s="151" t="str">
        <f t="shared" si="20"/>
        <v>Estable</v>
      </c>
    </row>
    <row r="469" spans="1:32" x14ac:dyDescent="0.2">
      <c r="A469" s="112">
        <v>303</v>
      </c>
      <c r="B469" s="113" t="s">
        <v>1204</v>
      </c>
      <c r="C469" s="114" t="s">
        <v>16</v>
      </c>
      <c r="D469" s="114" t="s">
        <v>16</v>
      </c>
      <c r="E469" s="115" t="s">
        <v>1253</v>
      </c>
      <c r="F469" s="115" t="s">
        <v>1254</v>
      </c>
      <c r="G469" s="115" t="s">
        <v>1810</v>
      </c>
      <c r="H469" s="113" t="s">
        <v>1207</v>
      </c>
      <c r="I469" s="114">
        <v>20.946300000000001</v>
      </c>
      <c r="J469" s="114">
        <v>-101.42281</v>
      </c>
      <c r="K469" s="113" t="s">
        <v>139</v>
      </c>
      <c r="L469" s="116" t="str">
        <f t="shared" si="21"/>
        <v>Ver en Google Maps</v>
      </c>
      <c r="M469" s="113">
        <v>1</v>
      </c>
      <c r="N469" s="117">
        <v>45937</v>
      </c>
      <c r="O469" s="118">
        <f>DAY('BD1'!$N469)</f>
        <v>7</v>
      </c>
      <c r="P469" s="118">
        <f>MONTH('BD1'!$N469)</f>
        <v>10</v>
      </c>
      <c r="Q469" s="118">
        <f>YEAR('BD1'!$N469)</f>
        <v>2025</v>
      </c>
      <c r="R469" s="118">
        <v>1</v>
      </c>
      <c r="S469" s="118" t="s">
        <v>934</v>
      </c>
      <c r="T469" s="118" t="s">
        <v>934</v>
      </c>
      <c r="U469" s="118" t="s">
        <v>934</v>
      </c>
      <c r="V469" s="118" t="s">
        <v>934</v>
      </c>
      <c r="W469" s="118" t="s">
        <v>934</v>
      </c>
      <c r="X469" s="118" t="s">
        <v>934</v>
      </c>
      <c r="Y469" s="118" t="s">
        <v>934</v>
      </c>
      <c r="Z469" s="118" t="s">
        <v>934</v>
      </c>
      <c r="AA469" s="118">
        <v>0</v>
      </c>
      <c r="AB469" s="118">
        <v>0</v>
      </c>
      <c r="AC469" s="119" t="s">
        <v>1416</v>
      </c>
      <c r="AD469" s="119" t="s">
        <v>1403</v>
      </c>
      <c r="AE469" s="118">
        <f t="shared" si="22"/>
        <v>0</v>
      </c>
      <c r="AF469" s="152" t="str">
        <f t="shared" si="20"/>
        <v>Crítico</v>
      </c>
    </row>
    <row r="470" spans="1:32" x14ac:dyDescent="0.2">
      <c r="A470" s="121">
        <v>304</v>
      </c>
      <c r="B470" s="122" t="s">
        <v>1204</v>
      </c>
      <c r="C470" s="123" t="s">
        <v>16</v>
      </c>
      <c r="D470" s="123" t="s">
        <v>16</v>
      </c>
      <c r="E470" s="124" t="s">
        <v>1341</v>
      </c>
      <c r="F470" s="124" t="s">
        <v>1342</v>
      </c>
      <c r="G470" s="124" t="s">
        <v>1343</v>
      </c>
      <c r="H470" s="122" t="s">
        <v>1207</v>
      </c>
      <c r="I470" s="123">
        <v>20.975248000000001</v>
      </c>
      <c r="J470" s="123">
        <v>-101.450175</v>
      </c>
      <c r="K470" s="122"/>
      <c r="L470" s="125" t="str">
        <f t="shared" si="21"/>
        <v>Ver en Google Maps</v>
      </c>
      <c r="M470" s="122">
        <v>1</v>
      </c>
      <c r="N470" s="130"/>
      <c r="O470" s="109"/>
      <c r="P470" s="109"/>
      <c r="Q470" s="109"/>
      <c r="R470" s="109"/>
      <c r="S470" s="109"/>
      <c r="T470" s="109"/>
      <c r="U470" s="109"/>
      <c r="V470" s="109"/>
      <c r="W470" s="109"/>
      <c r="X470" s="109"/>
      <c r="Y470" s="109"/>
      <c r="Z470" s="109"/>
      <c r="AA470" s="109"/>
      <c r="AB470" s="109"/>
      <c r="AC470" s="110"/>
      <c r="AD470" s="110"/>
      <c r="AE470" s="109"/>
      <c r="AF470" s="151"/>
    </row>
    <row r="471" spans="1:32" x14ac:dyDescent="0.2">
      <c r="A471" s="112">
        <v>310</v>
      </c>
      <c r="B471" s="113" t="s">
        <v>1204</v>
      </c>
      <c r="C471" s="114" t="s">
        <v>16</v>
      </c>
      <c r="D471" s="114" t="s">
        <v>16</v>
      </c>
      <c r="E471" s="115" t="s">
        <v>1255</v>
      </c>
      <c r="F471" s="115" t="s">
        <v>1256</v>
      </c>
      <c r="G471" s="115" t="s">
        <v>1257</v>
      </c>
      <c r="H471" s="113" t="s">
        <v>1207</v>
      </c>
      <c r="I471" s="114">
        <v>20.948979999999999</v>
      </c>
      <c r="J471" s="114">
        <v>-101.41598</v>
      </c>
      <c r="K471" s="113"/>
      <c r="L471" s="116" t="str">
        <f t="shared" si="21"/>
        <v>Ver en Google Maps</v>
      </c>
      <c r="M471" s="113">
        <v>1</v>
      </c>
      <c r="N471" s="129"/>
      <c r="O471" s="118"/>
      <c r="P471" s="118"/>
      <c r="Q471" s="118"/>
      <c r="R471" s="118"/>
      <c r="S471" s="118"/>
      <c r="T471" s="118"/>
      <c r="U471" s="118"/>
      <c r="V471" s="118"/>
      <c r="W471" s="118"/>
      <c r="X471" s="118"/>
      <c r="Y471" s="118"/>
      <c r="Z471" s="118"/>
      <c r="AA471" s="118"/>
      <c r="AB471" s="118"/>
      <c r="AC471" s="119"/>
      <c r="AD471" s="119"/>
      <c r="AE471" s="118"/>
      <c r="AF471" s="152"/>
    </row>
    <row r="472" spans="1:32" x14ac:dyDescent="0.2">
      <c r="A472" s="121">
        <v>324</v>
      </c>
      <c r="B472" s="122" t="s">
        <v>1204</v>
      </c>
      <c r="C472" s="123" t="s">
        <v>16</v>
      </c>
      <c r="D472" s="123" t="s">
        <v>16</v>
      </c>
      <c r="E472" s="124" t="s">
        <v>1258</v>
      </c>
      <c r="F472" s="124" t="s">
        <v>1259</v>
      </c>
      <c r="G472" s="124" t="s">
        <v>1811</v>
      </c>
      <c r="H472" s="122" t="s">
        <v>1207</v>
      </c>
      <c r="I472" s="123">
        <v>20.93486</v>
      </c>
      <c r="J472" s="123">
        <v>-101.42997</v>
      </c>
      <c r="K472" s="122" t="s">
        <v>139</v>
      </c>
      <c r="L472" s="125" t="str">
        <f t="shared" si="21"/>
        <v>Ver en Google Maps</v>
      </c>
      <c r="M472" s="122">
        <v>1</v>
      </c>
      <c r="N472" s="108">
        <v>45937</v>
      </c>
      <c r="O472" s="109">
        <f>DAY('BD1'!$N472)</f>
        <v>7</v>
      </c>
      <c r="P472" s="109">
        <f>MONTH('BD1'!$N472)</f>
        <v>10</v>
      </c>
      <c r="Q472" s="109">
        <f>YEAR('BD1'!$N472)</f>
        <v>2025</v>
      </c>
      <c r="R472" s="109">
        <v>1</v>
      </c>
      <c r="S472" s="109" t="s">
        <v>138</v>
      </c>
      <c r="T472" s="109" t="s">
        <v>138</v>
      </c>
      <c r="U472" s="109" t="s">
        <v>138</v>
      </c>
      <c r="V472" s="109" t="s">
        <v>138</v>
      </c>
      <c r="W472" s="109" t="s">
        <v>138</v>
      </c>
      <c r="X472" s="109" t="s">
        <v>138</v>
      </c>
      <c r="Y472" s="109" t="s">
        <v>138</v>
      </c>
      <c r="Z472" s="109" t="s">
        <v>138</v>
      </c>
      <c r="AA472" s="109">
        <v>34.270000000000003</v>
      </c>
      <c r="AB472" s="109">
        <v>21.98</v>
      </c>
      <c r="AC472" s="110" t="s">
        <v>967</v>
      </c>
      <c r="AD472" s="110" t="s">
        <v>1403</v>
      </c>
      <c r="AE472" s="109">
        <f t="shared" si="22"/>
        <v>8</v>
      </c>
      <c r="AF472" s="151" t="str">
        <f t="shared" si="20"/>
        <v>Estable</v>
      </c>
    </row>
    <row r="473" spans="1:32" x14ac:dyDescent="0.2">
      <c r="A473" s="112">
        <v>373</v>
      </c>
      <c r="B473" s="113" t="s">
        <v>1204</v>
      </c>
      <c r="C473" s="114" t="s">
        <v>16</v>
      </c>
      <c r="D473" s="114" t="s">
        <v>16</v>
      </c>
      <c r="E473" s="115" t="s">
        <v>1260</v>
      </c>
      <c r="F473" s="115" t="s">
        <v>1261</v>
      </c>
      <c r="G473" s="115" t="s">
        <v>1800</v>
      </c>
      <c r="H473" s="113" t="s">
        <v>1207</v>
      </c>
      <c r="I473" s="114">
        <v>20.962299999999999</v>
      </c>
      <c r="J473" s="114">
        <v>-101.41929</v>
      </c>
      <c r="K473" s="113" t="s">
        <v>139</v>
      </c>
      <c r="L473" s="116" t="str">
        <f t="shared" si="21"/>
        <v>Ver en Google Maps</v>
      </c>
      <c r="M473" s="113">
        <v>1</v>
      </c>
      <c r="N473" s="117">
        <v>45937</v>
      </c>
      <c r="O473" s="118">
        <f>DAY('BD1'!$N473)</f>
        <v>7</v>
      </c>
      <c r="P473" s="118">
        <f>MONTH('BD1'!$N473)</f>
        <v>10</v>
      </c>
      <c r="Q473" s="118">
        <f>YEAR('BD1'!$N473)</f>
        <v>2025</v>
      </c>
      <c r="R473" s="118">
        <v>1</v>
      </c>
      <c r="S473" s="118" t="s">
        <v>138</v>
      </c>
      <c r="T473" s="118" t="s">
        <v>138</v>
      </c>
      <c r="U473" s="118" t="s">
        <v>934</v>
      </c>
      <c r="V473" s="118" t="s">
        <v>934</v>
      </c>
      <c r="W473" s="118" t="s">
        <v>138</v>
      </c>
      <c r="X473" s="118" t="s">
        <v>934</v>
      </c>
      <c r="Y473" s="118" t="s">
        <v>934</v>
      </c>
      <c r="Z473" s="118" t="s">
        <v>934</v>
      </c>
      <c r="AA473" s="118">
        <v>0</v>
      </c>
      <c r="AB473" s="118">
        <v>0</v>
      </c>
      <c r="AC473" s="119" t="s">
        <v>1404</v>
      </c>
      <c r="AD473" s="119" t="s">
        <v>1403</v>
      </c>
      <c r="AE473" s="118">
        <f t="shared" si="22"/>
        <v>3</v>
      </c>
      <c r="AF473" s="152" t="str">
        <f t="shared" si="20"/>
        <v>Parcialmente funcional</v>
      </c>
    </row>
    <row r="474" spans="1:32" x14ac:dyDescent="0.2">
      <c r="A474" s="121">
        <v>374</v>
      </c>
      <c r="B474" s="122" t="s">
        <v>1204</v>
      </c>
      <c r="C474" s="123" t="s">
        <v>16</v>
      </c>
      <c r="D474" s="123" t="s">
        <v>16</v>
      </c>
      <c r="E474" s="124" t="s">
        <v>1262</v>
      </c>
      <c r="F474" s="124" t="s">
        <v>1263</v>
      </c>
      <c r="G474" s="124" t="s">
        <v>1801</v>
      </c>
      <c r="H474" s="122" t="s">
        <v>1207</v>
      </c>
      <c r="I474" s="123">
        <v>20.945319999999999</v>
      </c>
      <c r="J474" s="123">
        <v>-101.43312</v>
      </c>
      <c r="K474" s="122"/>
      <c r="L474" s="125" t="str">
        <f t="shared" si="21"/>
        <v>Ver en Google Maps</v>
      </c>
      <c r="M474" s="122">
        <v>1</v>
      </c>
      <c r="N474" s="130"/>
      <c r="O474" s="109"/>
      <c r="P474" s="109"/>
      <c r="Q474" s="109"/>
      <c r="R474" s="109"/>
      <c r="S474" s="109"/>
      <c r="T474" s="109"/>
      <c r="U474" s="109"/>
      <c r="V474" s="109"/>
      <c r="W474" s="109"/>
      <c r="X474" s="109"/>
      <c r="Y474" s="109"/>
      <c r="Z474" s="109"/>
      <c r="AA474" s="109"/>
      <c r="AB474" s="109"/>
      <c r="AC474" s="110"/>
      <c r="AD474" s="110"/>
      <c r="AE474" s="109"/>
      <c r="AF474" s="151"/>
    </row>
    <row r="475" spans="1:32" x14ac:dyDescent="0.2">
      <c r="A475" s="112">
        <v>376</v>
      </c>
      <c r="B475" s="113" t="s">
        <v>1204</v>
      </c>
      <c r="C475" s="114" t="s">
        <v>16</v>
      </c>
      <c r="D475" s="114" t="s">
        <v>16</v>
      </c>
      <c r="E475" s="115" t="s">
        <v>1264</v>
      </c>
      <c r="F475" s="115" t="s">
        <v>1265</v>
      </c>
      <c r="G475" s="115" t="s">
        <v>979</v>
      </c>
      <c r="H475" s="113" t="s">
        <v>1207</v>
      </c>
      <c r="I475" s="114">
        <v>20.942889999999998</v>
      </c>
      <c r="J475" s="114">
        <v>-101.43875</v>
      </c>
      <c r="K475" s="113"/>
      <c r="L475" s="116" t="str">
        <f t="shared" si="21"/>
        <v>Ver en Google Maps</v>
      </c>
      <c r="M475" s="113">
        <v>1</v>
      </c>
      <c r="N475" s="129"/>
      <c r="O475" s="118"/>
      <c r="P475" s="118"/>
      <c r="Q475" s="118"/>
      <c r="R475" s="118"/>
      <c r="S475" s="118"/>
      <c r="T475" s="118"/>
      <c r="U475" s="118"/>
      <c r="V475" s="118"/>
      <c r="W475" s="118"/>
      <c r="X475" s="118"/>
      <c r="Y475" s="118"/>
      <c r="Z475" s="118"/>
      <c r="AA475" s="118"/>
      <c r="AB475" s="118"/>
      <c r="AC475" s="119"/>
      <c r="AD475" s="119"/>
      <c r="AE475" s="118"/>
      <c r="AF475" s="152"/>
    </row>
    <row r="476" spans="1:32" x14ac:dyDescent="0.2">
      <c r="A476" s="121">
        <v>414</v>
      </c>
      <c r="B476" s="122" t="s">
        <v>1204</v>
      </c>
      <c r="C476" s="123" t="s">
        <v>16</v>
      </c>
      <c r="D476" s="123" t="s">
        <v>16</v>
      </c>
      <c r="E476" s="124" t="s">
        <v>1344</v>
      </c>
      <c r="F476" s="124" t="s">
        <v>1345</v>
      </c>
      <c r="G476" s="124" t="s">
        <v>1346</v>
      </c>
      <c r="H476" s="122" t="s">
        <v>1207</v>
      </c>
      <c r="I476" s="123">
        <v>20.933350000000001</v>
      </c>
      <c r="J476" s="123">
        <v>-101.44937</v>
      </c>
      <c r="K476" s="122"/>
      <c r="L476" s="125" t="str">
        <f t="shared" si="21"/>
        <v>Ver en Google Maps</v>
      </c>
      <c r="M476" s="122">
        <v>1</v>
      </c>
      <c r="N476" s="130"/>
      <c r="O476" s="109"/>
      <c r="P476" s="109"/>
      <c r="Q476" s="109"/>
      <c r="R476" s="109"/>
      <c r="S476" s="109"/>
      <c r="T476" s="109"/>
      <c r="U476" s="109"/>
      <c r="V476" s="109"/>
      <c r="W476" s="109"/>
      <c r="X476" s="109"/>
      <c r="Y476" s="109"/>
      <c r="Z476" s="109"/>
      <c r="AA476" s="109"/>
      <c r="AB476" s="109"/>
      <c r="AC476" s="110"/>
      <c r="AD476" s="110"/>
      <c r="AE476" s="109"/>
      <c r="AF476" s="151"/>
    </row>
    <row r="477" spans="1:32" x14ac:dyDescent="0.2">
      <c r="A477" s="112">
        <v>441</v>
      </c>
      <c r="B477" s="113" t="s">
        <v>1204</v>
      </c>
      <c r="C477" s="114" t="s">
        <v>15</v>
      </c>
      <c r="D477" s="114" t="s">
        <v>15</v>
      </c>
      <c r="E477" s="115" t="s">
        <v>1266</v>
      </c>
      <c r="F477" s="115" t="s">
        <v>1267</v>
      </c>
      <c r="G477" s="115" t="s">
        <v>1812</v>
      </c>
      <c r="H477" s="113" t="s">
        <v>1207</v>
      </c>
      <c r="I477" s="114">
        <v>20.960056999999999</v>
      </c>
      <c r="J477" s="114">
        <v>-101.42662199999999</v>
      </c>
      <c r="K477" s="113" t="s">
        <v>139</v>
      </c>
      <c r="L477" s="116" t="str">
        <f t="shared" si="21"/>
        <v>Ver en Google Maps</v>
      </c>
      <c r="M477" s="113">
        <v>2</v>
      </c>
      <c r="N477" s="117">
        <v>45937</v>
      </c>
      <c r="O477" s="118">
        <f>DAY('BD1'!$N477)</f>
        <v>7</v>
      </c>
      <c r="P477" s="118">
        <f>MONTH('BD1'!$N477)</f>
        <v>10</v>
      </c>
      <c r="Q477" s="118">
        <f>YEAR('BD1'!$N477)</f>
        <v>2025</v>
      </c>
      <c r="R477" s="118">
        <v>1</v>
      </c>
      <c r="S477" s="118" t="s">
        <v>138</v>
      </c>
      <c r="T477" s="118" t="s">
        <v>138</v>
      </c>
      <c r="U477" s="118" t="s">
        <v>138</v>
      </c>
      <c r="V477" s="118" t="s">
        <v>138</v>
      </c>
      <c r="W477" s="118" t="s">
        <v>138</v>
      </c>
      <c r="X477" s="118" t="s">
        <v>138</v>
      </c>
      <c r="Y477" s="118" t="s">
        <v>138</v>
      </c>
      <c r="Z477" s="118" t="s">
        <v>138</v>
      </c>
      <c r="AA477" s="118">
        <v>15</v>
      </c>
      <c r="AB477" s="118">
        <v>8.49</v>
      </c>
      <c r="AC477" s="119" t="s">
        <v>967</v>
      </c>
      <c r="AD477" s="119" t="s">
        <v>1403</v>
      </c>
      <c r="AE477" s="118">
        <f t="shared" si="22"/>
        <v>8</v>
      </c>
      <c r="AF477" s="152" t="str">
        <f t="shared" si="20"/>
        <v>Estable</v>
      </c>
    </row>
    <row r="478" spans="1:32" x14ac:dyDescent="0.2">
      <c r="A478" s="121">
        <v>444</v>
      </c>
      <c r="B478" s="122" t="s">
        <v>1204</v>
      </c>
      <c r="C478" s="123" t="s">
        <v>16</v>
      </c>
      <c r="D478" s="123" t="s">
        <v>16</v>
      </c>
      <c r="E478" s="124" t="s">
        <v>1268</v>
      </c>
      <c r="F478" s="124" t="s">
        <v>1269</v>
      </c>
      <c r="G478" s="124" t="s">
        <v>1813</v>
      </c>
      <c r="H478" s="122" t="s">
        <v>1207</v>
      </c>
      <c r="I478" s="123">
        <v>20.94961</v>
      </c>
      <c r="J478" s="123">
        <v>-101.42922</v>
      </c>
      <c r="K478" s="122" t="s">
        <v>139</v>
      </c>
      <c r="L478" s="125" t="str">
        <f t="shared" si="21"/>
        <v>Ver en Google Maps</v>
      </c>
      <c r="M478" s="122">
        <v>1</v>
      </c>
      <c r="N478" s="108">
        <v>45937</v>
      </c>
      <c r="O478" s="109">
        <f>DAY('BD1'!$N478)</f>
        <v>7</v>
      </c>
      <c r="P478" s="109">
        <f>MONTH('BD1'!$N478)</f>
        <v>10</v>
      </c>
      <c r="Q478" s="109">
        <f>YEAR('BD1'!$N478)</f>
        <v>2025</v>
      </c>
      <c r="R478" s="109">
        <v>1</v>
      </c>
      <c r="S478" s="109" t="s">
        <v>138</v>
      </c>
      <c r="T478" s="109" t="s">
        <v>138</v>
      </c>
      <c r="U478" s="109" t="s">
        <v>138</v>
      </c>
      <c r="V478" s="109" t="s">
        <v>138</v>
      </c>
      <c r="W478" s="109" t="s">
        <v>138</v>
      </c>
      <c r="X478" s="109" t="s">
        <v>138</v>
      </c>
      <c r="Y478" s="109" t="s">
        <v>138</v>
      </c>
      <c r="Z478" s="109" t="s">
        <v>138</v>
      </c>
      <c r="AA478" s="109">
        <v>34.5</v>
      </c>
      <c r="AB478" s="109">
        <v>30.89</v>
      </c>
      <c r="AC478" s="110" t="s">
        <v>967</v>
      </c>
      <c r="AD478" s="110" t="s">
        <v>1403</v>
      </c>
      <c r="AE478" s="109">
        <f t="shared" si="22"/>
        <v>8</v>
      </c>
      <c r="AF478" s="151" t="str">
        <f t="shared" si="20"/>
        <v>Estable</v>
      </c>
    </row>
    <row r="479" spans="1:32" x14ac:dyDescent="0.2">
      <c r="A479" s="112">
        <v>449</v>
      </c>
      <c r="B479" s="113" t="s">
        <v>1204</v>
      </c>
      <c r="C479" s="114" t="s">
        <v>16</v>
      </c>
      <c r="D479" s="114" t="s">
        <v>16</v>
      </c>
      <c r="E479" s="115" t="s">
        <v>1347</v>
      </c>
      <c r="F479" s="115" t="s">
        <v>1348</v>
      </c>
      <c r="G479" s="115" t="s">
        <v>1814</v>
      </c>
      <c r="H479" s="113" t="s">
        <v>1207</v>
      </c>
      <c r="I479" s="114">
        <v>20.951160000000002</v>
      </c>
      <c r="J479" s="114">
        <v>-101.40461999999999</v>
      </c>
      <c r="K479" s="113"/>
      <c r="L479" s="116" t="str">
        <f t="shared" si="21"/>
        <v>Ver en Google Maps</v>
      </c>
      <c r="M479" s="113">
        <v>1</v>
      </c>
      <c r="N479" s="129"/>
      <c r="O479" s="118"/>
      <c r="P479" s="118"/>
      <c r="Q479" s="118"/>
      <c r="R479" s="118"/>
      <c r="S479" s="118"/>
      <c r="T479" s="118"/>
      <c r="U479" s="118"/>
      <c r="V479" s="118"/>
      <c r="W479" s="118"/>
      <c r="X479" s="118"/>
      <c r="Y479" s="118"/>
      <c r="Z479" s="118"/>
      <c r="AA479" s="118"/>
      <c r="AB479" s="118"/>
      <c r="AC479" s="119"/>
      <c r="AD479" s="119"/>
      <c r="AE479" s="118"/>
      <c r="AF479" s="152"/>
    </row>
    <row r="480" spans="1:32" x14ac:dyDescent="0.2">
      <c r="A480" s="121">
        <v>474</v>
      </c>
      <c r="B480" s="122" t="s">
        <v>1204</v>
      </c>
      <c r="C480" s="123" t="s">
        <v>16</v>
      </c>
      <c r="D480" s="123" t="s">
        <v>16</v>
      </c>
      <c r="E480" s="124" t="s">
        <v>1349</v>
      </c>
      <c r="F480" s="124" t="s">
        <v>1350</v>
      </c>
      <c r="G480" s="124" t="s">
        <v>1388</v>
      </c>
      <c r="H480" s="122" t="s">
        <v>1207</v>
      </c>
      <c r="I480" s="123">
        <v>20.96086</v>
      </c>
      <c r="J480" s="123">
        <v>-101.4302</v>
      </c>
      <c r="K480" s="122" t="s">
        <v>139</v>
      </c>
      <c r="L480" s="125" t="str">
        <f t="shared" si="21"/>
        <v>Ver en Google Maps</v>
      </c>
      <c r="M480" s="122">
        <v>1</v>
      </c>
      <c r="N480" s="108">
        <v>45937</v>
      </c>
      <c r="O480" s="109">
        <f>DAY('BD1'!$N480)</f>
        <v>7</v>
      </c>
      <c r="P480" s="109">
        <f>MONTH('BD1'!$N480)</f>
        <v>10</v>
      </c>
      <c r="Q480" s="109">
        <f>YEAR('BD1'!$N480)</f>
        <v>2025</v>
      </c>
      <c r="R480" s="109">
        <v>1</v>
      </c>
      <c r="S480" s="109" t="s">
        <v>138</v>
      </c>
      <c r="T480" s="109" t="s">
        <v>138</v>
      </c>
      <c r="U480" s="109" t="s">
        <v>138</v>
      </c>
      <c r="V480" s="109" t="s">
        <v>138</v>
      </c>
      <c r="W480" s="109" t="s">
        <v>138</v>
      </c>
      <c r="X480" s="109" t="s">
        <v>138</v>
      </c>
      <c r="Y480" s="109" t="s">
        <v>138</v>
      </c>
      <c r="Z480" s="109" t="s">
        <v>138</v>
      </c>
      <c r="AA480" s="109">
        <v>34.270000000000003</v>
      </c>
      <c r="AB480" s="109">
        <v>31.19</v>
      </c>
      <c r="AC480" s="110" t="s">
        <v>967</v>
      </c>
      <c r="AD480" s="110" t="s">
        <v>1403</v>
      </c>
      <c r="AE480" s="109">
        <f t="shared" si="22"/>
        <v>8</v>
      </c>
      <c r="AF480" s="151" t="str">
        <f t="shared" si="20"/>
        <v>Estable</v>
      </c>
    </row>
    <row r="481" spans="1:32" x14ac:dyDescent="0.2">
      <c r="A481" s="112">
        <v>477</v>
      </c>
      <c r="B481" s="113" t="s">
        <v>1204</v>
      </c>
      <c r="C481" s="114" t="s">
        <v>16</v>
      </c>
      <c r="D481" s="114" t="s">
        <v>16</v>
      </c>
      <c r="E481" s="115" t="s">
        <v>1351</v>
      </c>
      <c r="F481" s="115" t="s">
        <v>1352</v>
      </c>
      <c r="G481" s="115" t="s">
        <v>1327</v>
      </c>
      <c r="H481" s="113" t="s">
        <v>1207</v>
      </c>
      <c r="I481" s="114">
        <v>20.980129999999999</v>
      </c>
      <c r="J481" s="114">
        <v>-101.41618</v>
      </c>
      <c r="K481" s="113"/>
      <c r="L481" s="116" t="str">
        <f t="shared" si="21"/>
        <v>Ver en Google Maps</v>
      </c>
      <c r="M481" s="113">
        <v>1</v>
      </c>
      <c r="N481" s="129"/>
      <c r="O481" s="118"/>
      <c r="P481" s="118"/>
      <c r="Q481" s="118"/>
      <c r="R481" s="118"/>
      <c r="S481" s="118"/>
      <c r="T481" s="118"/>
      <c r="U481" s="118"/>
      <c r="V481" s="118"/>
      <c r="W481" s="118"/>
      <c r="X481" s="118"/>
      <c r="Y481" s="118"/>
      <c r="Z481" s="118"/>
      <c r="AA481" s="118"/>
      <c r="AB481" s="118"/>
      <c r="AC481" s="119"/>
      <c r="AD481" s="119"/>
      <c r="AE481" s="118"/>
      <c r="AF481" s="152"/>
    </row>
    <row r="482" spans="1:32" x14ac:dyDescent="0.2">
      <c r="A482" s="121">
        <v>508</v>
      </c>
      <c r="B482" s="122" t="s">
        <v>1204</v>
      </c>
      <c r="C482" s="123" t="s">
        <v>16</v>
      </c>
      <c r="D482" s="123" t="s">
        <v>16</v>
      </c>
      <c r="E482" s="124" t="s">
        <v>1353</v>
      </c>
      <c r="F482" s="124" t="s">
        <v>1354</v>
      </c>
      <c r="G482" s="124" t="s">
        <v>1355</v>
      </c>
      <c r="H482" s="122" t="s">
        <v>1207</v>
      </c>
      <c r="I482" s="123">
        <v>20.916716279214</v>
      </c>
      <c r="J482" s="123">
        <v>-101.457838063324</v>
      </c>
      <c r="K482" s="122"/>
      <c r="L482" s="125" t="str">
        <f t="shared" si="21"/>
        <v>Ver en Google Maps</v>
      </c>
      <c r="M482" s="122">
        <v>2</v>
      </c>
      <c r="N482" s="130"/>
      <c r="O482" s="109"/>
      <c r="P482" s="109"/>
      <c r="Q482" s="109"/>
      <c r="R482" s="109"/>
      <c r="S482" s="109"/>
      <c r="T482" s="109"/>
      <c r="U482" s="109"/>
      <c r="V482" s="109"/>
      <c r="W482" s="109"/>
      <c r="X482" s="109"/>
      <c r="Y482" s="109"/>
      <c r="Z482" s="109"/>
      <c r="AA482" s="109"/>
      <c r="AB482" s="109"/>
      <c r="AC482" s="110"/>
      <c r="AD482" s="110"/>
      <c r="AE482" s="109"/>
      <c r="AF482" s="151"/>
    </row>
    <row r="483" spans="1:32" x14ac:dyDescent="0.2">
      <c r="A483" s="112">
        <v>529</v>
      </c>
      <c r="B483" s="113" t="s">
        <v>1204</v>
      </c>
      <c r="C483" s="114" t="s">
        <v>15</v>
      </c>
      <c r="D483" s="114" t="s">
        <v>15</v>
      </c>
      <c r="E483" s="115" t="s">
        <v>1270</v>
      </c>
      <c r="F483" s="115" t="s">
        <v>1271</v>
      </c>
      <c r="G483" s="115" t="s">
        <v>1801</v>
      </c>
      <c r="H483" s="113" t="s">
        <v>1207</v>
      </c>
      <c r="I483" s="114">
        <v>20.947330999999998</v>
      </c>
      <c r="J483" s="114">
        <v>-101.42667899999999</v>
      </c>
      <c r="K483" s="113" t="s">
        <v>139</v>
      </c>
      <c r="L483" s="116" t="str">
        <f t="shared" si="21"/>
        <v>Ver en Google Maps</v>
      </c>
      <c r="M483" s="113">
        <v>2</v>
      </c>
      <c r="N483" s="117">
        <v>45937</v>
      </c>
      <c r="O483" s="118">
        <f>DAY('BD1'!$N483)</f>
        <v>7</v>
      </c>
      <c r="P483" s="118">
        <f>MONTH('BD1'!$N483)</f>
        <v>10</v>
      </c>
      <c r="Q483" s="118">
        <f>YEAR('BD1'!$N483)</f>
        <v>2025</v>
      </c>
      <c r="R483" s="118">
        <v>1</v>
      </c>
      <c r="S483" s="118" t="s">
        <v>934</v>
      </c>
      <c r="T483" s="118" t="s">
        <v>934</v>
      </c>
      <c r="U483" s="118" t="s">
        <v>934</v>
      </c>
      <c r="V483" s="118" t="s">
        <v>934</v>
      </c>
      <c r="W483" s="118" t="s">
        <v>934</v>
      </c>
      <c r="X483" s="118" t="s">
        <v>934</v>
      </c>
      <c r="Y483" s="118" t="s">
        <v>934</v>
      </c>
      <c r="Z483" s="118" t="s">
        <v>934</v>
      </c>
      <c r="AA483" s="118">
        <v>0</v>
      </c>
      <c r="AB483" s="118">
        <v>0</v>
      </c>
      <c r="AC483" s="119" t="s">
        <v>1413</v>
      </c>
      <c r="AD483" s="119" t="s">
        <v>1403</v>
      </c>
      <c r="AE483" s="118">
        <f t="shared" si="22"/>
        <v>0</v>
      </c>
      <c r="AF483" s="152" t="str">
        <f t="shared" si="20"/>
        <v>Crítico</v>
      </c>
    </row>
    <row r="484" spans="1:32" x14ac:dyDescent="0.2">
      <c r="A484" s="121">
        <v>538</v>
      </c>
      <c r="B484" s="122" t="s">
        <v>1204</v>
      </c>
      <c r="C484" s="123" t="s">
        <v>15</v>
      </c>
      <c r="D484" s="123" t="s">
        <v>15</v>
      </c>
      <c r="E484" s="124" t="s">
        <v>1272</v>
      </c>
      <c r="F484" s="124" t="s">
        <v>1273</v>
      </c>
      <c r="G484" s="124" t="s">
        <v>1815</v>
      </c>
      <c r="H484" s="122" t="s">
        <v>1207</v>
      </c>
      <c r="I484" s="123">
        <v>20.965129999999998</v>
      </c>
      <c r="J484" s="123">
        <v>-101.420795</v>
      </c>
      <c r="K484" s="122"/>
      <c r="L484" s="125" t="str">
        <f t="shared" si="21"/>
        <v>Ver en Google Maps</v>
      </c>
      <c r="M484" s="122">
        <v>1</v>
      </c>
      <c r="N484" s="130"/>
      <c r="O484" s="109"/>
      <c r="P484" s="109"/>
      <c r="Q484" s="109"/>
      <c r="R484" s="109"/>
      <c r="S484" s="109"/>
      <c r="T484" s="109"/>
      <c r="U484" s="109"/>
      <c r="V484" s="109"/>
      <c r="W484" s="109"/>
      <c r="X484" s="109"/>
      <c r="Y484" s="109"/>
      <c r="Z484" s="109"/>
      <c r="AA484" s="109"/>
      <c r="AB484" s="109"/>
      <c r="AC484" s="110"/>
      <c r="AD484" s="110"/>
      <c r="AE484" s="109"/>
      <c r="AF484" s="151"/>
    </row>
    <row r="485" spans="1:32" x14ac:dyDescent="0.2">
      <c r="A485" s="112">
        <v>539</v>
      </c>
      <c r="B485" s="113" t="s">
        <v>1204</v>
      </c>
      <c r="C485" s="114" t="s">
        <v>15</v>
      </c>
      <c r="D485" s="114" t="s">
        <v>15</v>
      </c>
      <c r="E485" s="115" t="s">
        <v>1356</v>
      </c>
      <c r="F485" s="115" t="s">
        <v>1357</v>
      </c>
      <c r="G485" s="115" t="s">
        <v>1358</v>
      </c>
      <c r="H485" s="113" t="s">
        <v>1207</v>
      </c>
      <c r="I485" s="114">
        <v>20.94435</v>
      </c>
      <c r="J485" s="114">
        <v>-101.444515</v>
      </c>
      <c r="K485" s="113"/>
      <c r="L485" s="116" t="str">
        <f t="shared" si="21"/>
        <v>Ver en Google Maps</v>
      </c>
      <c r="M485" s="113">
        <v>2</v>
      </c>
      <c r="N485" s="129"/>
      <c r="O485" s="118"/>
      <c r="P485" s="118"/>
      <c r="Q485" s="118"/>
      <c r="R485" s="118"/>
      <c r="S485" s="118"/>
      <c r="T485" s="118"/>
      <c r="U485" s="118"/>
      <c r="V485" s="118"/>
      <c r="W485" s="118"/>
      <c r="X485" s="118"/>
      <c r="Y485" s="118"/>
      <c r="Z485" s="118"/>
      <c r="AA485" s="118"/>
      <c r="AB485" s="118"/>
      <c r="AC485" s="119"/>
      <c r="AD485" s="119"/>
      <c r="AE485" s="118"/>
      <c r="AF485" s="152"/>
    </row>
    <row r="486" spans="1:32" x14ac:dyDescent="0.2">
      <c r="A486" s="121">
        <v>547</v>
      </c>
      <c r="B486" s="122" t="s">
        <v>1204</v>
      </c>
      <c r="C486" s="123" t="s">
        <v>17</v>
      </c>
      <c r="D486" s="123" t="s">
        <v>17</v>
      </c>
      <c r="E486" s="124" t="s">
        <v>1359</v>
      </c>
      <c r="F486" s="124" t="s">
        <v>1360</v>
      </c>
      <c r="G486" s="124" t="s">
        <v>1816</v>
      </c>
      <c r="H486" s="122" t="s">
        <v>1207</v>
      </c>
      <c r="I486" s="123">
        <v>20.951319999999999</v>
      </c>
      <c r="J486" s="123">
        <v>-101.44101000000001</v>
      </c>
      <c r="K486" s="122"/>
      <c r="L486" s="125" t="str">
        <f t="shared" si="21"/>
        <v>Ver en Google Maps</v>
      </c>
      <c r="M486" s="122">
        <v>1</v>
      </c>
      <c r="N486" s="130"/>
      <c r="O486" s="109"/>
      <c r="P486" s="109"/>
      <c r="Q486" s="109"/>
      <c r="R486" s="109"/>
      <c r="S486" s="109"/>
      <c r="T486" s="109"/>
      <c r="U486" s="109"/>
      <c r="V486" s="109"/>
      <c r="W486" s="109"/>
      <c r="X486" s="109"/>
      <c r="Y486" s="109"/>
      <c r="Z486" s="109"/>
      <c r="AA486" s="109"/>
      <c r="AB486" s="109"/>
      <c r="AC486" s="110"/>
      <c r="AD486" s="110"/>
      <c r="AE486" s="109"/>
      <c r="AF486" s="151"/>
    </row>
    <row r="487" spans="1:32" x14ac:dyDescent="0.2">
      <c r="A487" s="112">
        <v>556</v>
      </c>
      <c r="B487" s="113" t="s">
        <v>1204</v>
      </c>
      <c r="C487" s="114" t="s">
        <v>17</v>
      </c>
      <c r="D487" s="114" t="s">
        <v>17</v>
      </c>
      <c r="E487" s="115" t="s">
        <v>1274</v>
      </c>
      <c r="F487" s="115" t="s">
        <v>1275</v>
      </c>
      <c r="G487" s="115" t="s">
        <v>360</v>
      </c>
      <c r="H487" s="113" t="s">
        <v>1207</v>
      </c>
      <c r="I487" s="114">
        <v>20.948519999999998</v>
      </c>
      <c r="J487" s="114">
        <v>-101.42618</v>
      </c>
      <c r="K487" s="113" t="s">
        <v>139</v>
      </c>
      <c r="L487" s="116" t="str">
        <f t="shared" si="21"/>
        <v>Ver en Google Maps</v>
      </c>
      <c r="M487" s="113">
        <v>1</v>
      </c>
      <c r="N487" s="117">
        <v>45937</v>
      </c>
      <c r="O487" s="118">
        <f>DAY('BD1'!$N487)</f>
        <v>7</v>
      </c>
      <c r="P487" s="118">
        <f>MONTH('BD1'!$N487)</f>
        <v>10</v>
      </c>
      <c r="Q487" s="118">
        <f>YEAR('BD1'!$N487)</f>
        <v>2025</v>
      </c>
      <c r="R487" s="118">
        <v>1</v>
      </c>
      <c r="S487" s="118" t="s">
        <v>138</v>
      </c>
      <c r="T487" s="118" t="s">
        <v>138</v>
      </c>
      <c r="U487" s="118" t="s">
        <v>138</v>
      </c>
      <c r="V487" s="118" t="s">
        <v>138</v>
      </c>
      <c r="W487" s="118" t="s">
        <v>138</v>
      </c>
      <c r="X487" s="118" t="s">
        <v>934</v>
      </c>
      <c r="Y487" s="118" t="s">
        <v>138</v>
      </c>
      <c r="Z487" s="118" t="s">
        <v>138</v>
      </c>
      <c r="AA487" s="118">
        <v>19.46</v>
      </c>
      <c r="AB487" s="118">
        <v>30.77</v>
      </c>
      <c r="AC487" s="119" t="s">
        <v>1408</v>
      </c>
      <c r="AD487" s="119" t="s">
        <v>1403</v>
      </c>
      <c r="AE487" s="118">
        <f t="shared" si="22"/>
        <v>7</v>
      </c>
      <c r="AF487" s="152" t="str">
        <f t="shared" si="20"/>
        <v>Funcional con observaciones</v>
      </c>
    </row>
    <row r="488" spans="1:32" x14ac:dyDescent="0.2">
      <c r="A488" s="121">
        <v>573</v>
      </c>
      <c r="B488" s="122" t="s">
        <v>1204</v>
      </c>
      <c r="C488" s="123" t="s">
        <v>17</v>
      </c>
      <c r="D488" s="123" t="s">
        <v>17</v>
      </c>
      <c r="E488" s="124" t="s">
        <v>1361</v>
      </c>
      <c r="F488" s="124" t="s">
        <v>1362</v>
      </c>
      <c r="G488" s="124" t="s">
        <v>1817</v>
      </c>
      <c r="H488" s="122" t="s">
        <v>1207</v>
      </c>
      <c r="I488" s="123">
        <v>20.932839999999999</v>
      </c>
      <c r="J488" s="123">
        <v>-101.42482</v>
      </c>
      <c r="K488" s="122"/>
      <c r="L488" s="125" t="str">
        <f t="shared" si="21"/>
        <v>Ver en Google Maps</v>
      </c>
      <c r="M488" s="122">
        <v>1</v>
      </c>
      <c r="N488" s="130"/>
      <c r="O488" s="109"/>
      <c r="P488" s="109"/>
      <c r="Q488" s="109"/>
      <c r="R488" s="109"/>
      <c r="S488" s="109"/>
      <c r="T488" s="109"/>
      <c r="U488" s="109"/>
      <c r="V488" s="109"/>
      <c r="W488" s="109"/>
      <c r="X488" s="109"/>
      <c r="Y488" s="109"/>
      <c r="Z488" s="109"/>
      <c r="AA488" s="109"/>
      <c r="AB488" s="109"/>
      <c r="AC488" s="110"/>
      <c r="AD488" s="110"/>
      <c r="AE488" s="109"/>
      <c r="AF488" s="151"/>
    </row>
    <row r="489" spans="1:32" x14ac:dyDescent="0.2">
      <c r="A489" s="112">
        <v>581</v>
      </c>
      <c r="B489" s="113" t="s">
        <v>1204</v>
      </c>
      <c r="C489" s="114" t="s">
        <v>17</v>
      </c>
      <c r="D489" s="114" t="s">
        <v>17</v>
      </c>
      <c r="E489" s="115" t="s">
        <v>1276</v>
      </c>
      <c r="F489" s="115" t="s">
        <v>1277</v>
      </c>
      <c r="G489" s="115" t="s">
        <v>1278</v>
      </c>
      <c r="H489" s="113" t="s">
        <v>1207</v>
      </c>
      <c r="I489" s="114">
        <v>20.945900000000002</v>
      </c>
      <c r="J489" s="114">
        <v>-101.45302</v>
      </c>
      <c r="K489" s="113"/>
      <c r="L489" s="116" t="str">
        <f t="shared" si="21"/>
        <v>Ver en Google Maps</v>
      </c>
      <c r="M489" s="113">
        <v>1</v>
      </c>
      <c r="N489" s="129"/>
      <c r="O489" s="118"/>
      <c r="P489" s="118"/>
      <c r="Q489" s="118"/>
      <c r="R489" s="118"/>
      <c r="S489" s="118"/>
      <c r="T489" s="118"/>
      <c r="U489" s="118"/>
      <c r="V489" s="118"/>
      <c r="W489" s="118"/>
      <c r="X489" s="118"/>
      <c r="Y489" s="118"/>
      <c r="Z489" s="118"/>
      <c r="AA489" s="118"/>
      <c r="AB489" s="118"/>
      <c r="AC489" s="119"/>
      <c r="AD489" s="119"/>
      <c r="AE489" s="118"/>
      <c r="AF489" s="152"/>
    </row>
    <row r="490" spans="1:32" x14ac:dyDescent="0.2">
      <c r="A490" s="121">
        <v>582</v>
      </c>
      <c r="B490" s="122" t="s">
        <v>1204</v>
      </c>
      <c r="C490" s="123" t="s">
        <v>17</v>
      </c>
      <c r="D490" s="123" t="s">
        <v>17</v>
      </c>
      <c r="E490" s="124" t="s">
        <v>1363</v>
      </c>
      <c r="F490" s="124" t="s">
        <v>1364</v>
      </c>
      <c r="G490" s="124" t="s">
        <v>1818</v>
      </c>
      <c r="H490" s="122" t="s">
        <v>1207</v>
      </c>
      <c r="I490" s="123">
        <v>20.930240000000001</v>
      </c>
      <c r="J490" s="123">
        <v>-101.43176</v>
      </c>
      <c r="K490" s="122"/>
      <c r="L490" s="125" t="str">
        <f t="shared" si="21"/>
        <v>Ver en Google Maps</v>
      </c>
      <c r="M490" s="122">
        <v>1</v>
      </c>
      <c r="N490" s="130"/>
      <c r="O490" s="109"/>
      <c r="P490" s="109"/>
      <c r="Q490" s="109"/>
      <c r="R490" s="109"/>
      <c r="S490" s="109"/>
      <c r="T490" s="109"/>
      <c r="U490" s="109"/>
      <c r="V490" s="109"/>
      <c r="W490" s="109"/>
      <c r="X490" s="109"/>
      <c r="Y490" s="109"/>
      <c r="Z490" s="109"/>
      <c r="AA490" s="109"/>
      <c r="AB490" s="109"/>
      <c r="AC490" s="110"/>
      <c r="AD490" s="110"/>
      <c r="AE490" s="109"/>
      <c r="AF490" s="151"/>
    </row>
    <row r="491" spans="1:32" x14ac:dyDescent="0.2">
      <c r="A491" s="112">
        <v>585</v>
      </c>
      <c r="B491" s="113" t="s">
        <v>1204</v>
      </c>
      <c r="C491" s="114" t="s">
        <v>1279</v>
      </c>
      <c r="D491" s="114" t="s">
        <v>404</v>
      </c>
      <c r="E491" s="115" t="s">
        <v>1280</v>
      </c>
      <c r="F491" s="115" t="s">
        <v>1281</v>
      </c>
      <c r="G491" s="115" t="s">
        <v>360</v>
      </c>
      <c r="H491" s="113" t="s">
        <v>1207</v>
      </c>
      <c r="I491" s="114">
        <v>20.944548999999999</v>
      </c>
      <c r="J491" s="114">
        <v>-101.428495</v>
      </c>
      <c r="K491" s="113" t="s">
        <v>139</v>
      </c>
      <c r="L491" s="116" t="str">
        <f t="shared" si="21"/>
        <v>Ver en Google Maps</v>
      </c>
      <c r="M491" s="113">
        <v>1</v>
      </c>
      <c r="N491" s="117">
        <v>45937</v>
      </c>
      <c r="O491" s="118">
        <f>DAY('BD1'!$N491)</f>
        <v>7</v>
      </c>
      <c r="P491" s="118">
        <f>MONTH('BD1'!$N491)</f>
        <v>10</v>
      </c>
      <c r="Q491" s="118">
        <f>YEAR('BD1'!$N491)</f>
        <v>2025</v>
      </c>
      <c r="R491" s="118">
        <v>1</v>
      </c>
      <c r="S491" s="118" t="s">
        <v>138</v>
      </c>
      <c r="T491" s="118" t="s">
        <v>138</v>
      </c>
      <c r="U491" s="118" t="s">
        <v>138</v>
      </c>
      <c r="V491" s="118" t="s">
        <v>138</v>
      </c>
      <c r="W491" s="118" t="s">
        <v>138</v>
      </c>
      <c r="X491" s="118" t="s">
        <v>138</v>
      </c>
      <c r="Y491" s="118" t="s">
        <v>138</v>
      </c>
      <c r="Z491" s="118" t="s">
        <v>934</v>
      </c>
      <c r="AA491" s="118">
        <v>8.0299999999999994</v>
      </c>
      <c r="AB491" s="118">
        <v>21.85</v>
      </c>
      <c r="AC491" s="119" t="s">
        <v>1410</v>
      </c>
      <c r="AD491" s="119" t="s">
        <v>1403</v>
      </c>
      <c r="AE491" s="118">
        <f t="shared" si="22"/>
        <v>7</v>
      </c>
      <c r="AF491" s="152" t="str">
        <f t="shared" si="20"/>
        <v>Funcional con observaciones</v>
      </c>
    </row>
    <row r="492" spans="1:32" x14ac:dyDescent="0.2">
      <c r="A492" s="121">
        <v>600</v>
      </c>
      <c r="B492" s="122" t="s">
        <v>1204</v>
      </c>
      <c r="C492" s="123" t="s">
        <v>17</v>
      </c>
      <c r="D492" s="123" t="s">
        <v>17</v>
      </c>
      <c r="E492" s="124" t="s">
        <v>1282</v>
      </c>
      <c r="F492" s="124" t="s">
        <v>1283</v>
      </c>
      <c r="G492" s="124" t="s">
        <v>1819</v>
      </c>
      <c r="H492" s="122" t="s">
        <v>1207</v>
      </c>
      <c r="I492" s="123">
        <v>20.933859999999999</v>
      </c>
      <c r="J492" s="123">
        <v>-101.42007</v>
      </c>
      <c r="K492" s="122" t="s">
        <v>139</v>
      </c>
      <c r="L492" s="125" t="str">
        <f t="shared" si="21"/>
        <v>Ver en Google Maps</v>
      </c>
      <c r="M492" s="122">
        <v>1</v>
      </c>
      <c r="N492" s="108">
        <v>45937</v>
      </c>
      <c r="O492" s="109">
        <f>DAY('BD1'!$N492)</f>
        <v>7</v>
      </c>
      <c r="P492" s="109">
        <f>MONTH('BD1'!$N492)</f>
        <v>10</v>
      </c>
      <c r="Q492" s="109">
        <f>YEAR('BD1'!$N492)</f>
        <v>2025</v>
      </c>
      <c r="R492" s="109">
        <v>1</v>
      </c>
      <c r="S492" s="109" t="s">
        <v>138</v>
      </c>
      <c r="T492" s="109" t="s">
        <v>138</v>
      </c>
      <c r="U492" s="109" t="s">
        <v>138</v>
      </c>
      <c r="V492" s="109" t="s">
        <v>138</v>
      </c>
      <c r="W492" s="109" t="s">
        <v>138</v>
      </c>
      <c r="X492" s="109" t="s">
        <v>138</v>
      </c>
      <c r="Y492" s="109" t="s">
        <v>138</v>
      </c>
      <c r="Z492" s="109" t="s">
        <v>138</v>
      </c>
      <c r="AA492" s="109">
        <v>51.36</v>
      </c>
      <c r="AB492" s="109">
        <v>38.4</v>
      </c>
      <c r="AC492" s="110" t="s">
        <v>967</v>
      </c>
      <c r="AD492" s="110" t="s">
        <v>1403</v>
      </c>
      <c r="AE492" s="109">
        <f t="shared" si="22"/>
        <v>8</v>
      </c>
      <c r="AF492" s="151" t="str">
        <f t="shared" si="20"/>
        <v>Estable</v>
      </c>
    </row>
    <row r="493" spans="1:32" x14ac:dyDescent="0.2">
      <c r="A493" s="112">
        <v>608</v>
      </c>
      <c r="B493" s="113" t="s">
        <v>1204</v>
      </c>
      <c r="C493" s="114" t="s">
        <v>16</v>
      </c>
      <c r="D493" s="114" t="s">
        <v>16</v>
      </c>
      <c r="E493" s="115" t="s">
        <v>1284</v>
      </c>
      <c r="F493" s="115" t="s">
        <v>1285</v>
      </c>
      <c r="G493" s="115" t="s">
        <v>1802</v>
      </c>
      <c r="H493" s="113" t="s">
        <v>1207</v>
      </c>
      <c r="I493" s="114">
        <v>20.938120000000001</v>
      </c>
      <c r="J493" s="114">
        <v>-101.42243999999999</v>
      </c>
      <c r="K493" s="113" t="s">
        <v>139</v>
      </c>
      <c r="L493" s="116" t="str">
        <f t="shared" si="21"/>
        <v>Ver en Google Maps</v>
      </c>
      <c r="M493" s="113">
        <v>1</v>
      </c>
      <c r="N493" s="117">
        <v>45937</v>
      </c>
      <c r="O493" s="118">
        <f>DAY('BD1'!$N493)</f>
        <v>7</v>
      </c>
      <c r="P493" s="118">
        <f>MONTH('BD1'!$N493)</f>
        <v>10</v>
      </c>
      <c r="Q493" s="118">
        <f>YEAR('BD1'!$N493)</f>
        <v>2025</v>
      </c>
      <c r="R493" s="118">
        <v>1</v>
      </c>
      <c r="S493" s="118" t="s">
        <v>138</v>
      </c>
      <c r="T493" s="118" t="s">
        <v>138</v>
      </c>
      <c r="U493" s="118" t="s">
        <v>138</v>
      </c>
      <c r="V493" s="118" t="s">
        <v>138</v>
      </c>
      <c r="W493" s="118" t="s">
        <v>138</v>
      </c>
      <c r="X493" s="118" t="s">
        <v>138</v>
      </c>
      <c r="Y493" s="118" t="s">
        <v>138</v>
      </c>
      <c r="Z493" s="118" t="s">
        <v>138</v>
      </c>
      <c r="AA493" s="118">
        <v>78.61</v>
      </c>
      <c r="AB493" s="118">
        <v>40.020000000000003</v>
      </c>
      <c r="AC493" s="119" t="s">
        <v>967</v>
      </c>
      <c r="AD493" s="119" t="s">
        <v>1403</v>
      </c>
      <c r="AE493" s="118">
        <f t="shared" si="22"/>
        <v>8</v>
      </c>
      <c r="AF493" s="152" t="str">
        <f t="shared" si="20"/>
        <v>Estable</v>
      </c>
    </row>
    <row r="494" spans="1:32" x14ac:dyDescent="0.2">
      <c r="A494" s="121">
        <v>646</v>
      </c>
      <c r="B494" s="122" t="s">
        <v>1204</v>
      </c>
      <c r="C494" s="123" t="s">
        <v>16</v>
      </c>
      <c r="D494" s="123" t="s">
        <v>16</v>
      </c>
      <c r="E494" s="124" t="s">
        <v>1286</v>
      </c>
      <c r="F494" s="124" t="s">
        <v>1287</v>
      </c>
      <c r="G494" s="124" t="s">
        <v>1801</v>
      </c>
      <c r="H494" s="122" t="s">
        <v>1207</v>
      </c>
      <c r="I494" s="123">
        <v>20.947649999999999</v>
      </c>
      <c r="J494" s="123">
        <v>-101.42618</v>
      </c>
      <c r="K494" s="122" t="s">
        <v>139</v>
      </c>
      <c r="L494" s="125" t="str">
        <f t="shared" si="21"/>
        <v>Ver en Google Maps</v>
      </c>
      <c r="M494" s="122">
        <v>1</v>
      </c>
      <c r="N494" s="108">
        <v>45937</v>
      </c>
      <c r="O494" s="109">
        <f>DAY('BD1'!$N494)</f>
        <v>7</v>
      </c>
      <c r="P494" s="109">
        <f>MONTH('BD1'!$N494)</f>
        <v>10</v>
      </c>
      <c r="Q494" s="109">
        <f>YEAR('BD1'!$N494)</f>
        <v>2025</v>
      </c>
      <c r="R494" s="109">
        <v>1</v>
      </c>
      <c r="S494" s="109" t="s">
        <v>138</v>
      </c>
      <c r="T494" s="109" t="s">
        <v>138</v>
      </c>
      <c r="U494" s="109" t="s">
        <v>138</v>
      </c>
      <c r="V494" s="109" t="s">
        <v>138</v>
      </c>
      <c r="W494" s="109" t="s">
        <v>138</v>
      </c>
      <c r="X494" s="109" t="s">
        <v>138</v>
      </c>
      <c r="Y494" s="109" t="s">
        <v>138</v>
      </c>
      <c r="Z494" s="109" t="s">
        <v>138</v>
      </c>
      <c r="AA494" s="109">
        <v>66.680000000000007</v>
      </c>
      <c r="AB494" s="109">
        <v>44.08</v>
      </c>
      <c r="AC494" s="110" t="s">
        <v>967</v>
      </c>
      <c r="AD494" s="110" t="s">
        <v>1403</v>
      </c>
      <c r="AE494" s="109">
        <f t="shared" si="22"/>
        <v>8</v>
      </c>
      <c r="AF494" s="151" t="str">
        <f t="shared" si="20"/>
        <v>Estable</v>
      </c>
    </row>
    <row r="495" spans="1:32" x14ac:dyDescent="0.2">
      <c r="A495" s="112">
        <v>647</v>
      </c>
      <c r="B495" s="113" t="s">
        <v>1204</v>
      </c>
      <c r="C495" s="114" t="s">
        <v>16</v>
      </c>
      <c r="D495" s="114" t="s">
        <v>16</v>
      </c>
      <c r="E495" s="115" t="s">
        <v>1288</v>
      </c>
      <c r="F495" s="115" t="s">
        <v>1289</v>
      </c>
      <c r="G495" s="115" t="s">
        <v>1105</v>
      </c>
      <c r="H495" s="113" t="s">
        <v>1207</v>
      </c>
      <c r="I495" s="114">
        <v>20.938639999999999</v>
      </c>
      <c r="J495" s="114">
        <v>-101.43106</v>
      </c>
      <c r="K495" s="113" t="s">
        <v>139</v>
      </c>
      <c r="L495" s="116" t="str">
        <f t="shared" si="21"/>
        <v>Ver en Google Maps</v>
      </c>
      <c r="M495" s="113">
        <v>1</v>
      </c>
      <c r="N495" s="117">
        <v>45937</v>
      </c>
      <c r="O495" s="118">
        <f>DAY('BD1'!$N495)</f>
        <v>7</v>
      </c>
      <c r="P495" s="118">
        <f>MONTH('BD1'!$N495)</f>
        <v>10</v>
      </c>
      <c r="Q495" s="118">
        <f>YEAR('BD1'!$N495)</f>
        <v>2025</v>
      </c>
      <c r="R495" s="118">
        <v>1</v>
      </c>
      <c r="S495" s="118" t="s">
        <v>138</v>
      </c>
      <c r="T495" s="118" t="s">
        <v>138</v>
      </c>
      <c r="U495" s="118" t="s">
        <v>138</v>
      </c>
      <c r="V495" s="118" t="s">
        <v>138</v>
      </c>
      <c r="W495" s="118" t="s">
        <v>138</v>
      </c>
      <c r="X495" s="118" t="s">
        <v>138</v>
      </c>
      <c r="Y495" s="118" t="s">
        <v>138</v>
      </c>
      <c r="Z495" s="118" t="s">
        <v>138</v>
      </c>
      <c r="AA495" s="118">
        <v>14.38</v>
      </c>
      <c r="AB495" s="118">
        <v>8.6199999999999992</v>
      </c>
      <c r="AC495" s="119" t="s">
        <v>967</v>
      </c>
      <c r="AD495" s="119" t="s">
        <v>1403</v>
      </c>
      <c r="AE495" s="118">
        <f t="shared" si="22"/>
        <v>8</v>
      </c>
      <c r="AF495" s="152" t="str">
        <f t="shared" si="20"/>
        <v>Estable</v>
      </c>
    </row>
    <row r="496" spans="1:32" x14ac:dyDescent="0.2">
      <c r="A496" s="121">
        <v>648</v>
      </c>
      <c r="B496" s="122" t="s">
        <v>1204</v>
      </c>
      <c r="C496" s="123" t="s">
        <v>16</v>
      </c>
      <c r="D496" s="123" t="s">
        <v>16</v>
      </c>
      <c r="E496" s="124" t="s">
        <v>1365</v>
      </c>
      <c r="F496" s="124" t="s">
        <v>1366</v>
      </c>
      <c r="G496" s="124" t="s">
        <v>1367</v>
      </c>
      <c r="H496" s="122" t="s">
        <v>1207</v>
      </c>
      <c r="I496" s="123">
        <v>20.919332000000001</v>
      </c>
      <c r="J496" s="123">
        <v>-101.39649</v>
      </c>
      <c r="K496" s="122"/>
      <c r="L496" s="125" t="str">
        <f t="shared" si="21"/>
        <v>Ver en Google Maps</v>
      </c>
      <c r="M496" s="122">
        <v>1</v>
      </c>
      <c r="N496" s="130"/>
      <c r="O496" s="109"/>
      <c r="P496" s="109"/>
      <c r="Q496" s="109"/>
      <c r="R496" s="109"/>
      <c r="S496" s="109"/>
      <c r="T496" s="109"/>
      <c r="U496" s="109"/>
      <c r="V496" s="109"/>
      <c r="W496" s="109"/>
      <c r="X496" s="109"/>
      <c r="Y496" s="109"/>
      <c r="Z496" s="109"/>
      <c r="AA496" s="109"/>
      <c r="AB496" s="109"/>
      <c r="AC496" s="110"/>
      <c r="AD496" s="110"/>
      <c r="AE496" s="109"/>
      <c r="AF496" s="151"/>
    </row>
    <row r="497" spans="1:32" x14ac:dyDescent="0.2">
      <c r="A497" s="112">
        <v>649</v>
      </c>
      <c r="B497" s="113" t="s">
        <v>1204</v>
      </c>
      <c r="C497" s="114" t="s">
        <v>16</v>
      </c>
      <c r="D497" s="114" t="s">
        <v>16</v>
      </c>
      <c r="E497" s="115" t="s">
        <v>1290</v>
      </c>
      <c r="F497" s="115" t="s">
        <v>1291</v>
      </c>
      <c r="G497" s="115" t="s">
        <v>1801</v>
      </c>
      <c r="H497" s="113" t="s">
        <v>1207</v>
      </c>
      <c r="I497" s="114">
        <v>20.944600000000001</v>
      </c>
      <c r="J497" s="114">
        <v>-101.42062</v>
      </c>
      <c r="K497" s="113" t="s">
        <v>139</v>
      </c>
      <c r="L497" s="116" t="str">
        <f t="shared" si="21"/>
        <v>Ver en Google Maps</v>
      </c>
      <c r="M497" s="113">
        <v>1</v>
      </c>
      <c r="N497" s="117">
        <v>45937</v>
      </c>
      <c r="O497" s="118">
        <f>DAY('BD1'!$N497)</f>
        <v>7</v>
      </c>
      <c r="P497" s="118">
        <f>MONTH('BD1'!$N497)</f>
        <v>10</v>
      </c>
      <c r="Q497" s="118">
        <f>YEAR('BD1'!$N497)</f>
        <v>2025</v>
      </c>
      <c r="R497" s="118">
        <v>1</v>
      </c>
      <c r="S497" s="118" t="s">
        <v>934</v>
      </c>
      <c r="T497" s="118" t="s">
        <v>138</v>
      </c>
      <c r="U497" s="118" t="s">
        <v>138</v>
      </c>
      <c r="V497" s="118" t="s">
        <v>138</v>
      </c>
      <c r="W497" s="118" t="s">
        <v>138</v>
      </c>
      <c r="X497" s="118" t="s">
        <v>138</v>
      </c>
      <c r="Y497" s="118" t="s">
        <v>934</v>
      </c>
      <c r="Z497" s="118" t="s">
        <v>934</v>
      </c>
      <c r="AA497" s="118">
        <v>0</v>
      </c>
      <c r="AB497" s="118">
        <v>0</v>
      </c>
      <c r="AC497" s="119" t="s">
        <v>1414</v>
      </c>
      <c r="AD497" s="119" t="s">
        <v>1403</v>
      </c>
      <c r="AE497" s="118">
        <f t="shared" si="22"/>
        <v>5</v>
      </c>
      <c r="AF497" s="152" t="str">
        <f t="shared" si="20"/>
        <v>Rendimiento bajo</v>
      </c>
    </row>
    <row r="498" spans="1:32" x14ac:dyDescent="0.2">
      <c r="A498" s="121">
        <v>657</v>
      </c>
      <c r="B498" s="122" t="s">
        <v>1204</v>
      </c>
      <c r="C498" s="123" t="s">
        <v>17</v>
      </c>
      <c r="D498" s="123" t="s">
        <v>17</v>
      </c>
      <c r="E498" s="124" t="s">
        <v>1368</v>
      </c>
      <c r="F498" s="124" t="s">
        <v>1369</v>
      </c>
      <c r="G498" s="124" t="s">
        <v>979</v>
      </c>
      <c r="H498" s="122" t="s">
        <v>1207</v>
      </c>
      <c r="I498" s="123">
        <v>20.946863</v>
      </c>
      <c r="J498" s="123">
        <v>-101.436983</v>
      </c>
      <c r="K498" s="122"/>
      <c r="L498" s="125" t="str">
        <f t="shared" si="21"/>
        <v>Ver en Google Maps</v>
      </c>
      <c r="M498" s="122">
        <v>1</v>
      </c>
      <c r="N498" s="130"/>
      <c r="O498" s="109"/>
      <c r="P498" s="109"/>
      <c r="Q498" s="109"/>
      <c r="R498" s="109"/>
      <c r="S498" s="109"/>
      <c r="T498" s="109"/>
      <c r="U498" s="109"/>
      <c r="V498" s="109"/>
      <c r="W498" s="109"/>
      <c r="X498" s="109"/>
      <c r="Y498" s="109"/>
      <c r="Z498" s="109"/>
      <c r="AA498" s="109"/>
      <c r="AB498" s="109"/>
      <c r="AC498" s="110"/>
      <c r="AD498" s="110"/>
      <c r="AE498" s="109"/>
      <c r="AF498" s="151"/>
    </row>
    <row r="499" spans="1:32" x14ac:dyDescent="0.2">
      <c r="A499" s="112">
        <v>686</v>
      </c>
      <c r="B499" s="113" t="s">
        <v>1204</v>
      </c>
      <c r="C499" s="114" t="s">
        <v>16</v>
      </c>
      <c r="D499" s="114" t="s">
        <v>16</v>
      </c>
      <c r="E499" s="115" t="s">
        <v>1292</v>
      </c>
      <c r="F499" s="115" t="s">
        <v>1293</v>
      </c>
      <c r="G499" s="115" t="s">
        <v>1105</v>
      </c>
      <c r="H499" s="113" t="s">
        <v>1207</v>
      </c>
      <c r="I499" s="114">
        <v>20.941140000000001</v>
      </c>
      <c r="J499" s="114">
        <v>-101.43093</v>
      </c>
      <c r="K499" s="113" t="s">
        <v>139</v>
      </c>
      <c r="L499" s="116" t="str">
        <f t="shared" si="21"/>
        <v>Ver en Google Maps</v>
      </c>
      <c r="M499" s="113">
        <v>1</v>
      </c>
      <c r="N499" s="117">
        <v>45937</v>
      </c>
      <c r="O499" s="118">
        <f>DAY('BD1'!$N499)</f>
        <v>7</v>
      </c>
      <c r="P499" s="118">
        <f>MONTH('BD1'!$N499)</f>
        <v>10</v>
      </c>
      <c r="Q499" s="118">
        <f>YEAR('BD1'!$N499)</f>
        <v>2025</v>
      </c>
      <c r="R499" s="118">
        <v>1</v>
      </c>
      <c r="S499" s="118" t="s">
        <v>138</v>
      </c>
      <c r="T499" s="118" t="s">
        <v>138</v>
      </c>
      <c r="U499" s="118" t="s">
        <v>138</v>
      </c>
      <c r="V499" s="118" t="s">
        <v>138</v>
      </c>
      <c r="W499" s="118" t="s">
        <v>138</v>
      </c>
      <c r="X499" s="118" t="s">
        <v>138</v>
      </c>
      <c r="Y499" s="118" t="s">
        <v>138</v>
      </c>
      <c r="Z499" s="118" t="s">
        <v>138</v>
      </c>
      <c r="AA499" s="118">
        <v>35.119999999999997</v>
      </c>
      <c r="AB499" s="118">
        <v>24.78</v>
      </c>
      <c r="AC499" s="119" t="s">
        <v>967</v>
      </c>
      <c r="AD499" s="119" t="s">
        <v>1403</v>
      </c>
      <c r="AE499" s="118">
        <f t="shared" si="22"/>
        <v>8</v>
      </c>
      <c r="AF499" s="152" t="str">
        <f t="shared" si="20"/>
        <v>Estable</v>
      </c>
    </row>
    <row r="500" spans="1:32" x14ac:dyDescent="0.2">
      <c r="A500" s="121">
        <v>712</v>
      </c>
      <c r="B500" s="122" t="s">
        <v>1204</v>
      </c>
      <c r="C500" s="123" t="s">
        <v>15</v>
      </c>
      <c r="D500" s="123" t="s">
        <v>15</v>
      </c>
      <c r="E500" s="124" t="s">
        <v>1370</v>
      </c>
      <c r="F500" s="124" t="s">
        <v>1371</v>
      </c>
      <c r="G500" s="124" t="s">
        <v>1321</v>
      </c>
      <c r="H500" s="122" t="s">
        <v>1207</v>
      </c>
      <c r="I500" s="123">
        <v>20.97448</v>
      </c>
      <c r="J500" s="123">
        <v>-101.44991</v>
      </c>
      <c r="K500" s="122"/>
      <c r="L500" s="125" t="str">
        <f t="shared" si="21"/>
        <v>Ver en Google Maps</v>
      </c>
      <c r="M500" s="122">
        <v>1</v>
      </c>
      <c r="N500" s="130"/>
      <c r="O500" s="109"/>
      <c r="P500" s="109"/>
      <c r="Q500" s="109"/>
      <c r="R500" s="109"/>
      <c r="S500" s="109"/>
      <c r="T500" s="109"/>
      <c r="U500" s="109"/>
      <c r="V500" s="109"/>
      <c r="W500" s="109"/>
      <c r="X500" s="109"/>
      <c r="Y500" s="109"/>
      <c r="Z500" s="109"/>
      <c r="AA500" s="109"/>
      <c r="AB500" s="109"/>
      <c r="AC500" s="110"/>
      <c r="AD500" s="110"/>
      <c r="AE500" s="109"/>
      <c r="AF500" s="151"/>
    </row>
    <row r="501" spans="1:32" x14ac:dyDescent="0.2">
      <c r="A501" s="112">
        <v>718</v>
      </c>
      <c r="B501" s="113" t="s">
        <v>1204</v>
      </c>
      <c r="C501" s="114" t="s">
        <v>15</v>
      </c>
      <c r="D501" s="114" t="s">
        <v>15</v>
      </c>
      <c r="E501" s="115" t="s">
        <v>1294</v>
      </c>
      <c r="F501" s="115" t="s">
        <v>1295</v>
      </c>
      <c r="G501" s="115" t="s">
        <v>1800</v>
      </c>
      <c r="H501" s="113" t="s">
        <v>1207</v>
      </c>
      <c r="I501" s="114">
        <v>20.961819999999999</v>
      </c>
      <c r="J501" s="114">
        <v>-101.41694</v>
      </c>
      <c r="K501" s="113" t="s">
        <v>139</v>
      </c>
      <c r="L501" s="116" t="str">
        <f t="shared" si="21"/>
        <v>Ver en Google Maps</v>
      </c>
      <c r="M501" s="113">
        <v>1</v>
      </c>
      <c r="N501" s="117">
        <v>45937</v>
      </c>
      <c r="O501" s="118">
        <f>DAY('BD1'!$N501)</f>
        <v>7</v>
      </c>
      <c r="P501" s="118">
        <f>MONTH('BD1'!$N501)</f>
        <v>10</v>
      </c>
      <c r="Q501" s="118">
        <f>YEAR('BD1'!$N501)</f>
        <v>2025</v>
      </c>
      <c r="R501" s="118">
        <v>1</v>
      </c>
      <c r="S501" s="118" t="s">
        <v>138</v>
      </c>
      <c r="T501" s="118" t="s">
        <v>138</v>
      </c>
      <c r="U501" s="118" t="s">
        <v>138</v>
      </c>
      <c r="V501" s="118" t="s">
        <v>138</v>
      </c>
      <c r="W501" s="118" t="s">
        <v>138</v>
      </c>
      <c r="X501" s="118" t="s">
        <v>138</v>
      </c>
      <c r="Y501" s="118" t="s">
        <v>138</v>
      </c>
      <c r="Z501" s="118" t="s">
        <v>138</v>
      </c>
      <c r="AA501" s="118">
        <v>20.81</v>
      </c>
      <c r="AB501" s="118">
        <v>19.649999999999999</v>
      </c>
      <c r="AC501" s="119" t="s">
        <v>967</v>
      </c>
      <c r="AD501" s="119" t="s">
        <v>1403</v>
      </c>
      <c r="AE501" s="118">
        <f t="shared" si="22"/>
        <v>8</v>
      </c>
      <c r="AF501" s="152" t="str">
        <f t="shared" si="20"/>
        <v>Estable</v>
      </c>
    </row>
    <row r="502" spans="1:32" x14ac:dyDescent="0.2">
      <c r="A502" s="121">
        <v>726</v>
      </c>
      <c r="B502" s="122" t="s">
        <v>1204</v>
      </c>
      <c r="C502" s="123" t="s">
        <v>15</v>
      </c>
      <c r="D502" s="123" t="s">
        <v>15</v>
      </c>
      <c r="E502" s="124" t="s">
        <v>1372</v>
      </c>
      <c r="F502" s="124" t="s">
        <v>1373</v>
      </c>
      <c r="G502" s="124" t="s">
        <v>1374</v>
      </c>
      <c r="H502" s="122" t="s">
        <v>1207</v>
      </c>
      <c r="I502" s="123">
        <v>20.95064</v>
      </c>
      <c r="J502" s="123">
        <v>-101.44125</v>
      </c>
      <c r="K502" s="122"/>
      <c r="L502" s="125" t="str">
        <f t="shared" si="21"/>
        <v>Ver en Google Maps</v>
      </c>
      <c r="M502" s="122">
        <v>1</v>
      </c>
      <c r="N502" s="130"/>
      <c r="O502" s="109"/>
      <c r="P502" s="109"/>
      <c r="Q502" s="109"/>
      <c r="R502" s="109"/>
      <c r="S502" s="109"/>
      <c r="T502" s="109"/>
      <c r="U502" s="109"/>
      <c r="V502" s="109"/>
      <c r="W502" s="109"/>
      <c r="X502" s="109"/>
      <c r="Y502" s="109"/>
      <c r="Z502" s="109"/>
      <c r="AA502" s="109"/>
      <c r="AB502" s="109"/>
      <c r="AC502" s="110"/>
      <c r="AD502" s="110"/>
      <c r="AE502" s="109"/>
      <c r="AF502" s="151"/>
    </row>
    <row r="503" spans="1:32" x14ac:dyDescent="0.2">
      <c r="A503" s="112">
        <v>731</v>
      </c>
      <c r="B503" s="113" t="s">
        <v>1204</v>
      </c>
      <c r="C503" s="114" t="s">
        <v>15</v>
      </c>
      <c r="D503" s="114" t="s">
        <v>15</v>
      </c>
      <c r="E503" s="115" t="s">
        <v>1296</v>
      </c>
      <c r="F503" s="115" t="s">
        <v>1297</v>
      </c>
      <c r="G503" s="115" t="s">
        <v>83</v>
      </c>
      <c r="H503" s="113" t="s">
        <v>1207</v>
      </c>
      <c r="I503" s="114">
        <v>20.935169999999999</v>
      </c>
      <c r="J503" s="114">
        <v>-101.42085</v>
      </c>
      <c r="K503" s="113" t="s">
        <v>139</v>
      </c>
      <c r="L503" s="116" t="str">
        <f t="shared" si="21"/>
        <v>Ver en Google Maps</v>
      </c>
      <c r="M503" s="113">
        <v>1</v>
      </c>
      <c r="N503" s="117">
        <v>45937</v>
      </c>
      <c r="O503" s="118">
        <f>DAY('BD1'!$N503)</f>
        <v>7</v>
      </c>
      <c r="P503" s="118">
        <f>MONTH('BD1'!$N503)</f>
        <v>10</v>
      </c>
      <c r="Q503" s="118">
        <f>YEAR('BD1'!$N503)</f>
        <v>2025</v>
      </c>
      <c r="R503" s="118">
        <v>1</v>
      </c>
      <c r="S503" s="118" t="s">
        <v>138</v>
      </c>
      <c r="T503" s="118" t="s">
        <v>138</v>
      </c>
      <c r="U503" s="118" t="s">
        <v>138</v>
      </c>
      <c r="V503" s="118" t="s">
        <v>138</v>
      </c>
      <c r="W503" s="118" t="s">
        <v>138</v>
      </c>
      <c r="X503" s="118" t="s">
        <v>138</v>
      </c>
      <c r="Y503" s="118" t="s">
        <v>138</v>
      </c>
      <c r="Z503" s="118" t="s">
        <v>138</v>
      </c>
      <c r="AA503" s="118">
        <v>67.400000000000006</v>
      </c>
      <c r="AB503" s="118">
        <v>37.549999999999997</v>
      </c>
      <c r="AC503" s="119" t="s">
        <v>967</v>
      </c>
      <c r="AD503" s="119" t="s">
        <v>1403</v>
      </c>
      <c r="AE503" s="118">
        <f t="shared" si="22"/>
        <v>8</v>
      </c>
      <c r="AF503" s="152" t="str">
        <f t="shared" si="20"/>
        <v>Estable</v>
      </c>
    </row>
    <row r="504" spans="1:32" x14ac:dyDescent="0.2">
      <c r="A504" s="121">
        <v>748</v>
      </c>
      <c r="B504" s="122" t="s">
        <v>1204</v>
      </c>
      <c r="C504" s="123" t="s">
        <v>16</v>
      </c>
      <c r="D504" s="123" t="s">
        <v>16</v>
      </c>
      <c r="E504" s="124" t="s">
        <v>1298</v>
      </c>
      <c r="F504" s="124" t="s">
        <v>1299</v>
      </c>
      <c r="G504" s="124" t="s">
        <v>1820</v>
      </c>
      <c r="H504" s="122" t="s">
        <v>1207</v>
      </c>
      <c r="I504" s="123">
        <v>20.934013</v>
      </c>
      <c r="J504" s="123">
        <v>-101.41888</v>
      </c>
      <c r="K504" s="122" t="s">
        <v>139</v>
      </c>
      <c r="L504" s="125" t="str">
        <f t="shared" si="21"/>
        <v>Ver en Google Maps</v>
      </c>
      <c r="M504" s="122">
        <v>1</v>
      </c>
      <c r="N504" s="108">
        <v>45937</v>
      </c>
      <c r="O504" s="109">
        <f>DAY('BD1'!$N504)</f>
        <v>7</v>
      </c>
      <c r="P504" s="109">
        <f>MONTH('BD1'!$N504)</f>
        <v>10</v>
      </c>
      <c r="Q504" s="109">
        <f>YEAR('BD1'!$N504)</f>
        <v>2025</v>
      </c>
      <c r="R504" s="109">
        <v>1</v>
      </c>
      <c r="S504" s="109" t="s">
        <v>138</v>
      </c>
      <c r="T504" s="109" t="s">
        <v>138</v>
      </c>
      <c r="U504" s="109" t="s">
        <v>138</v>
      </c>
      <c r="V504" s="109" t="s">
        <v>138</v>
      </c>
      <c r="W504" s="109" t="s">
        <v>138</v>
      </c>
      <c r="X504" s="109" t="s">
        <v>138</v>
      </c>
      <c r="Y504" s="109" t="s">
        <v>138</v>
      </c>
      <c r="Z504" s="109" t="s">
        <v>138</v>
      </c>
      <c r="AA504" s="109">
        <v>31.95</v>
      </c>
      <c r="AB504" s="109">
        <v>26.78</v>
      </c>
      <c r="AC504" s="110" t="s">
        <v>967</v>
      </c>
      <c r="AD504" s="110" t="s">
        <v>1403</v>
      </c>
      <c r="AE504" s="109">
        <f t="shared" si="22"/>
        <v>8</v>
      </c>
      <c r="AF504" s="151" t="str">
        <f t="shared" si="20"/>
        <v>Estable</v>
      </c>
    </row>
    <row r="505" spans="1:32" x14ac:dyDescent="0.2">
      <c r="A505" s="112">
        <v>767</v>
      </c>
      <c r="B505" s="113" t="s">
        <v>1204</v>
      </c>
      <c r="C505" s="114" t="s">
        <v>15</v>
      </c>
      <c r="D505" s="114" t="s">
        <v>15</v>
      </c>
      <c r="E505" s="115" t="s">
        <v>1300</v>
      </c>
      <c r="F505" s="115" t="s">
        <v>1301</v>
      </c>
      <c r="G505" s="115" t="s">
        <v>1302</v>
      </c>
      <c r="H505" s="113" t="s">
        <v>1207</v>
      </c>
      <c r="I505" s="114">
        <v>20.939457999999998</v>
      </c>
      <c r="J505" s="114">
        <v>-101.41947</v>
      </c>
      <c r="K505" s="113"/>
      <c r="L505" s="116" t="str">
        <f t="shared" si="21"/>
        <v>Ver en Google Maps</v>
      </c>
      <c r="M505" s="113">
        <v>1</v>
      </c>
      <c r="N505" s="129"/>
      <c r="O505" s="118"/>
      <c r="P505" s="118"/>
      <c r="Q505" s="118"/>
      <c r="R505" s="118"/>
      <c r="S505" s="118"/>
      <c r="T505" s="118"/>
      <c r="U505" s="118"/>
      <c r="V505" s="118"/>
      <c r="W505" s="118"/>
      <c r="X505" s="118"/>
      <c r="Y505" s="118"/>
      <c r="Z505" s="118"/>
      <c r="AA505" s="118"/>
      <c r="AB505" s="118"/>
      <c r="AC505" s="119"/>
      <c r="AD505" s="119"/>
      <c r="AE505" s="118"/>
      <c r="AF505" s="152"/>
    </row>
    <row r="506" spans="1:32" x14ac:dyDescent="0.2">
      <c r="A506" s="121">
        <v>784</v>
      </c>
      <c r="B506" s="122" t="s">
        <v>1204</v>
      </c>
      <c r="C506" s="123" t="s">
        <v>17</v>
      </c>
      <c r="D506" s="123" t="s">
        <v>17</v>
      </c>
      <c r="E506" s="124" t="s">
        <v>1375</v>
      </c>
      <c r="F506" s="124" t="s">
        <v>1376</v>
      </c>
      <c r="G506" s="124" t="s">
        <v>1821</v>
      </c>
      <c r="H506" s="122" t="s">
        <v>1207</v>
      </c>
      <c r="I506" s="123">
        <v>20.923897</v>
      </c>
      <c r="J506" s="123">
        <v>-101.449575</v>
      </c>
      <c r="K506" s="122"/>
      <c r="L506" s="125" t="str">
        <f t="shared" si="21"/>
        <v>Ver en Google Maps</v>
      </c>
      <c r="M506" s="122">
        <v>1</v>
      </c>
      <c r="N506" s="130"/>
      <c r="O506" s="109"/>
      <c r="P506" s="109"/>
      <c r="Q506" s="109"/>
      <c r="R506" s="109"/>
      <c r="S506" s="109"/>
      <c r="T506" s="109"/>
      <c r="U506" s="109"/>
      <c r="V506" s="109"/>
      <c r="W506" s="109"/>
      <c r="X506" s="109"/>
      <c r="Y506" s="109"/>
      <c r="Z506" s="109"/>
      <c r="AA506" s="109"/>
      <c r="AB506" s="109"/>
      <c r="AC506" s="110"/>
      <c r="AD506" s="110"/>
      <c r="AE506" s="109"/>
      <c r="AF506" s="151"/>
    </row>
    <row r="507" spans="1:32" x14ac:dyDescent="0.2">
      <c r="A507" s="112">
        <v>787</v>
      </c>
      <c r="B507" s="113" t="s">
        <v>1204</v>
      </c>
      <c r="C507" s="114" t="s">
        <v>17</v>
      </c>
      <c r="D507" s="114" t="s">
        <v>17</v>
      </c>
      <c r="E507" s="115" t="s">
        <v>1377</v>
      </c>
      <c r="F507" s="115" t="s">
        <v>1378</v>
      </c>
      <c r="G507" s="115" t="s">
        <v>1379</v>
      </c>
      <c r="H507" s="113" t="s">
        <v>1207</v>
      </c>
      <c r="I507" s="114">
        <v>20.936050999999999</v>
      </c>
      <c r="J507" s="114">
        <v>-101.450003</v>
      </c>
      <c r="K507" s="113"/>
      <c r="L507" s="116" t="str">
        <f t="shared" si="21"/>
        <v>Ver en Google Maps</v>
      </c>
      <c r="M507" s="113">
        <v>1</v>
      </c>
      <c r="N507" s="129"/>
      <c r="O507" s="118"/>
      <c r="P507" s="118"/>
      <c r="Q507" s="118"/>
      <c r="R507" s="118"/>
      <c r="S507" s="118"/>
      <c r="T507" s="118"/>
      <c r="U507" s="118"/>
      <c r="V507" s="118"/>
      <c r="W507" s="118"/>
      <c r="X507" s="118"/>
      <c r="Y507" s="118"/>
      <c r="Z507" s="118"/>
      <c r="AA507" s="118"/>
      <c r="AB507" s="118"/>
      <c r="AC507" s="119"/>
      <c r="AD507" s="119"/>
      <c r="AE507" s="118"/>
      <c r="AF507" s="152"/>
    </row>
    <row r="508" spans="1:32" x14ac:dyDescent="0.2">
      <c r="A508" s="121">
        <v>799</v>
      </c>
      <c r="B508" s="122" t="s">
        <v>1204</v>
      </c>
      <c r="C508" s="123" t="s">
        <v>16</v>
      </c>
      <c r="D508" s="123" t="s">
        <v>16</v>
      </c>
      <c r="E508" s="124" t="s">
        <v>1380</v>
      </c>
      <c r="F508" s="124" t="s">
        <v>1381</v>
      </c>
      <c r="G508" s="124" t="s">
        <v>1382</v>
      </c>
      <c r="H508" s="122" t="s">
        <v>1207</v>
      </c>
      <c r="I508" s="123">
        <v>20.924944</v>
      </c>
      <c r="J508" s="123">
        <v>-101.45665</v>
      </c>
      <c r="K508" s="122"/>
      <c r="L508" s="125" t="str">
        <f t="shared" si="21"/>
        <v>Ver en Google Maps</v>
      </c>
      <c r="M508" s="122">
        <v>1</v>
      </c>
      <c r="N508" s="130"/>
      <c r="O508" s="109"/>
      <c r="P508" s="109"/>
      <c r="Q508" s="109"/>
      <c r="R508" s="109"/>
      <c r="S508" s="109"/>
      <c r="T508" s="109"/>
      <c r="U508" s="109"/>
      <c r="V508" s="109"/>
      <c r="W508" s="109"/>
      <c r="X508" s="109"/>
      <c r="Y508" s="109"/>
      <c r="Z508" s="109"/>
      <c r="AA508" s="109"/>
      <c r="AB508" s="109"/>
      <c r="AC508" s="110"/>
      <c r="AD508" s="110"/>
      <c r="AE508" s="109"/>
      <c r="AF508" s="151"/>
    </row>
    <row r="509" spans="1:32" x14ac:dyDescent="0.2">
      <c r="A509" s="112">
        <v>800</v>
      </c>
      <c r="B509" s="113" t="s">
        <v>1204</v>
      </c>
      <c r="C509" s="114" t="s">
        <v>14</v>
      </c>
      <c r="D509" s="114" t="s">
        <v>404</v>
      </c>
      <c r="E509" s="115" t="s">
        <v>1303</v>
      </c>
      <c r="F509" s="115" t="s">
        <v>1304</v>
      </c>
      <c r="G509" s="115" t="s">
        <v>360</v>
      </c>
      <c r="H509" s="113" t="s">
        <v>1207</v>
      </c>
      <c r="I509" s="114">
        <v>20.943404999999998</v>
      </c>
      <c r="J509" s="114">
        <v>-101.42492</v>
      </c>
      <c r="K509" s="113" t="s">
        <v>139</v>
      </c>
      <c r="L509" s="116" t="str">
        <f t="shared" si="21"/>
        <v>Ver en Google Maps</v>
      </c>
      <c r="M509" s="113">
        <v>1</v>
      </c>
      <c r="N509" s="117">
        <v>45937</v>
      </c>
      <c r="O509" s="118">
        <f>DAY('BD1'!$N509)</f>
        <v>7</v>
      </c>
      <c r="P509" s="118">
        <f>MONTH('BD1'!$N509)</f>
        <v>10</v>
      </c>
      <c r="Q509" s="118">
        <f>YEAR('BD1'!$N509)</f>
        <v>2025</v>
      </c>
      <c r="R509" s="118">
        <v>1</v>
      </c>
      <c r="S509" s="118" t="s">
        <v>138</v>
      </c>
      <c r="T509" s="118" t="s">
        <v>138</v>
      </c>
      <c r="U509" s="118" t="s">
        <v>138</v>
      </c>
      <c r="V509" s="118" t="s">
        <v>138</v>
      </c>
      <c r="W509" s="118" t="s">
        <v>138</v>
      </c>
      <c r="X509" s="118" t="s">
        <v>138</v>
      </c>
      <c r="Y509" s="118" t="s">
        <v>138</v>
      </c>
      <c r="Z509" s="118" t="s">
        <v>138</v>
      </c>
      <c r="AA509" s="118">
        <v>33.29</v>
      </c>
      <c r="AB509" s="118">
        <v>12.68</v>
      </c>
      <c r="AC509" s="119" t="s">
        <v>967</v>
      </c>
      <c r="AD509" s="119" t="s">
        <v>1403</v>
      </c>
      <c r="AE509" s="118">
        <f t="shared" si="22"/>
        <v>8</v>
      </c>
      <c r="AF509" s="152" t="str">
        <f t="shared" si="20"/>
        <v>Estable</v>
      </c>
    </row>
    <row r="510" spans="1:32" x14ac:dyDescent="0.2">
      <c r="A510" s="121">
        <v>803</v>
      </c>
      <c r="B510" s="122" t="s">
        <v>1204</v>
      </c>
      <c r="C510" s="123" t="s">
        <v>14</v>
      </c>
      <c r="D510" s="123" t="s">
        <v>404</v>
      </c>
      <c r="E510" s="124" t="s">
        <v>1305</v>
      </c>
      <c r="F510" s="124" t="s">
        <v>1306</v>
      </c>
      <c r="G510" s="124" t="s">
        <v>360</v>
      </c>
      <c r="H510" s="122" t="s">
        <v>1207</v>
      </c>
      <c r="I510" s="123">
        <v>20.94303</v>
      </c>
      <c r="J510" s="123">
        <v>-101.42771999999999</v>
      </c>
      <c r="K510" s="122" t="s">
        <v>139</v>
      </c>
      <c r="L510" s="125" t="str">
        <f t="shared" si="21"/>
        <v>Ver en Google Maps</v>
      </c>
      <c r="M510" s="122">
        <v>1</v>
      </c>
      <c r="N510" s="108">
        <v>45937</v>
      </c>
      <c r="O510" s="109">
        <f>DAY('BD1'!$N510)</f>
        <v>7</v>
      </c>
      <c r="P510" s="109">
        <f>MONTH('BD1'!$N510)</f>
        <v>10</v>
      </c>
      <c r="Q510" s="109">
        <f>YEAR('BD1'!$N510)</f>
        <v>2025</v>
      </c>
      <c r="R510" s="109">
        <v>1</v>
      </c>
      <c r="S510" s="109" t="s">
        <v>138</v>
      </c>
      <c r="T510" s="109" t="s">
        <v>138</v>
      </c>
      <c r="U510" s="109" t="s">
        <v>138</v>
      </c>
      <c r="V510" s="109" t="s">
        <v>138</v>
      </c>
      <c r="W510" s="109" t="s">
        <v>138</v>
      </c>
      <c r="X510" s="109" t="s">
        <v>138</v>
      </c>
      <c r="Y510" s="109" t="s">
        <v>138</v>
      </c>
      <c r="Z510" s="109" t="s">
        <v>138</v>
      </c>
      <c r="AA510" s="109">
        <v>14.4</v>
      </c>
      <c r="AB510" s="109">
        <v>31.22</v>
      </c>
      <c r="AC510" s="110" t="s">
        <v>1411</v>
      </c>
      <c r="AD510" s="110" t="s">
        <v>1403</v>
      </c>
      <c r="AE510" s="109">
        <f t="shared" si="22"/>
        <v>8</v>
      </c>
      <c r="AF510" s="151" t="str">
        <f t="shared" si="20"/>
        <v>Estable</v>
      </c>
    </row>
    <row r="511" spans="1:32" x14ac:dyDescent="0.2">
      <c r="A511" s="112">
        <v>847</v>
      </c>
      <c r="B511" s="113" t="s">
        <v>1204</v>
      </c>
      <c r="C511" s="114" t="s">
        <v>1279</v>
      </c>
      <c r="D511" s="114" t="s">
        <v>404</v>
      </c>
      <c r="E511" s="115" t="s">
        <v>1307</v>
      </c>
      <c r="F511" s="115" t="s">
        <v>1308</v>
      </c>
      <c r="G511" s="115" t="s">
        <v>1105</v>
      </c>
      <c r="H511" s="113" t="s">
        <v>1207</v>
      </c>
      <c r="I511" s="114">
        <v>20.944410000000001</v>
      </c>
      <c r="J511" s="114">
        <v>-101.428864</v>
      </c>
      <c r="K511" s="113" t="s">
        <v>139</v>
      </c>
      <c r="L511" s="116" t="str">
        <f t="shared" si="21"/>
        <v>Ver en Google Maps</v>
      </c>
      <c r="M511" s="113">
        <v>1</v>
      </c>
      <c r="N511" s="117">
        <v>45937</v>
      </c>
      <c r="O511" s="118">
        <f>DAY('BD1'!$N511)</f>
        <v>7</v>
      </c>
      <c r="P511" s="118">
        <f>MONTH('BD1'!$N511)</f>
        <v>10</v>
      </c>
      <c r="Q511" s="118">
        <f>YEAR('BD1'!$N511)</f>
        <v>2025</v>
      </c>
      <c r="R511" s="118">
        <v>1</v>
      </c>
      <c r="S511" s="118" t="s">
        <v>138</v>
      </c>
      <c r="T511" s="118" t="s">
        <v>138</v>
      </c>
      <c r="U511" s="118" t="s">
        <v>138</v>
      </c>
      <c r="V511" s="118" t="s">
        <v>138</v>
      </c>
      <c r="W511" s="118" t="s">
        <v>138</v>
      </c>
      <c r="X511" s="118" t="s">
        <v>138</v>
      </c>
      <c r="Y511" s="118" t="s">
        <v>138</v>
      </c>
      <c r="Z511" s="118" t="s">
        <v>138</v>
      </c>
      <c r="AA511" s="118">
        <v>33.590000000000003</v>
      </c>
      <c r="AB511" s="118">
        <v>15</v>
      </c>
      <c r="AC511" s="119" t="s">
        <v>967</v>
      </c>
      <c r="AD511" s="119" t="s">
        <v>1403</v>
      </c>
      <c r="AE511" s="118">
        <f t="shared" si="22"/>
        <v>8</v>
      </c>
      <c r="AF511" s="152" t="str">
        <f t="shared" si="20"/>
        <v>Estable</v>
      </c>
    </row>
    <row r="512" spans="1:32" x14ac:dyDescent="0.2">
      <c r="A512" s="121">
        <v>849</v>
      </c>
      <c r="B512" s="122" t="s">
        <v>1204</v>
      </c>
      <c r="C512" s="123" t="s">
        <v>1383</v>
      </c>
      <c r="D512" s="123" t="s">
        <v>404</v>
      </c>
      <c r="E512" s="124" t="s">
        <v>1384</v>
      </c>
      <c r="F512" s="124" t="s">
        <v>1385</v>
      </c>
      <c r="G512" s="124" t="s">
        <v>1822</v>
      </c>
      <c r="H512" s="122" t="s">
        <v>1207</v>
      </c>
      <c r="I512" s="123">
        <v>20.943840000000002</v>
      </c>
      <c r="J512" s="123">
        <v>-101.40441</v>
      </c>
      <c r="K512" s="122"/>
      <c r="L512" s="125" t="str">
        <f t="shared" si="21"/>
        <v>Ver en Google Maps</v>
      </c>
      <c r="M512" s="122">
        <v>2</v>
      </c>
      <c r="N512" s="130"/>
      <c r="O512" s="109"/>
      <c r="P512" s="109"/>
      <c r="Q512" s="109"/>
      <c r="R512" s="109"/>
      <c r="S512" s="109"/>
      <c r="T512" s="109"/>
      <c r="U512" s="109"/>
      <c r="V512" s="109"/>
      <c r="W512" s="109"/>
      <c r="X512" s="109"/>
      <c r="Y512" s="109"/>
      <c r="Z512" s="109"/>
      <c r="AA512" s="109"/>
      <c r="AB512" s="109"/>
      <c r="AC512" s="110"/>
      <c r="AD512" s="110"/>
      <c r="AE512" s="109"/>
      <c r="AF512" s="151"/>
    </row>
    <row r="513" spans="1:32" x14ac:dyDescent="0.2">
      <c r="A513" s="112">
        <v>853</v>
      </c>
      <c r="B513" s="113" t="s">
        <v>1204</v>
      </c>
      <c r="C513" s="114" t="s">
        <v>87</v>
      </c>
      <c r="D513" s="114" t="s">
        <v>404</v>
      </c>
      <c r="E513" s="115" t="s">
        <v>1386</v>
      </c>
      <c r="F513" s="115" t="s">
        <v>1387</v>
      </c>
      <c r="G513" s="115" t="s">
        <v>1388</v>
      </c>
      <c r="H513" s="113" t="s">
        <v>1207</v>
      </c>
      <c r="I513" s="114">
        <v>20.950858</v>
      </c>
      <c r="J513" s="114">
        <v>-101.4096</v>
      </c>
      <c r="K513" s="113"/>
      <c r="L513" s="116" t="str">
        <f t="shared" si="21"/>
        <v>Ver en Google Maps</v>
      </c>
      <c r="M513" s="113">
        <v>2</v>
      </c>
      <c r="N513" s="129"/>
      <c r="O513" s="118"/>
      <c r="P513" s="118"/>
      <c r="Q513" s="118"/>
      <c r="R513" s="118"/>
      <c r="S513" s="118"/>
      <c r="T513" s="118"/>
      <c r="U513" s="118"/>
      <c r="V513" s="118"/>
      <c r="W513" s="118"/>
      <c r="X513" s="118"/>
      <c r="Y513" s="118"/>
      <c r="Z513" s="118"/>
      <c r="AA513" s="118"/>
      <c r="AB513" s="118"/>
      <c r="AC513" s="119"/>
      <c r="AD513" s="119"/>
      <c r="AE513" s="118"/>
      <c r="AF513" s="152"/>
    </row>
    <row r="514" spans="1:32" x14ac:dyDescent="0.2">
      <c r="A514" s="121">
        <v>871</v>
      </c>
      <c r="B514" s="122" t="s">
        <v>1204</v>
      </c>
      <c r="C514" s="123" t="s">
        <v>14</v>
      </c>
      <c r="D514" s="123" t="s">
        <v>735</v>
      </c>
      <c r="E514" s="124" t="s">
        <v>1389</v>
      </c>
      <c r="F514" s="124" t="s">
        <v>1390</v>
      </c>
      <c r="G514" s="124" t="s">
        <v>1823</v>
      </c>
      <c r="H514" s="122" t="s">
        <v>1207</v>
      </c>
      <c r="I514" s="123">
        <v>20.959503000000002</v>
      </c>
      <c r="J514" s="123">
        <v>-101.414338</v>
      </c>
      <c r="K514" s="122" t="s">
        <v>139</v>
      </c>
      <c r="L514" s="125" t="str">
        <f t="shared" si="21"/>
        <v>Ver en Google Maps</v>
      </c>
      <c r="M514" s="122">
        <v>2</v>
      </c>
      <c r="N514" s="108">
        <v>45937</v>
      </c>
      <c r="O514" s="109">
        <f>DAY('BD1'!$N514)</f>
        <v>7</v>
      </c>
      <c r="P514" s="109">
        <f>MONTH('BD1'!$N514)</f>
        <v>10</v>
      </c>
      <c r="Q514" s="109">
        <f>YEAR('BD1'!$N514)</f>
        <v>2025</v>
      </c>
      <c r="R514" s="109">
        <v>1</v>
      </c>
      <c r="S514" s="109" t="s">
        <v>138</v>
      </c>
      <c r="T514" s="109" t="s">
        <v>138</v>
      </c>
      <c r="U514" s="109" t="s">
        <v>138</v>
      </c>
      <c r="V514" s="109" t="s">
        <v>138</v>
      </c>
      <c r="W514" s="109" t="s">
        <v>138</v>
      </c>
      <c r="X514" s="109" t="s">
        <v>138</v>
      </c>
      <c r="Y514" s="109" t="s">
        <v>138</v>
      </c>
      <c r="Z514" s="109" t="s">
        <v>138</v>
      </c>
      <c r="AA514" s="109">
        <v>83.51</v>
      </c>
      <c r="AB514" s="109">
        <v>69.900000000000006</v>
      </c>
      <c r="AC514" s="110" t="s">
        <v>967</v>
      </c>
      <c r="AD514" s="110" t="s">
        <v>1403</v>
      </c>
      <c r="AE514" s="109">
        <f t="shared" si="22"/>
        <v>8</v>
      </c>
      <c r="AF514" s="151" t="str">
        <f t="shared" ref="AF514:AF577" si="23">IF(AE514=8,"Estable",(IF(AE514=7,"Funcional con observaciones", (IF(AE514=6,"Funcional con observaciones",(IF(AE514=5,"Rendimiento bajo",(IF(AE514=4,"Parcialmente funcional",(IF(AE514=3,"Parcialmente funcional",(IF(AE514=2,"Inoperativo",(IF(AE514=1,"Inoperativo","Crítico")))))))))))))))</f>
        <v>Estable</v>
      </c>
    </row>
    <row r="515" spans="1:32" x14ac:dyDescent="0.2">
      <c r="A515" s="112">
        <v>872</v>
      </c>
      <c r="B515" s="113" t="s">
        <v>1204</v>
      </c>
      <c r="C515" s="114" t="s">
        <v>14</v>
      </c>
      <c r="D515" s="114" t="s">
        <v>735</v>
      </c>
      <c r="E515" s="115" t="s">
        <v>1309</v>
      </c>
      <c r="F515" s="115" t="s">
        <v>1310</v>
      </c>
      <c r="G515" s="115" t="s">
        <v>1824</v>
      </c>
      <c r="H515" s="113" t="s">
        <v>1207</v>
      </c>
      <c r="I515" s="114">
        <v>20.935818999999999</v>
      </c>
      <c r="J515" s="114">
        <v>-101.425961</v>
      </c>
      <c r="K515" s="113" t="s">
        <v>139</v>
      </c>
      <c r="L515" s="116" t="str">
        <f t="shared" si="21"/>
        <v>Ver en Google Maps</v>
      </c>
      <c r="M515" s="113">
        <v>2</v>
      </c>
      <c r="N515" s="117">
        <v>45937</v>
      </c>
      <c r="O515" s="118">
        <f>DAY('BD1'!$N515)</f>
        <v>7</v>
      </c>
      <c r="P515" s="118">
        <f>MONTH('BD1'!$N515)</f>
        <v>10</v>
      </c>
      <c r="Q515" s="118">
        <f>YEAR('BD1'!$N515)</f>
        <v>2025</v>
      </c>
      <c r="R515" s="118">
        <v>1</v>
      </c>
      <c r="S515" s="118" t="s">
        <v>138</v>
      </c>
      <c r="T515" s="118" t="s">
        <v>138</v>
      </c>
      <c r="U515" s="118" t="s">
        <v>138</v>
      </c>
      <c r="V515" s="118" t="s">
        <v>138</v>
      </c>
      <c r="W515" s="118" t="s">
        <v>138</v>
      </c>
      <c r="X515" s="118" t="s">
        <v>138</v>
      </c>
      <c r="Y515" s="118" t="s">
        <v>138</v>
      </c>
      <c r="Z515" s="118" t="s">
        <v>138</v>
      </c>
      <c r="AA515" s="118">
        <v>45.74</v>
      </c>
      <c r="AB515" s="118">
        <v>56.49</v>
      </c>
      <c r="AC515" s="119" t="s">
        <v>967</v>
      </c>
      <c r="AD515" s="119" t="s">
        <v>1403</v>
      </c>
      <c r="AE515" s="118">
        <f t="shared" si="22"/>
        <v>8</v>
      </c>
      <c r="AF515" s="152" t="str">
        <f t="shared" si="23"/>
        <v>Estable</v>
      </c>
    </row>
    <row r="516" spans="1:32" x14ac:dyDescent="0.2">
      <c r="A516" s="121">
        <v>884</v>
      </c>
      <c r="B516" s="122" t="s">
        <v>1204</v>
      </c>
      <c r="C516" s="123" t="s">
        <v>14</v>
      </c>
      <c r="D516" s="123" t="s">
        <v>404</v>
      </c>
      <c r="E516" s="124" t="s">
        <v>1311</v>
      </c>
      <c r="F516" s="124" t="s">
        <v>1312</v>
      </c>
      <c r="G516" s="124" t="s">
        <v>360</v>
      </c>
      <c r="H516" s="122" t="s">
        <v>1207</v>
      </c>
      <c r="I516" s="123">
        <v>20.943110999999998</v>
      </c>
      <c r="J516" s="123">
        <v>-101.42522</v>
      </c>
      <c r="K516" s="122" t="s">
        <v>139</v>
      </c>
      <c r="L516" s="125" t="str">
        <f t="shared" si="21"/>
        <v>Ver en Google Maps</v>
      </c>
      <c r="M516" s="122">
        <v>1</v>
      </c>
      <c r="N516" s="108">
        <v>45937</v>
      </c>
      <c r="O516" s="109">
        <f>DAY('BD1'!$N516)</f>
        <v>7</v>
      </c>
      <c r="P516" s="109">
        <f>MONTH('BD1'!$N516)</f>
        <v>10</v>
      </c>
      <c r="Q516" s="109">
        <f>YEAR('BD1'!$N516)</f>
        <v>2025</v>
      </c>
      <c r="R516" s="109">
        <v>1</v>
      </c>
      <c r="S516" s="109" t="s">
        <v>138</v>
      </c>
      <c r="T516" s="109" t="s">
        <v>138</v>
      </c>
      <c r="U516" s="109" t="s">
        <v>138</v>
      </c>
      <c r="V516" s="109" t="s">
        <v>138</v>
      </c>
      <c r="W516" s="109" t="s">
        <v>138</v>
      </c>
      <c r="X516" s="109" t="s">
        <v>138</v>
      </c>
      <c r="Y516" s="109" t="s">
        <v>138</v>
      </c>
      <c r="Z516" s="109" t="s">
        <v>138</v>
      </c>
      <c r="AA516" s="109">
        <v>42.32</v>
      </c>
      <c r="AB516" s="109">
        <v>46.33</v>
      </c>
      <c r="AC516" s="110" t="s">
        <v>967</v>
      </c>
      <c r="AD516" s="110" t="s">
        <v>1403</v>
      </c>
      <c r="AE516" s="109">
        <f t="shared" si="22"/>
        <v>8</v>
      </c>
      <c r="AF516" s="151" t="str">
        <f t="shared" si="23"/>
        <v>Estable</v>
      </c>
    </row>
    <row r="517" spans="1:32" x14ac:dyDescent="0.2">
      <c r="A517" s="112">
        <v>909</v>
      </c>
      <c r="B517" s="113" t="s">
        <v>1204</v>
      </c>
      <c r="C517" s="114" t="s">
        <v>14</v>
      </c>
      <c r="D517" s="114" t="s">
        <v>404</v>
      </c>
      <c r="E517" s="115" t="s">
        <v>1313</v>
      </c>
      <c r="F517" s="115" t="s">
        <v>1314</v>
      </c>
      <c r="G517" s="115" t="s">
        <v>360</v>
      </c>
      <c r="H517" s="113" t="s">
        <v>1207</v>
      </c>
      <c r="I517" s="114">
        <v>20.942916</v>
      </c>
      <c r="J517" s="114">
        <v>-101.42637999999999</v>
      </c>
      <c r="K517" s="113"/>
      <c r="L517" s="116" t="str">
        <f t="shared" si="21"/>
        <v>Ver en Google Maps</v>
      </c>
      <c r="M517" s="113">
        <v>1</v>
      </c>
      <c r="N517" s="129"/>
      <c r="O517" s="118"/>
      <c r="P517" s="118"/>
      <c r="Q517" s="118"/>
      <c r="R517" s="118"/>
      <c r="S517" s="118"/>
      <c r="T517" s="118"/>
      <c r="U517" s="118"/>
      <c r="V517" s="118"/>
      <c r="W517" s="118"/>
      <c r="X517" s="118"/>
      <c r="Y517" s="118"/>
      <c r="Z517" s="118"/>
      <c r="AA517" s="118"/>
      <c r="AB517" s="118"/>
      <c r="AC517" s="119"/>
      <c r="AD517" s="119"/>
      <c r="AE517" s="118"/>
      <c r="AF517" s="152"/>
    </row>
    <row r="518" spans="1:32" x14ac:dyDescent="0.2">
      <c r="A518" s="121">
        <v>940</v>
      </c>
      <c r="B518" s="122" t="s">
        <v>1204</v>
      </c>
      <c r="C518" s="123" t="s">
        <v>336</v>
      </c>
      <c r="D518" s="123" t="s">
        <v>132</v>
      </c>
      <c r="E518" s="124" t="s">
        <v>1391</v>
      </c>
      <c r="F518" s="124" t="s">
        <v>1392</v>
      </c>
      <c r="G518" s="124" t="s">
        <v>1805</v>
      </c>
      <c r="H518" s="122" t="s">
        <v>1207</v>
      </c>
      <c r="I518" s="123">
        <v>20.92251422</v>
      </c>
      <c r="J518" s="123">
        <v>-101.4440711</v>
      </c>
      <c r="K518" s="122"/>
      <c r="L518" s="125" t="str">
        <f t="shared" ref="L518:L585" si="24">HYPERLINK("https://www.google.com/maps?q=" &amp; I518 &amp; "," &amp; J518, "Ver en Google Maps")</f>
        <v>Ver en Google Maps</v>
      </c>
      <c r="M518" s="122">
        <v>2</v>
      </c>
      <c r="N518" s="130"/>
      <c r="O518" s="109"/>
      <c r="P518" s="109"/>
      <c r="Q518" s="109"/>
      <c r="R518" s="109"/>
      <c r="S518" s="109"/>
      <c r="T518" s="109"/>
      <c r="U518" s="109"/>
      <c r="V518" s="109"/>
      <c r="W518" s="109"/>
      <c r="X518" s="109"/>
      <c r="Y518" s="109"/>
      <c r="Z518" s="109"/>
      <c r="AA518" s="109"/>
      <c r="AB518" s="109"/>
      <c r="AC518" s="110"/>
      <c r="AD518" s="110"/>
      <c r="AE518" s="109"/>
      <c r="AF518" s="151"/>
    </row>
    <row r="519" spans="1:32" x14ac:dyDescent="0.2">
      <c r="A519" s="112">
        <v>955</v>
      </c>
      <c r="B519" s="113" t="s">
        <v>1204</v>
      </c>
      <c r="C519" s="114" t="s">
        <v>132</v>
      </c>
      <c r="D519" s="114" t="s">
        <v>132</v>
      </c>
      <c r="E519" s="115" t="s">
        <v>1315</v>
      </c>
      <c r="F519" s="115" t="s">
        <v>1316</v>
      </c>
      <c r="G519" s="115" t="s">
        <v>1800</v>
      </c>
      <c r="H519" s="113" t="s">
        <v>1207</v>
      </c>
      <c r="I519" s="114">
        <v>20.964094559999999</v>
      </c>
      <c r="J519" s="114">
        <v>-101.4185951</v>
      </c>
      <c r="K519" s="113"/>
      <c r="L519" s="116" t="str">
        <f t="shared" si="24"/>
        <v>Ver en Google Maps</v>
      </c>
      <c r="M519" s="113">
        <v>3</v>
      </c>
      <c r="N519" s="129"/>
      <c r="O519" s="118"/>
      <c r="P519" s="118"/>
      <c r="Q519" s="118"/>
      <c r="R519" s="118"/>
      <c r="S519" s="118"/>
      <c r="T519" s="118"/>
      <c r="U519" s="118"/>
      <c r="V519" s="118"/>
      <c r="W519" s="118"/>
      <c r="X519" s="118"/>
      <c r="Y519" s="118"/>
      <c r="Z519" s="118"/>
      <c r="AA519" s="118"/>
      <c r="AB519" s="118"/>
      <c r="AC519" s="119"/>
      <c r="AD519" s="119"/>
      <c r="AE519" s="118"/>
      <c r="AF519" s="152"/>
    </row>
    <row r="520" spans="1:32" x14ac:dyDescent="0.2">
      <c r="A520" s="121">
        <v>999</v>
      </c>
      <c r="B520" s="122" t="s">
        <v>1204</v>
      </c>
      <c r="C520" s="123" t="s">
        <v>87</v>
      </c>
      <c r="D520" s="123" t="s">
        <v>805</v>
      </c>
      <c r="E520" s="124" t="s">
        <v>1393</v>
      </c>
      <c r="F520" s="124" t="s">
        <v>1394</v>
      </c>
      <c r="G520" s="124" t="s">
        <v>1395</v>
      </c>
      <c r="H520" s="122" t="s">
        <v>1207</v>
      </c>
      <c r="I520" s="123">
        <v>20.9422</v>
      </c>
      <c r="J520" s="123">
        <v>-101.465</v>
      </c>
      <c r="K520" s="122"/>
      <c r="L520" s="125" t="str">
        <f t="shared" si="24"/>
        <v>Ver en Google Maps</v>
      </c>
      <c r="M520" s="122">
        <v>2</v>
      </c>
      <c r="N520" s="130"/>
      <c r="O520" s="109"/>
      <c r="P520" s="109"/>
      <c r="Q520" s="109"/>
      <c r="R520" s="109"/>
      <c r="S520" s="109"/>
      <c r="T520" s="109"/>
      <c r="U520" s="109"/>
      <c r="V520" s="109"/>
      <c r="W520" s="109"/>
      <c r="X520" s="109"/>
      <c r="Y520" s="109"/>
      <c r="Z520" s="109"/>
      <c r="AA520" s="109"/>
      <c r="AB520" s="109"/>
      <c r="AC520" s="110"/>
      <c r="AD520" s="110"/>
      <c r="AE520" s="109"/>
      <c r="AF520" s="151"/>
    </row>
    <row r="521" spans="1:32" x14ac:dyDescent="0.2">
      <c r="A521" s="112">
        <v>1010</v>
      </c>
      <c r="B521" s="113" t="s">
        <v>1204</v>
      </c>
      <c r="C521" s="114" t="s">
        <v>87</v>
      </c>
      <c r="D521" s="114" t="s">
        <v>782</v>
      </c>
      <c r="E521" s="115" t="s">
        <v>1396</v>
      </c>
      <c r="F521" s="115" t="s">
        <v>1397</v>
      </c>
      <c r="G521" s="115" t="s">
        <v>1825</v>
      </c>
      <c r="H521" s="113" t="s">
        <v>1207</v>
      </c>
      <c r="I521" s="114">
        <v>20.953728000000002</v>
      </c>
      <c r="J521" s="114">
        <v>-101.40996</v>
      </c>
      <c r="K521" s="113"/>
      <c r="L521" s="116" t="str">
        <f t="shared" si="24"/>
        <v>Ver en Google Maps</v>
      </c>
      <c r="M521" s="113">
        <v>2</v>
      </c>
      <c r="N521" s="129"/>
      <c r="O521" s="118"/>
      <c r="P521" s="118"/>
      <c r="Q521" s="118"/>
      <c r="R521" s="118"/>
      <c r="S521" s="118"/>
      <c r="T521" s="118"/>
      <c r="U521" s="118"/>
      <c r="V521" s="118"/>
      <c r="W521" s="118"/>
      <c r="X521" s="118"/>
      <c r="Y521" s="118"/>
      <c r="Z521" s="118"/>
      <c r="AA521" s="118"/>
      <c r="AB521" s="118"/>
      <c r="AC521" s="119"/>
      <c r="AD521" s="119"/>
      <c r="AE521" s="118"/>
      <c r="AF521" s="152"/>
    </row>
    <row r="522" spans="1:32" x14ac:dyDescent="0.2">
      <c r="A522" s="121">
        <v>1080</v>
      </c>
      <c r="B522" s="122" t="s">
        <v>1204</v>
      </c>
      <c r="C522" s="123" t="s">
        <v>336</v>
      </c>
      <c r="D522" s="123" t="s">
        <v>336</v>
      </c>
      <c r="E522" s="124" t="s">
        <v>1398</v>
      </c>
      <c r="F522" s="124" t="s">
        <v>1399</v>
      </c>
      <c r="G522" s="124" t="s">
        <v>1826</v>
      </c>
      <c r="H522" s="122" t="s">
        <v>1207</v>
      </c>
      <c r="I522" s="123">
        <v>20.928149999999999</v>
      </c>
      <c r="J522" s="123">
        <v>-101.44673</v>
      </c>
      <c r="K522" s="122"/>
      <c r="L522" s="125" t="str">
        <f t="shared" si="24"/>
        <v>Ver en Google Maps</v>
      </c>
      <c r="M522" s="122">
        <v>3</v>
      </c>
      <c r="N522" s="130"/>
      <c r="O522" s="109"/>
      <c r="P522" s="109"/>
      <c r="Q522" s="109"/>
      <c r="R522" s="109"/>
      <c r="S522" s="109"/>
      <c r="T522" s="109"/>
      <c r="U522" s="109"/>
      <c r="V522" s="109"/>
      <c r="W522" s="109"/>
      <c r="X522" s="109"/>
      <c r="Y522" s="109"/>
      <c r="Z522" s="109"/>
      <c r="AA522" s="109"/>
      <c r="AB522" s="109"/>
      <c r="AC522" s="110"/>
      <c r="AD522" s="110"/>
      <c r="AE522" s="109"/>
      <c r="AF522" s="151"/>
    </row>
    <row r="523" spans="1:32" x14ac:dyDescent="0.2">
      <c r="A523" s="112">
        <v>1087</v>
      </c>
      <c r="B523" s="113" t="s">
        <v>1204</v>
      </c>
      <c r="C523" s="114" t="s">
        <v>14</v>
      </c>
      <c r="D523" s="114" t="s">
        <v>404</v>
      </c>
      <c r="E523" s="115" t="s">
        <v>1317</v>
      </c>
      <c r="F523" s="115" t="s">
        <v>1318</v>
      </c>
      <c r="G523" s="115" t="s">
        <v>360</v>
      </c>
      <c r="H523" s="113" t="s">
        <v>1207</v>
      </c>
      <c r="I523" s="114">
        <v>20.944531399999999</v>
      </c>
      <c r="J523" s="114">
        <v>-101.4262856</v>
      </c>
      <c r="K523" s="113" t="s">
        <v>139</v>
      </c>
      <c r="L523" s="116" t="str">
        <f t="shared" si="24"/>
        <v>Ver en Google Maps</v>
      </c>
      <c r="M523" s="113">
        <v>1</v>
      </c>
      <c r="N523" s="117">
        <v>45937</v>
      </c>
      <c r="O523" s="118">
        <f>DAY('BD1'!$N523)</f>
        <v>7</v>
      </c>
      <c r="P523" s="118">
        <f>MONTH('BD1'!$N523)</f>
        <v>10</v>
      </c>
      <c r="Q523" s="118">
        <f>YEAR('BD1'!$N523)</f>
        <v>2025</v>
      </c>
      <c r="R523" s="118">
        <v>1</v>
      </c>
      <c r="S523" s="118" t="s">
        <v>138</v>
      </c>
      <c r="T523" s="118" t="s">
        <v>138</v>
      </c>
      <c r="U523" s="118" t="s">
        <v>138</v>
      </c>
      <c r="V523" s="118" t="s">
        <v>138</v>
      </c>
      <c r="W523" s="118" t="s">
        <v>138</v>
      </c>
      <c r="X523" s="118" t="s">
        <v>138</v>
      </c>
      <c r="Y523" s="118" t="s">
        <v>138</v>
      </c>
      <c r="Z523" s="118" t="s">
        <v>934</v>
      </c>
      <c r="AA523" s="118">
        <v>7.19</v>
      </c>
      <c r="AB523" s="118">
        <v>31.19</v>
      </c>
      <c r="AC523" s="119" t="s">
        <v>1412</v>
      </c>
      <c r="AD523" s="119" t="s">
        <v>1403</v>
      </c>
      <c r="AE523" s="118">
        <f t="shared" ref="AE523:AE540" si="25">COUNTIF(S523:Z523, "si")</f>
        <v>7</v>
      </c>
      <c r="AF523" s="152" t="str">
        <f t="shared" si="23"/>
        <v>Funcional con observaciones</v>
      </c>
    </row>
    <row r="524" spans="1:32" ht="12.75" thickBot="1" x14ac:dyDescent="0.25">
      <c r="A524" s="121">
        <v>1109</v>
      </c>
      <c r="B524" s="122" t="s">
        <v>1204</v>
      </c>
      <c r="C524" s="123" t="s">
        <v>132</v>
      </c>
      <c r="D524" s="123" t="s">
        <v>132</v>
      </c>
      <c r="E524" s="124" t="s">
        <v>1400</v>
      </c>
      <c r="F524" s="124" t="s">
        <v>1401</v>
      </c>
      <c r="G524" s="124" t="s">
        <v>1332</v>
      </c>
      <c r="H524" s="122" t="s">
        <v>1207</v>
      </c>
      <c r="I524" s="123">
        <v>20.919789999999999</v>
      </c>
      <c r="J524" s="123">
        <v>-101.39901</v>
      </c>
      <c r="K524" s="122"/>
      <c r="L524" s="125" t="str">
        <f t="shared" si="24"/>
        <v>Ver en Google Maps</v>
      </c>
      <c r="M524" s="122">
        <v>2</v>
      </c>
      <c r="N524" s="130"/>
      <c r="O524" s="109"/>
      <c r="P524" s="109"/>
      <c r="Q524" s="109"/>
      <c r="R524" s="109"/>
      <c r="S524" s="109"/>
      <c r="T524" s="109"/>
      <c r="U524" s="109"/>
      <c r="V524" s="109"/>
      <c r="W524" s="109"/>
      <c r="X524" s="109"/>
      <c r="Y524" s="109"/>
      <c r="Z524" s="109"/>
      <c r="AA524" s="109"/>
      <c r="AB524" s="109"/>
      <c r="AC524" s="110"/>
      <c r="AD524" s="110"/>
      <c r="AE524" s="109"/>
      <c r="AF524" s="151"/>
    </row>
    <row r="525" spans="1:32" ht="12.75" thickBot="1" x14ac:dyDescent="0.25">
      <c r="A525" s="132" t="s">
        <v>2420</v>
      </c>
      <c r="B525" s="133" t="s">
        <v>1204</v>
      </c>
      <c r="C525" s="134" t="s">
        <v>7</v>
      </c>
      <c r="D525" s="134" t="s">
        <v>404</v>
      </c>
      <c r="E525" s="135" t="s">
        <v>1426</v>
      </c>
      <c r="F525" s="135" t="s">
        <v>1427</v>
      </c>
      <c r="G525" s="135" t="s">
        <v>1827</v>
      </c>
      <c r="H525" s="133" t="s">
        <v>1428</v>
      </c>
      <c r="I525" s="134">
        <v>20.527583</v>
      </c>
      <c r="J525" s="134">
        <v>-100.81063899999999</v>
      </c>
      <c r="K525" s="133" t="s">
        <v>139</v>
      </c>
      <c r="L525" s="136" t="str">
        <f t="shared" si="24"/>
        <v>Ver en Google Maps</v>
      </c>
      <c r="M525" s="133">
        <v>2</v>
      </c>
      <c r="N525" s="117">
        <v>45941</v>
      </c>
      <c r="O525" s="118">
        <f>DAY('BD1'!$N525)</f>
        <v>11</v>
      </c>
      <c r="P525" s="118">
        <f>MONTH('BD1'!$N525)</f>
        <v>10</v>
      </c>
      <c r="Q525" s="118">
        <f>YEAR('BD1'!$N525)</f>
        <v>2025</v>
      </c>
      <c r="R525" s="118">
        <v>1</v>
      </c>
      <c r="S525" s="118" t="s">
        <v>138</v>
      </c>
      <c r="T525" s="118" t="s">
        <v>138</v>
      </c>
      <c r="U525" s="118" t="s">
        <v>138</v>
      </c>
      <c r="V525" s="118" t="s">
        <v>138</v>
      </c>
      <c r="W525" s="118" t="s">
        <v>138</v>
      </c>
      <c r="X525" s="118" t="s">
        <v>138</v>
      </c>
      <c r="Y525" s="118" t="s">
        <v>138</v>
      </c>
      <c r="Z525" s="118" t="s">
        <v>138</v>
      </c>
      <c r="AA525" s="118">
        <v>44.9</v>
      </c>
      <c r="AB525" s="118">
        <v>23.3</v>
      </c>
      <c r="AC525" s="119" t="s">
        <v>967</v>
      </c>
      <c r="AD525" s="119" t="s">
        <v>1403</v>
      </c>
      <c r="AE525" s="118">
        <f t="shared" si="25"/>
        <v>8</v>
      </c>
      <c r="AF525" s="152" t="str">
        <f t="shared" si="23"/>
        <v>Estable</v>
      </c>
    </row>
    <row r="526" spans="1:32" x14ac:dyDescent="0.2">
      <c r="A526" s="121" t="s">
        <v>2421</v>
      </c>
      <c r="B526" s="104" t="s">
        <v>1204</v>
      </c>
      <c r="C526" s="105" t="s">
        <v>7</v>
      </c>
      <c r="D526" s="105" t="s">
        <v>404</v>
      </c>
      <c r="E526" s="106" t="s">
        <v>1426</v>
      </c>
      <c r="F526" s="106" t="s">
        <v>1427</v>
      </c>
      <c r="G526" s="106" t="s">
        <v>1827</v>
      </c>
      <c r="H526" s="104" t="s">
        <v>1428</v>
      </c>
      <c r="I526" s="105">
        <v>20.527583</v>
      </c>
      <c r="J526" s="105">
        <v>-100.81063899999999</v>
      </c>
      <c r="K526" s="104" t="s">
        <v>139</v>
      </c>
      <c r="L526" s="107" t="str">
        <f t="shared" si="24"/>
        <v>Ver en Google Maps</v>
      </c>
      <c r="M526" s="104">
        <v>2</v>
      </c>
      <c r="N526" s="108">
        <v>45941</v>
      </c>
      <c r="O526" s="109">
        <f>DAY('BD1'!$N526)</f>
        <v>11</v>
      </c>
      <c r="P526" s="109">
        <f>MONTH('BD1'!$N526)</f>
        <v>10</v>
      </c>
      <c r="Q526" s="109">
        <f>YEAR('BD1'!$N526)</f>
        <v>2025</v>
      </c>
      <c r="R526" s="109">
        <v>1</v>
      </c>
      <c r="S526" s="109" t="s">
        <v>138</v>
      </c>
      <c r="T526" s="109" t="s">
        <v>138</v>
      </c>
      <c r="U526" s="109" t="s">
        <v>138</v>
      </c>
      <c r="V526" s="109" t="s">
        <v>138</v>
      </c>
      <c r="W526" s="109" t="s">
        <v>138</v>
      </c>
      <c r="X526" s="109" t="s">
        <v>138</v>
      </c>
      <c r="Y526" s="109" t="s">
        <v>138</v>
      </c>
      <c r="Z526" s="109" t="s">
        <v>138</v>
      </c>
      <c r="AA526" s="109">
        <v>29.9</v>
      </c>
      <c r="AB526" s="109">
        <v>28.8</v>
      </c>
      <c r="AC526" s="110" t="s">
        <v>967</v>
      </c>
      <c r="AD526" s="110" t="s">
        <v>1403</v>
      </c>
      <c r="AE526" s="109">
        <f t="shared" si="25"/>
        <v>8</v>
      </c>
      <c r="AF526" s="151" t="str">
        <f t="shared" si="23"/>
        <v>Estable</v>
      </c>
    </row>
    <row r="527" spans="1:32" x14ac:dyDescent="0.2">
      <c r="A527" s="112">
        <v>38</v>
      </c>
      <c r="B527" s="113" t="s">
        <v>1204</v>
      </c>
      <c r="C527" s="114" t="s">
        <v>7</v>
      </c>
      <c r="D527" s="114" t="s">
        <v>404</v>
      </c>
      <c r="E527" s="115" t="s">
        <v>1429</v>
      </c>
      <c r="F527" s="115" t="s">
        <v>1430</v>
      </c>
      <c r="G527" s="115" t="s">
        <v>1828</v>
      </c>
      <c r="H527" s="113" t="s">
        <v>1428</v>
      </c>
      <c r="I527" s="114">
        <v>20.555498</v>
      </c>
      <c r="J527" s="114">
        <v>-100.85095099999999</v>
      </c>
      <c r="K527" s="113" t="s">
        <v>139</v>
      </c>
      <c r="L527" s="116" t="str">
        <f t="shared" si="24"/>
        <v>Ver en Google Maps</v>
      </c>
      <c r="M527" s="113">
        <v>1</v>
      </c>
      <c r="N527" s="117">
        <v>45941</v>
      </c>
      <c r="O527" s="118">
        <f>DAY('BD1'!$N527)</f>
        <v>11</v>
      </c>
      <c r="P527" s="118">
        <f>MONTH('BD1'!$N527)</f>
        <v>10</v>
      </c>
      <c r="Q527" s="118">
        <f>YEAR('BD1'!$N527)</f>
        <v>2025</v>
      </c>
      <c r="R527" s="118">
        <v>1</v>
      </c>
      <c r="S527" s="118" t="s">
        <v>138</v>
      </c>
      <c r="T527" s="118" t="s">
        <v>138</v>
      </c>
      <c r="U527" s="118" t="s">
        <v>138</v>
      </c>
      <c r="V527" s="118" t="s">
        <v>138</v>
      </c>
      <c r="W527" s="118" t="s">
        <v>138</v>
      </c>
      <c r="X527" s="118" t="s">
        <v>138</v>
      </c>
      <c r="Y527" s="118" t="s">
        <v>138</v>
      </c>
      <c r="Z527" s="118" t="s">
        <v>138</v>
      </c>
      <c r="AA527" s="118">
        <v>120</v>
      </c>
      <c r="AB527" s="118">
        <v>76.099999999999994</v>
      </c>
      <c r="AC527" s="119" t="s">
        <v>967</v>
      </c>
      <c r="AD527" s="119" t="s">
        <v>1403</v>
      </c>
      <c r="AE527" s="118">
        <f t="shared" si="25"/>
        <v>8</v>
      </c>
      <c r="AF527" s="152" t="str">
        <f t="shared" si="23"/>
        <v>Estable</v>
      </c>
    </row>
    <row r="528" spans="1:32" x14ac:dyDescent="0.2">
      <c r="A528" s="121">
        <v>39</v>
      </c>
      <c r="B528" s="122" t="s">
        <v>1204</v>
      </c>
      <c r="C528" s="123" t="s">
        <v>7</v>
      </c>
      <c r="D528" s="123" t="s">
        <v>404</v>
      </c>
      <c r="E528" s="124" t="s">
        <v>1431</v>
      </c>
      <c r="F528" s="124" t="s">
        <v>1432</v>
      </c>
      <c r="G528" s="124" t="s">
        <v>1829</v>
      </c>
      <c r="H528" s="122" t="s">
        <v>1428</v>
      </c>
      <c r="I528" s="123">
        <v>20.520765999999998</v>
      </c>
      <c r="J528" s="123">
        <v>-100.813337</v>
      </c>
      <c r="K528" s="122" t="s">
        <v>139</v>
      </c>
      <c r="L528" s="125" t="str">
        <f t="shared" si="24"/>
        <v>Ver en Google Maps</v>
      </c>
      <c r="M528" s="122">
        <v>1</v>
      </c>
      <c r="N528" s="108">
        <v>45941</v>
      </c>
      <c r="O528" s="109">
        <f>DAY('BD1'!$N528)</f>
        <v>11</v>
      </c>
      <c r="P528" s="109">
        <f>MONTH('BD1'!$N528)</f>
        <v>10</v>
      </c>
      <c r="Q528" s="109">
        <f>YEAR('BD1'!$N528)</f>
        <v>2025</v>
      </c>
      <c r="R528" s="109">
        <v>1</v>
      </c>
      <c r="S528" s="109" t="s">
        <v>934</v>
      </c>
      <c r="T528" s="109" t="s">
        <v>934</v>
      </c>
      <c r="U528" s="109" t="s">
        <v>934</v>
      </c>
      <c r="V528" s="109" t="s">
        <v>934</v>
      </c>
      <c r="W528" s="109" t="s">
        <v>934</v>
      </c>
      <c r="X528" s="109" t="s">
        <v>934</v>
      </c>
      <c r="Y528" s="109" t="s">
        <v>934</v>
      </c>
      <c r="Z528" s="109" t="s">
        <v>934</v>
      </c>
      <c r="AA528" s="109">
        <v>0</v>
      </c>
      <c r="AB528" s="109">
        <v>0</v>
      </c>
      <c r="AC528" s="110" t="s">
        <v>3025</v>
      </c>
      <c r="AD528" s="110" t="s">
        <v>1403</v>
      </c>
      <c r="AE528" s="109">
        <f t="shared" si="25"/>
        <v>0</v>
      </c>
      <c r="AF528" s="151" t="str">
        <f t="shared" si="23"/>
        <v>Crítico</v>
      </c>
    </row>
    <row r="529" spans="1:32" x14ac:dyDescent="0.2">
      <c r="A529" s="112">
        <v>40</v>
      </c>
      <c r="B529" s="113" t="s">
        <v>1204</v>
      </c>
      <c r="C529" s="114" t="s">
        <v>7</v>
      </c>
      <c r="D529" s="114" t="s">
        <v>404</v>
      </c>
      <c r="E529" s="115" t="s">
        <v>1433</v>
      </c>
      <c r="F529" s="115" t="s">
        <v>1434</v>
      </c>
      <c r="G529" s="115" t="s">
        <v>1105</v>
      </c>
      <c r="H529" s="113" t="s">
        <v>1428</v>
      </c>
      <c r="I529" s="114">
        <v>20.521639</v>
      </c>
      <c r="J529" s="114">
        <v>-100.81219400000001</v>
      </c>
      <c r="K529" s="113" t="s">
        <v>139</v>
      </c>
      <c r="L529" s="116" t="str">
        <f t="shared" si="24"/>
        <v>Ver en Google Maps</v>
      </c>
      <c r="M529" s="113">
        <v>1</v>
      </c>
      <c r="N529" s="117">
        <v>45941</v>
      </c>
      <c r="O529" s="118">
        <f>DAY('BD1'!$N529)</f>
        <v>11</v>
      </c>
      <c r="P529" s="118">
        <f>MONTH('BD1'!$N529)</f>
        <v>10</v>
      </c>
      <c r="Q529" s="118">
        <f>YEAR('BD1'!$N529)</f>
        <v>2025</v>
      </c>
      <c r="R529" s="118">
        <v>1</v>
      </c>
      <c r="S529" s="118" t="s">
        <v>138</v>
      </c>
      <c r="T529" s="118" t="s">
        <v>138</v>
      </c>
      <c r="U529" s="118" t="s">
        <v>138</v>
      </c>
      <c r="V529" s="118" t="s">
        <v>138</v>
      </c>
      <c r="W529" s="118" t="s">
        <v>138</v>
      </c>
      <c r="X529" s="118" t="s">
        <v>138</v>
      </c>
      <c r="Y529" s="118" t="s">
        <v>138</v>
      </c>
      <c r="Z529" s="118" t="s">
        <v>138</v>
      </c>
      <c r="AA529" s="118">
        <v>33.6</v>
      </c>
      <c r="AB529" s="118">
        <v>57.1</v>
      </c>
      <c r="AC529" s="119" t="s">
        <v>967</v>
      </c>
      <c r="AD529" s="119" t="s">
        <v>1403</v>
      </c>
      <c r="AE529" s="118">
        <f t="shared" si="25"/>
        <v>8</v>
      </c>
      <c r="AF529" s="152" t="str">
        <f t="shared" si="23"/>
        <v>Estable</v>
      </c>
    </row>
    <row r="530" spans="1:32" x14ac:dyDescent="0.2">
      <c r="A530" s="121" t="s">
        <v>3130</v>
      </c>
      <c r="B530" s="122" t="s">
        <v>1204</v>
      </c>
      <c r="C530" s="123" t="s">
        <v>7</v>
      </c>
      <c r="D530" s="123" t="s">
        <v>404</v>
      </c>
      <c r="E530" s="124" t="s">
        <v>1435</v>
      </c>
      <c r="F530" s="124" t="s">
        <v>1436</v>
      </c>
      <c r="G530" s="124" t="s">
        <v>1114</v>
      </c>
      <c r="H530" s="122" t="s">
        <v>1428</v>
      </c>
      <c r="I530" s="123">
        <v>20.517738999999999</v>
      </c>
      <c r="J530" s="123">
        <v>-100.82928</v>
      </c>
      <c r="K530" s="122" t="s">
        <v>139</v>
      </c>
      <c r="L530" s="125" t="str">
        <f t="shared" si="24"/>
        <v>Ver en Google Maps</v>
      </c>
      <c r="M530" s="122">
        <v>2</v>
      </c>
      <c r="N530" s="108">
        <v>45941</v>
      </c>
      <c r="O530" s="109">
        <f>DAY('BD1'!$N530)</f>
        <v>11</v>
      </c>
      <c r="P530" s="109">
        <f>MONTH('BD1'!$N530)</f>
        <v>10</v>
      </c>
      <c r="Q530" s="109">
        <f>YEAR('BD1'!$N530)</f>
        <v>2025</v>
      </c>
      <c r="R530" s="109">
        <v>1</v>
      </c>
      <c r="S530" s="109" t="s">
        <v>138</v>
      </c>
      <c r="T530" s="109" t="s">
        <v>138</v>
      </c>
      <c r="U530" s="109" t="s">
        <v>138</v>
      </c>
      <c r="V530" s="109" t="s">
        <v>138</v>
      </c>
      <c r="W530" s="109" t="s">
        <v>138</v>
      </c>
      <c r="X530" s="109" t="s">
        <v>138</v>
      </c>
      <c r="Y530" s="109" t="s">
        <v>138</v>
      </c>
      <c r="Z530" s="109" t="s">
        <v>138</v>
      </c>
      <c r="AA530" s="109">
        <v>47.1</v>
      </c>
      <c r="AB530" s="109">
        <v>11.5</v>
      </c>
      <c r="AC530" s="110" t="s">
        <v>967</v>
      </c>
      <c r="AD530" s="110" t="s">
        <v>1403</v>
      </c>
      <c r="AE530" s="109">
        <f t="shared" si="25"/>
        <v>8</v>
      </c>
      <c r="AF530" s="151" t="str">
        <f t="shared" si="23"/>
        <v>Estable</v>
      </c>
    </row>
    <row r="531" spans="1:32" x14ac:dyDescent="0.2">
      <c r="A531" s="112" t="s">
        <v>3131</v>
      </c>
      <c r="B531" s="113" t="s">
        <v>1204</v>
      </c>
      <c r="C531" s="114" t="s">
        <v>7</v>
      </c>
      <c r="D531" s="114" t="s">
        <v>404</v>
      </c>
      <c r="E531" s="115" t="s">
        <v>1435</v>
      </c>
      <c r="F531" s="115" t="s">
        <v>1436</v>
      </c>
      <c r="G531" s="115" t="s">
        <v>1114</v>
      </c>
      <c r="H531" s="113" t="s">
        <v>1428</v>
      </c>
      <c r="I531" s="114">
        <v>20.517738999999999</v>
      </c>
      <c r="J531" s="114">
        <v>-100.82928</v>
      </c>
      <c r="K531" s="113" t="s">
        <v>139</v>
      </c>
      <c r="L531" s="116" t="str">
        <f t="shared" ref="L531" si="26">HYPERLINK("https://www.google.com/maps?q=" &amp; I531 &amp; "," &amp; J531, "Ver en Google Maps")</f>
        <v>Ver en Google Maps</v>
      </c>
      <c r="M531" s="113">
        <v>2</v>
      </c>
      <c r="N531" s="117">
        <v>45941</v>
      </c>
      <c r="O531" s="118">
        <f>DAY('BD1'!$N531)</f>
        <v>11</v>
      </c>
      <c r="P531" s="118">
        <f>MONTH('BD1'!$N531)</f>
        <v>10</v>
      </c>
      <c r="Q531" s="118">
        <f>YEAR('BD1'!$N531)</f>
        <v>2025</v>
      </c>
      <c r="R531" s="118">
        <v>1</v>
      </c>
      <c r="S531" s="118" t="s">
        <v>138</v>
      </c>
      <c r="T531" s="118" t="s">
        <v>138</v>
      </c>
      <c r="U531" s="118" t="s">
        <v>138</v>
      </c>
      <c r="V531" s="118" t="s">
        <v>138</v>
      </c>
      <c r="W531" s="118" t="s">
        <v>138</v>
      </c>
      <c r="X531" s="118" t="s">
        <v>138</v>
      </c>
      <c r="Y531" s="118" t="s">
        <v>138</v>
      </c>
      <c r="Z531" s="118" t="s">
        <v>138</v>
      </c>
      <c r="AA531" s="118">
        <v>43</v>
      </c>
      <c r="AB531" s="118">
        <v>14.9</v>
      </c>
      <c r="AC531" s="119" t="s">
        <v>967</v>
      </c>
      <c r="AD531" s="119" t="s">
        <v>1403</v>
      </c>
      <c r="AE531" s="118">
        <f t="shared" si="25"/>
        <v>8</v>
      </c>
      <c r="AF531" s="152" t="str">
        <f t="shared" si="23"/>
        <v>Estable</v>
      </c>
    </row>
    <row r="532" spans="1:32" x14ac:dyDescent="0.2">
      <c r="A532" s="121">
        <v>42</v>
      </c>
      <c r="B532" s="122" t="s">
        <v>1204</v>
      </c>
      <c r="C532" s="123" t="s">
        <v>7</v>
      </c>
      <c r="D532" s="123" t="s">
        <v>404</v>
      </c>
      <c r="E532" s="124" t="s">
        <v>1437</v>
      </c>
      <c r="F532" s="124" t="s">
        <v>1438</v>
      </c>
      <c r="G532" s="124" t="s">
        <v>1105</v>
      </c>
      <c r="H532" s="122" t="s">
        <v>1428</v>
      </c>
      <c r="I532" s="123">
        <v>20.521981</v>
      </c>
      <c r="J532" s="123">
        <v>-100.808694</v>
      </c>
      <c r="K532" s="122" t="s">
        <v>139</v>
      </c>
      <c r="L532" s="125" t="str">
        <f t="shared" si="24"/>
        <v>Ver en Google Maps</v>
      </c>
      <c r="M532" s="122">
        <v>1</v>
      </c>
      <c r="N532" s="108">
        <v>45941</v>
      </c>
      <c r="O532" s="109">
        <f>DAY('BD1'!$N532)</f>
        <v>11</v>
      </c>
      <c r="P532" s="109">
        <f>MONTH('BD1'!$N532)</f>
        <v>10</v>
      </c>
      <c r="Q532" s="109">
        <f>YEAR('BD1'!$N532)</f>
        <v>2025</v>
      </c>
      <c r="R532" s="109">
        <v>1</v>
      </c>
      <c r="S532" s="109" t="s">
        <v>138</v>
      </c>
      <c r="T532" s="109" t="s">
        <v>138</v>
      </c>
      <c r="U532" s="109" t="s">
        <v>138</v>
      </c>
      <c r="V532" s="109" t="s">
        <v>138</v>
      </c>
      <c r="W532" s="109" t="s">
        <v>138</v>
      </c>
      <c r="X532" s="109" t="s">
        <v>138</v>
      </c>
      <c r="Y532" s="109" t="s">
        <v>138</v>
      </c>
      <c r="Z532" s="109" t="s">
        <v>138</v>
      </c>
      <c r="AA532" s="109">
        <v>95.4</v>
      </c>
      <c r="AB532" s="109">
        <v>51</v>
      </c>
      <c r="AC532" s="110" t="s">
        <v>967</v>
      </c>
      <c r="AD532" s="110" t="s">
        <v>1403</v>
      </c>
      <c r="AE532" s="109">
        <f t="shared" si="25"/>
        <v>8</v>
      </c>
      <c r="AF532" s="151" t="str">
        <f t="shared" si="23"/>
        <v>Estable</v>
      </c>
    </row>
    <row r="533" spans="1:32" x14ac:dyDescent="0.2">
      <c r="A533" s="112" t="s">
        <v>2424</v>
      </c>
      <c r="B533" s="113" t="s">
        <v>1204</v>
      </c>
      <c r="C533" s="114" t="s">
        <v>7</v>
      </c>
      <c r="D533" s="114" t="s">
        <v>404</v>
      </c>
      <c r="E533" s="115" t="s">
        <v>1439</v>
      </c>
      <c r="F533" s="115" t="s">
        <v>1440</v>
      </c>
      <c r="G533" s="115" t="s">
        <v>1780</v>
      </c>
      <c r="H533" s="113" t="s">
        <v>1428</v>
      </c>
      <c r="I533" s="114">
        <v>20.534806</v>
      </c>
      <c r="J533" s="114">
        <v>-100.822639</v>
      </c>
      <c r="K533" s="113" t="s">
        <v>139</v>
      </c>
      <c r="L533" s="116" t="str">
        <f t="shared" si="24"/>
        <v>Ver en Google Maps</v>
      </c>
      <c r="M533" s="113">
        <v>2</v>
      </c>
      <c r="N533" s="117">
        <v>45941</v>
      </c>
      <c r="O533" s="118">
        <f>DAY('BD1'!$N533)</f>
        <v>11</v>
      </c>
      <c r="P533" s="118">
        <f>MONTH('BD1'!$N533)</f>
        <v>10</v>
      </c>
      <c r="Q533" s="118">
        <f>YEAR('BD1'!$N533)</f>
        <v>2025</v>
      </c>
      <c r="R533" s="118">
        <v>1</v>
      </c>
      <c r="S533" s="118" t="s">
        <v>138</v>
      </c>
      <c r="T533" s="118" t="s">
        <v>138</v>
      </c>
      <c r="U533" s="118" t="s">
        <v>138</v>
      </c>
      <c r="V533" s="118" t="s">
        <v>138</v>
      </c>
      <c r="W533" s="118" t="s">
        <v>138</v>
      </c>
      <c r="X533" s="118" t="s">
        <v>138</v>
      </c>
      <c r="Y533" s="118" t="s">
        <v>138</v>
      </c>
      <c r="Z533" s="118" t="s">
        <v>138</v>
      </c>
      <c r="AA533" s="118">
        <v>29.8</v>
      </c>
      <c r="AB533" s="118">
        <v>17.3</v>
      </c>
      <c r="AC533" s="119" t="s">
        <v>967</v>
      </c>
      <c r="AD533" s="119" t="s">
        <v>1403</v>
      </c>
      <c r="AE533" s="118">
        <f t="shared" si="25"/>
        <v>8</v>
      </c>
      <c r="AF533" s="152" t="str">
        <f t="shared" si="23"/>
        <v>Estable</v>
      </c>
    </row>
    <row r="534" spans="1:32" x14ac:dyDescent="0.2">
      <c r="A534" s="121" t="s">
        <v>2425</v>
      </c>
      <c r="B534" s="122" t="s">
        <v>1204</v>
      </c>
      <c r="C534" s="123" t="s">
        <v>7</v>
      </c>
      <c r="D534" s="123" t="s">
        <v>404</v>
      </c>
      <c r="E534" s="124" t="s">
        <v>1439</v>
      </c>
      <c r="F534" s="124" t="s">
        <v>1440</v>
      </c>
      <c r="G534" s="124" t="s">
        <v>1780</v>
      </c>
      <c r="H534" s="122" t="s">
        <v>1428</v>
      </c>
      <c r="I534" s="123">
        <v>20.534806</v>
      </c>
      <c r="J534" s="123">
        <v>-100.822639</v>
      </c>
      <c r="K534" s="122" t="s">
        <v>139</v>
      </c>
      <c r="L534" s="125" t="str">
        <f t="shared" si="24"/>
        <v>Ver en Google Maps</v>
      </c>
      <c r="M534" s="122">
        <v>2</v>
      </c>
      <c r="N534" s="108">
        <v>45941</v>
      </c>
      <c r="O534" s="109">
        <f>DAY('BD1'!$N534)</f>
        <v>11</v>
      </c>
      <c r="P534" s="109">
        <f>MONTH('BD1'!$N534)</f>
        <v>10</v>
      </c>
      <c r="Q534" s="109">
        <f>YEAR('BD1'!$N534)</f>
        <v>2025</v>
      </c>
      <c r="R534" s="109">
        <v>1</v>
      </c>
      <c r="S534" s="109" t="s">
        <v>138</v>
      </c>
      <c r="T534" s="109" t="s">
        <v>138</v>
      </c>
      <c r="U534" s="109" t="s">
        <v>138</v>
      </c>
      <c r="V534" s="109" t="s">
        <v>138</v>
      </c>
      <c r="W534" s="109" t="s">
        <v>138</v>
      </c>
      <c r="X534" s="109" t="s">
        <v>138</v>
      </c>
      <c r="Y534" s="109" t="s">
        <v>138</v>
      </c>
      <c r="Z534" s="109" t="s">
        <v>138</v>
      </c>
      <c r="AA534" s="109">
        <v>37.200000000000003</v>
      </c>
      <c r="AB534" s="109">
        <v>8.6</v>
      </c>
      <c r="AC534" s="110" t="s">
        <v>967</v>
      </c>
      <c r="AD534" s="110" t="s">
        <v>1403</v>
      </c>
      <c r="AE534" s="109">
        <f t="shared" si="25"/>
        <v>8</v>
      </c>
      <c r="AF534" s="151" t="str">
        <f t="shared" si="23"/>
        <v>Estable</v>
      </c>
    </row>
    <row r="535" spans="1:32" x14ac:dyDescent="0.2">
      <c r="A535" s="112">
        <v>44</v>
      </c>
      <c r="B535" s="113" t="s">
        <v>1204</v>
      </c>
      <c r="C535" s="114" t="s">
        <v>7</v>
      </c>
      <c r="D535" s="114" t="s">
        <v>404</v>
      </c>
      <c r="E535" s="115" t="s">
        <v>1441</v>
      </c>
      <c r="F535" s="115" t="s">
        <v>1442</v>
      </c>
      <c r="G535" s="115" t="s">
        <v>1781</v>
      </c>
      <c r="H535" s="113" t="s">
        <v>1428</v>
      </c>
      <c r="I535" s="114">
        <v>20.553743000000001</v>
      </c>
      <c r="J535" s="114">
        <v>-100.847246</v>
      </c>
      <c r="K535" s="113" t="s">
        <v>139</v>
      </c>
      <c r="L535" s="116" t="str">
        <f t="shared" si="24"/>
        <v>Ver en Google Maps</v>
      </c>
      <c r="M535" s="113">
        <v>1</v>
      </c>
      <c r="N535" s="117">
        <v>45941</v>
      </c>
      <c r="O535" s="118">
        <f>DAY('BD1'!$N535)</f>
        <v>11</v>
      </c>
      <c r="P535" s="118">
        <f>MONTH('BD1'!$N535)</f>
        <v>10</v>
      </c>
      <c r="Q535" s="118">
        <f>YEAR('BD1'!$N535)</f>
        <v>2025</v>
      </c>
      <c r="R535" s="118">
        <v>1</v>
      </c>
      <c r="S535" s="118" t="s">
        <v>138</v>
      </c>
      <c r="T535" s="118" t="s">
        <v>138</v>
      </c>
      <c r="U535" s="118" t="s">
        <v>138</v>
      </c>
      <c r="V535" s="118" t="s">
        <v>138</v>
      </c>
      <c r="W535" s="118" t="s">
        <v>138</v>
      </c>
      <c r="X535" s="118" t="s">
        <v>138</v>
      </c>
      <c r="Y535" s="118" t="s">
        <v>138</v>
      </c>
      <c r="Z535" s="118" t="s">
        <v>138</v>
      </c>
      <c r="AA535" s="118">
        <v>32</v>
      </c>
      <c r="AB535" s="118">
        <v>7.53</v>
      </c>
      <c r="AC535" s="119" t="s">
        <v>967</v>
      </c>
      <c r="AD535" s="119" t="s">
        <v>1403</v>
      </c>
      <c r="AE535" s="118">
        <f t="shared" si="25"/>
        <v>8</v>
      </c>
      <c r="AF535" s="152" t="str">
        <f t="shared" si="23"/>
        <v>Estable</v>
      </c>
    </row>
    <row r="536" spans="1:32" x14ac:dyDescent="0.2">
      <c r="A536" s="121" t="s">
        <v>2422</v>
      </c>
      <c r="B536" s="122" t="s">
        <v>1204</v>
      </c>
      <c r="C536" s="123" t="s">
        <v>11</v>
      </c>
      <c r="D536" s="123" t="s">
        <v>404</v>
      </c>
      <c r="E536" s="124" t="s">
        <v>1443</v>
      </c>
      <c r="F536" s="124" t="s">
        <v>1444</v>
      </c>
      <c r="G536" s="124" t="s">
        <v>360</v>
      </c>
      <c r="H536" s="122" t="s">
        <v>1428</v>
      </c>
      <c r="I536" s="123">
        <v>20.534167</v>
      </c>
      <c r="J536" s="123">
        <v>-100.816306</v>
      </c>
      <c r="K536" s="122" t="s">
        <v>139</v>
      </c>
      <c r="L536" s="125" t="str">
        <f t="shared" si="24"/>
        <v>Ver en Google Maps</v>
      </c>
      <c r="M536" s="122">
        <v>2</v>
      </c>
      <c r="N536" s="108">
        <v>45941</v>
      </c>
      <c r="O536" s="109">
        <f>DAY('BD1'!$N536)</f>
        <v>11</v>
      </c>
      <c r="P536" s="109">
        <f>MONTH('BD1'!$N536)</f>
        <v>10</v>
      </c>
      <c r="Q536" s="109">
        <f>YEAR('BD1'!$N536)</f>
        <v>2025</v>
      </c>
      <c r="R536" s="109">
        <v>1</v>
      </c>
      <c r="S536" s="109" t="s">
        <v>138</v>
      </c>
      <c r="T536" s="109" t="s">
        <v>138</v>
      </c>
      <c r="U536" s="109" t="s">
        <v>138</v>
      </c>
      <c r="V536" s="109" t="s">
        <v>138</v>
      </c>
      <c r="W536" s="109" t="s">
        <v>138</v>
      </c>
      <c r="X536" s="109" t="s">
        <v>138</v>
      </c>
      <c r="Y536" s="109" t="s">
        <v>138</v>
      </c>
      <c r="Z536" s="109" t="s">
        <v>138</v>
      </c>
      <c r="AA536" s="109">
        <v>81.8</v>
      </c>
      <c r="AB536" s="109">
        <v>48.2</v>
      </c>
      <c r="AC536" s="110" t="s">
        <v>967</v>
      </c>
      <c r="AD536" s="110" t="s">
        <v>1403</v>
      </c>
      <c r="AE536" s="109">
        <f t="shared" si="25"/>
        <v>8</v>
      </c>
      <c r="AF536" s="151" t="str">
        <f t="shared" si="23"/>
        <v>Estable</v>
      </c>
    </row>
    <row r="537" spans="1:32" x14ac:dyDescent="0.2">
      <c r="A537" s="112" t="s">
        <v>2423</v>
      </c>
      <c r="B537" s="113" t="s">
        <v>1204</v>
      </c>
      <c r="C537" s="114" t="s">
        <v>11</v>
      </c>
      <c r="D537" s="114" t="s">
        <v>404</v>
      </c>
      <c r="E537" s="115" t="s">
        <v>1443</v>
      </c>
      <c r="F537" s="115" t="s">
        <v>1444</v>
      </c>
      <c r="G537" s="115" t="s">
        <v>360</v>
      </c>
      <c r="H537" s="113" t="s">
        <v>1428</v>
      </c>
      <c r="I537" s="114">
        <v>20.534167</v>
      </c>
      <c r="J537" s="114">
        <v>-100.816306</v>
      </c>
      <c r="K537" s="113" t="s">
        <v>139</v>
      </c>
      <c r="L537" s="116" t="str">
        <f t="shared" si="24"/>
        <v>Ver en Google Maps</v>
      </c>
      <c r="M537" s="113">
        <v>2</v>
      </c>
      <c r="N537" s="117">
        <v>45941</v>
      </c>
      <c r="O537" s="118">
        <f>DAY('BD1'!$N537)</f>
        <v>11</v>
      </c>
      <c r="P537" s="118">
        <f>MONTH('BD1'!$N537)</f>
        <v>10</v>
      </c>
      <c r="Q537" s="118">
        <f>YEAR('BD1'!$N537)</f>
        <v>2025</v>
      </c>
      <c r="R537" s="118">
        <v>1</v>
      </c>
      <c r="S537" s="118" t="s">
        <v>138</v>
      </c>
      <c r="T537" s="118" t="s">
        <v>138</v>
      </c>
      <c r="U537" s="118" t="s">
        <v>138</v>
      </c>
      <c r="V537" s="118" t="s">
        <v>138</v>
      </c>
      <c r="W537" s="118" t="s">
        <v>138</v>
      </c>
      <c r="X537" s="118" t="s">
        <v>138</v>
      </c>
      <c r="Y537" s="118" t="s">
        <v>138</v>
      </c>
      <c r="Z537" s="118" t="s">
        <v>138</v>
      </c>
      <c r="AA537" s="118">
        <v>63.6</v>
      </c>
      <c r="AB537" s="118">
        <v>50.6</v>
      </c>
      <c r="AC537" s="119" t="s">
        <v>967</v>
      </c>
      <c r="AD537" s="119" t="s">
        <v>1403</v>
      </c>
      <c r="AE537" s="118">
        <f t="shared" si="25"/>
        <v>8</v>
      </c>
      <c r="AF537" s="152" t="str">
        <f t="shared" si="23"/>
        <v>Estable</v>
      </c>
    </row>
    <row r="538" spans="1:32" x14ac:dyDescent="0.2">
      <c r="A538" s="121">
        <v>46</v>
      </c>
      <c r="B538" s="122" t="s">
        <v>1204</v>
      </c>
      <c r="C538" s="123" t="s">
        <v>11</v>
      </c>
      <c r="D538" s="123" t="s">
        <v>404</v>
      </c>
      <c r="E538" s="124" t="s">
        <v>1445</v>
      </c>
      <c r="F538" s="124" t="s">
        <v>1446</v>
      </c>
      <c r="G538" s="124" t="s">
        <v>1782</v>
      </c>
      <c r="H538" s="122" t="s">
        <v>1428</v>
      </c>
      <c r="I538" s="123">
        <v>20.547249999999998</v>
      </c>
      <c r="J538" s="123">
        <v>-100.812972</v>
      </c>
      <c r="K538" s="122" t="s">
        <v>139</v>
      </c>
      <c r="L538" s="125" t="str">
        <f t="shared" si="24"/>
        <v>Ver en Google Maps</v>
      </c>
      <c r="M538" s="122">
        <v>1</v>
      </c>
      <c r="N538" s="108">
        <v>45941</v>
      </c>
      <c r="O538" s="109">
        <f>DAY('BD1'!$N538)</f>
        <v>11</v>
      </c>
      <c r="P538" s="109">
        <f>MONTH('BD1'!$N538)</f>
        <v>10</v>
      </c>
      <c r="Q538" s="109">
        <f>YEAR('BD1'!$N538)</f>
        <v>2025</v>
      </c>
      <c r="R538" s="109">
        <v>1</v>
      </c>
      <c r="S538" s="109" t="s">
        <v>138</v>
      </c>
      <c r="T538" s="109" t="s">
        <v>138</v>
      </c>
      <c r="U538" s="109" t="s">
        <v>138</v>
      </c>
      <c r="V538" s="109" t="s">
        <v>138</v>
      </c>
      <c r="W538" s="109" t="s">
        <v>138</v>
      </c>
      <c r="X538" s="109" t="s">
        <v>138</v>
      </c>
      <c r="Y538" s="109" t="s">
        <v>138</v>
      </c>
      <c r="Z538" s="109" t="s">
        <v>138</v>
      </c>
      <c r="AA538" s="109">
        <v>99.6</v>
      </c>
      <c r="AB538" s="109">
        <v>72.5</v>
      </c>
      <c r="AC538" s="110" t="s">
        <v>967</v>
      </c>
      <c r="AD538" s="110" t="s">
        <v>1403</v>
      </c>
      <c r="AE538" s="109">
        <f t="shared" si="25"/>
        <v>8</v>
      </c>
      <c r="AF538" s="151" t="str">
        <f t="shared" si="23"/>
        <v>Estable</v>
      </c>
    </row>
    <row r="539" spans="1:32" x14ac:dyDescent="0.2">
      <c r="A539" s="112">
        <v>47</v>
      </c>
      <c r="B539" s="113" t="s">
        <v>1204</v>
      </c>
      <c r="C539" s="114" t="s">
        <v>11</v>
      </c>
      <c r="D539" s="114" t="s">
        <v>404</v>
      </c>
      <c r="E539" s="115" t="s">
        <v>1447</v>
      </c>
      <c r="F539" s="115" t="s">
        <v>1448</v>
      </c>
      <c r="G539" s="115" t="s">
        <v>1830</v>
      </c>
      <c r="H539" s="113" t="s">
        <v>1428</v>
      </c>
      <c r="I539" s="114">
        <v>20.544388999999999</v>
      </c>
      <c r="J539" s="114">
        <v>-100.799278</v>
      </c>
      <c r="K539" s="113" t="s">
        <v>139</v>
      </c>
      <c r="L539" s="116" t="str">
        <f t="shared" si="24"/>
        <v>Ver en Google Maps</v>
      </c>
      <c r="M539" s="113">
        <v>1</v>
      </c>
      <c r="N539" s="117">
        <v>45941</v>
      </c>
      <c r="O539" s="118">
        <f>DAY('BD1'!$N539)</f>
        <v>11</v>
      </c>
      <c r="P539" s="118">
        <f>MONTH('BD1'!$N539)</f>
        <v>10</v>
      </c>
      <c r="Q539" s="118">
        <f>YEAR('BD1'!$N539)</f>
        <v>2025</v>
      </c>
      <c r="R539" s="118">
        <v>1</v>
      </c>
      <c r="S539" s="118" t="s">
        <v>138</v>
      </c>
      <c r="T539" s="118" t="s">
        <v>138</v>
      </c>
      <c r="U539" s="118" t="s">
        <v>138</v>
      </c>
      <c r="V539" s="118" t="s">
        <v>138</v>
      </c>
      <c r="W539" s="118" t="s">
        <v>138</v>
      </c>
      <c r="X539" s="118" t="s">
        <v>138</v>
      </c>
      <c r="Y539" s="118" t="s">
        <v>138</v>
      </c>
      <c r="Z539" s="118" t="s">
        <v>138</v>
      </c>
      <c r="AA539" s="118">
        <v>36.1</v>
      </c>
      <c r="AB539" s="118">
        <v>46.9</v>
      </c>
      <c r="AC539" s="119" t="s">
        <v>967</v>
      </c>
      <c r="AD539" s="119" t="s">
        <v>1403</v>
      </c>
      <c r="AE539" s="118">
        <f t="shared" si="25"/>
        <v>8</v>
      </c>
      <c r="AF539" s="152" t="str">
        <f t="shared" si="23"/>
        <v>Estable</v>
      </c>
    </row>
    <row r="540" spans="1:32" x14ac:dyDescent="0.2">
      <c r="A540" s="121">
        <v>81</v>
      </c>
      <c r="B540" s="122" t="s">
        <v>1204</v>
      </c>
      <c r="C540" s="123" t="s">
        <v>1449</v>
      </c>
      <c r="D540" s="123" t="s">
        <v>404</v>
      </c>
      <c r="E540" s="124" t="s">
        <v>1450</v>
      </c>
      <c r="F540" s="124" t="s">
        <v>1451</v>
      </c>
      <c r="G540" s="124" t="s">
        <v>360</v>
      </c>
      <c r="H540" s="122" t="s">
        <v>1428</v>
      </c>
      <c r="I540" s="123">
        <v>20.522335000000002</v>
      </c>
      <c r="J540" s="123">
        <v>-100.808896</v>
      </c>
      <c r="K540" s="122" t="s">
        <v>139</v>
      </c>
      <c r="L540" s="125" t="str">
        <f t="shared" si="24"/>
        <v>Ver en Google Maps</v>
      </c>
      <c r="M540" s="122">
        <v>1</v>
      </c>
      <c r="N540" s="108">
        <v>45941</v>
      </c>
      <c r="O540" s="109">
        <f>DAY('BD1'!$N540)</f>
        <v>11</v>
      </c>
      <c r="P540" s="109">
        <f>MONTH('BD1'!$N540)</f>
        <v>10</v>
      </c>
      <c r="Q540" s="109">
        <f>YEAR('BD1'!$N540)</f>
        <v>2025</v>
      </c>
      <c r="R540" s="109">
        <v>1</v>
      </c>
      <c r="S540" s="109" t="s">
        <v>138</v>
      </c>
      <c r="T540" s="109" t="s">
        <v>138</v>
      </c>
      <c r="U540" s="109" t="s">
        <v>138</v>
      </c>
      <c r="V540" s="109" t="s">
        <v>138</v>
      </c>
      <c r="W540" s="109" t="s">
        <v>138</v>
      </c>
      <c r="X540" s="109" t="s">
        <v>138</v>
      </c>
      <c r="Y540" s="109" t="s">
        <v>138</v>
      </c>
      <c r="Z540" s="109" t="s">
        <v>138</v>
      </c>
      <c r="AA540" s="109">
        <v>84.3</v>
      </c>
      <c r="AB540" s="109">
        <v>41.8</v>
      </c>
      <c r="AC540" s="110" t="s">
        <v>967</v>
      </c>
      <c r="AD540" s="110" t="s">
        <v>1403</v>
      </c>
      <c r="AE540" s="109">
        <f t="shared" si="25"/>
        <v>8</v>
      </c>
      <c r="AF540" s="151" t="str">
        <f t="shared" si="23"/>
        <v>Estable</v>
      </c>
    </row>
    <row r="541" spans="1:32" x14ac:dyDescent="0.2">
      <c r="A541" s="112">
        <v>93</v>
      </c>
      <c r="B541" s="113" t="s">
        <v>1204</v>
      </c>
      <c r="C541" s="114" t="s">
        <v>429</v>
      </c>
      <c r="D541" s="114" t="s">
        <v>17</v>
      </c>
      <c r="E541" s="115" t="s">
        <v>1452</v>
      </c>
      <c r="F541" s="115" t="s">
        <v>1453</v>
      </c>
      <c r="G541" s="115" t="s">
        <v>1143</v>
      </c>
      <c r="H541" s="113" t="s">
        <v>1428</v>
      </c>
      <c r="I541" s="114">
        <v>20.541139999999999</v>
      </c>
      <c r="J541" s="114">
        <v>-100.84069</v>
      </c>
      <c r="K541" s="113"/>
      <c r="L541" s="116" t="str">
        <f t="shared" si="24"/>
        <v>Ver en Google Maps</v>
      </c>
      <c r="M541" s="113">
        <v>1</v>
      </c>
      <c r="N541" s="129"/>
      <c r="O541" s="118"/>
      <c r="P541" s="118"/>
      <c r="Q541" s="118"/>
      <c r="R541" s="118"/>
      <c r="S541" s="118"/>
      <c r="T541" s="118"/>
      <c r="U541" s="118"/>
      <c r="V541" s="118"/>
      <c r="W541" s="118"/>
      <c r="X541" s="118"/>
      <c r="Y541" s="118"/>
      <c r="Z541" s="118"/>
      <c r="AA541" s="118"/>
      <c r="AB541" s="118"/>
      <c r="AC541" s="119"/>
      <c r="AD541" s="119"/>
      <c r="AE541" s="118"/>
      <c r="AF541" s="152"/>
    </row>
    <row r="542" spans="1:32" x14ac:dyDescent="0.2">
      <c r="A542" s="121">
        <v>95</v>
      </c>
      <c r="B542" s="122" t="s">
        <v>1204</v>
      </c>
      <c r="C542" s="123" t="s">
        <v>429</v>
      </c>
      <c r="D542" s="123" t="s">
        <v>15</v>
      </c>
      <c r="E542" s="124" t="s">
        <v>1454</v>
      </c>
      <c r="F542" s="124" t="s">
        <v>1455</v>
      </c>
      <c r="G542" s="124" t="s">
        <v>1831</v>
      </c>
      <c r="H542" s="122" t="s">
        <v>1428</v>
      </c>
      <c r="I542" s="123">
        <v>20.545002</v>
      </c>
      <c r="J542" s="123">
        <v>-100.815361</v>
      </c>
      <c r="K542" s="122"/>
      <c r="L542" s="125" t="str">
        <f t="shared" si="24"/>
        <v>Ver en Google Maps</v>
      </c>
      <c r="M542" s="122">
        <v>2</v>
      </c>
      <c r="N542" s="130"/>
      <c r="O542" s="109"/>
      <c r="P542" s="109"/>
      <c r="Q542" s="109"/>
      <c r="R542" s="109"/>
      <c r="S542" s="109"/>
      <c r="T542" s="109"/>
      <c r="U542" s="109"/>
      <c r="V542" s="109"/>
      <c r="W542" s="109"/>
      <c r="X542" s="109"/>
      <c r="Y542" s="109"/>
      <c r="Z542" s="109"/>
      <c r="AA542" s="109"/>
      <c r="AB542" s="109"/>
      <c r="AC542" s="110"/>
      <c r="AD542" s="110"/>
      <c r="AE542" s="109"/>
      <c r="AF542" s="151"/>
    </row>
    <row r="543" spans="1:32" x14ac:dyDescent="0.2">
      <c r="A543" s="112">
        <v>98</v>
      </c>
      <c r="B543" s="113" t="s">
        <v>1204</v>
      </c>
      <c r="C543" s="114" t="s">
        <v>429</v>
      </c>
      <c r="D543" s="114" t="s">
        <v>15</v>
      </c>
      <c r="E543" s="115" t="s">
        <v>1456</v>
      </c>
      <c r="F543" s="115" t="s">
        <v>1457</v>
      </c>
      <c r="G543" s="115" t="s">
        <v>1109</v>
      </c>
      <c r="H543" s="113" t="s">
        <v>1428</v>
      </c>
      <c r="I543" s="114">
        <v>20.536621</v>
      </c>
      <c r="J543" s="114">
        <v>-100.830648</v>
      </c>
      <c r="K543" s="113"/>
      <c r="L543" s="116" t="str">
        <f t="shared" si="24"/>
        <v>Ver en Google Maps</v>
      </c>
      <c r="M543" s="113">
        <v>2</v>
      </c>
      <c r="N543" s="129"/>
      <c r="O543" s="118"/>
      <c r="P543" s="118"/>
      <c r="Q543" s="118"/>
      <c r="R543" s="118"/>
      <c r="S543" s="118"/>
      <c r="T543" s="118"/>
      <c r="U543" s="118"/>
      <c r="V543" s="118"/>
      <c r="W543" s="118"/>
      <c r="X543" s="118"/>
      <c r="Y543" s="118"/>
      <c r="Z543" s="118"/>
      <c r="AA543" s="118"/>
      <c r="AB543" s="118"/>
      <c r="AC543" s="119"/>
      <c r="AD543" s="119"/>
      <c r="AE543" s="118"/>
      <c r="AF543" s="152"/>
    </row>
    <row r="544" spans="1:32" x14ac:dyDescent="0.2">
      <c r="A544" s="121">
        <v>110</v>
      </c>
      <c r="B544" s="122" t="s">
        <v>1204</v>
      </c>
      <c r="C544" s="123" t="s">
        <v>429</v>
      </c>
      <c r="D544" s="123" t="s">
        <v>15</v>
      </c>
      <c r="E544" s="124" t="s">
        <v>1458</v>
      </c>
      <c r="F544" s="124" t="s">
        <v>1459</v>
      </c>
      <c r="G544" s="124" t="s">
        <v>1832</v>
      </c>
      <c r="H544" s="122" t="s">
        <v>1428</v>
      </c>
      <c r="I544" s="123">
        <v>20.510400000000001</v>
      </c>
      <c r="J544" s="123">
        <v>-100.83125</v>
      </c>
      <c r="K544" s="122"/>
      <c r="L544" s="125" t="str">
        <f t="shared" si="24"/>
        <v>Ver en Google Maps</v>
      </c>
      <c r="M544" s="122">
        <v>2</v>
      </c>
      <c r="N544" s="130"/>
      <c r="O544" s="109"/>
      <c r="P544" s="109"/>
      <c r="Q544" s="109"/>
      <c r="R544" s="109"/>
      <c r="S544" s="109"/>
      <c r="T544" s="109"/>
      <c r="U544" s="109"/>
      <c r="V544" s="109"/>
      <c r="W544" s="109"/>
      <c r="X544" s="109"/>
      <c r="Y544" s="109"/>
      <c r="Z544" s="109"/>
      <c r="AA544" s="109"/>
      <c r="AB544" s="109"/>
      <c r="AC544" s="110"/>
      <c r="AD544" s="110"/>
      <c r="AE544" s="109"/>
      <c r="AF544" s="151"/>
    </row>
    <row r="545" spans="1:32" x14ac:dyDescent="0.2">
      <c r="A545" s="112">
        <v>119</v>
      </c>
      <c r="B545" s="113" t="s">
        <v>1204</v>
      </c>
      <c r="C545" s="114" t="s">
        <v>429</v>
      </c>
      <c r="D545" s="114" t="s">
        <v>17</v>
      </c>
      <c r="E545" s="115" t="s">
        <v>1460</v>
      </c>
      <c r="F545" s="115" t="s">
        <v>1461</v>
      </c>
      <c r="G545" s="115" t="s">
        <v>1784</v>
      </c>
      <c r="H545" s="113" t="s">
        <v>1428</v>
      </c>
      <c r="I545" s="114">
        <v>20.526890000000002</v>
      </c>
      <c r="J545" s="114">
        <v>-100.83289000000001</v>
      </c>
      <c r="K545" s="113"/>
      <c r="L545" s="116" t="str">
        <f t="shared" si="24"/>
        <v>Ver en Google Maps</v>
      </c>
      <c r="M545" s="113">
        <v>1</v>
      </c>
      <c r="N545" s="129"/>
      <c r="O545" s="118"/>
      <c r="P545" s="118"/>
      <c r="Q545" s="118"/>
      <c r="R545" s="118"/>
      <c r="S545" s="118"/>
      <c r="T545" s="118"/>
      <c r="U545" s="118"/>
      <c r="V545" s="118"/>
      <c r="W545" s="118"/>
      <c r="X545" s="118"/>
      <c r="Y545" s="118"/>
      <c r="Z545" s="118"/>
      <c r="AA545" s="118"/>
      <c r="AB545" s="118"/>
      <c r="AC545" s="119"/>
      <c r="AD545" s="119"/>
      <c r="AE545" s="118"/>
      <c r="AF545" s="152"/>
    </row>
    <row r="546" spans="1:32" x14ac:dyDescent="0.2">
      <c r="A546" s="121">
        <v>122</v>
      </c>
      <c r="B546" s="122" t="s">
        <v>1204</v>
      </c>
      <c r="C546" s="123" t="s">
        <v>429</v>
      </c>
      <c r="D546" s="123" t="s">
        <v>17</v>
      </c>
      <c r="E546" s="124" t="s">
        <v>1462</v>
      </c>
      <c r="F546" s="124" t="s">
        <v>1463</v>
      </c>
      <c r="G546" s="124" t="s">
        <v>1833</v>
      </c>
      <c r="H546" s="122" t="s">
        <v>1428</v>
      </c>
      <c r="I546" s="123">
        <v>20.543749999999999</v>
      </c>
      <c r="J546" s="123">
        <v>-100.83436</v>
      </c>
      <c r="K546" s="122"/>
      <c r="L546" s="125" t="str">
        <f t="shared" si="24"/>
        <v>Ver en Google Maps</v>
      </c>
      <c r="M546" s="122">
        <v>1</v>
      </c>
      <c r="N546" s="130"/>
      <c r="O546" s="109"/>
      <c r="P546" s="109"/>
      <c r="Q546" s="109"/>
      <c r="R546" s="109"/>
      <c r="S546" s="109"/>
      <c r="T546" s="109"/>
      <c r="U546" s="109"/>
      <c r="V546" s="109"/>
      <c r="W546" s="109"/>
      <c r="X546" s="109"/>
      <c r="Y546" s="109"/>
      <c r="Z546" s="109"/>
      <c r="AA546" s="109"/>
      <c r="AB546" s="109"/>
      <c r="AC546" s="110"/>
      <c r="AD546" s="110"/>
      <c r="AE546" s="109"/>
      <c r="AF546" s="151"/>
    </row>
    <row r="547" spans="1:32" x14ac:dyDescent="0.2">
      <c r="A547" s="112">
        <v>124</v>
      </c>
      <c r="B547" s="113" t="s">
        <v>1204</v>
      </c>
      <c r="C547" s="114" t="s">
        <v>429</v>
      </c>
      <c r="D547" s="114" t="s">
        <v>17</v>
      </c>
      <c r="E547" s="115" t="s">
        <v>1464</v>
      </c>
      <c r="F547" s="115" t="s">
        <v>1465</v>
      </c>
      <c r="G547" s="115" t="s">
        <v>1834</v>
      </c>
      <c r="H547" s="113" t="s">
        <v>1428</v>
      </c>
      <c r="I547" s="114">
        <v>20.543527000000001</v>
      </c>
      <c r="J547" s="114">
        <v>-100.799931</v>
      </c>
      <c r="K547" s="113"/>
      <c r="L547" s="116" t="str">
        <f t="shared" si="24"/>
        <v>Ver en Google Maps</v>
      </c>
      <c r="M547" s="113">
        <v>1</v>
      </c>
      <c r="N547" s="129"/>
      <c r="O547" s="118"/>
      <c r="P547" s="118"/>
      <c r="Q547" s="118"/>
      <c r="R547" s="118"/>
      <c r="S547" s="118"/>
      <c r="T547" s="118"/>
      <c r="U547" s="118"/>
      <c r="V547" s="118"/>
      <c r="W547" s="118"/>
      <c r="X547" s="118"/>
      <c r="Y547" s="118"/>
      <c r="Z547" s="118"/>
      <c r="AA547" s="118"/>
      <c r="AB547" s="118"/>
      <c r="AC547" s="119"/>
      <c r="AD547" s="119"/>
      <c r="AE547" s="118"/>
      <c r="AF547" s="152"/>
    </row>
    <row r="548" spans="1:32" x14ac:dyDescent="0.2">
      <c r="A548" s="121">
        <v>126</v>
      </c>
      <c r="B548" s="122" t="s">
        <v>1204</v>
      </c>
      <c r="C548" s="123" t="s">
        <v>429</v>
      </c>
      <c r="D548" s="123" t="s">
        <v>17</v>
      </c>
      <c r="E548" s="124" t="s">
        <v>1466</v>
      </c>
      <c r="F548" s="124" t="s">
        <v>1467</v>
      </c>
      <c r="G548" s="124" t="s">
        <v>1835</v>
      </c>
      <c r="H548" s="122" t="s">
        <v>1428</v>
      </c>
      <c r="I548" s="123">
        <v>20.492249999999999</v>
      </c>
      <c r="J548" s="123">
        <v>-100.80717</v>
      </c>
      <c r="K548" s="122"/>
      <c r="L548" s="125" t="str">
        <f t="shared" si="24"/>
        <v>Ver en Google Maps</v>
      </c>
      <c r="M548" s="122">
        <v>1</v>
      </c>
      <c r="N548" s="130"/>
      <c r="O548" s="109"/>
      <c r="P548" s="109"/>
      <c r="Q548" s="109"/>
      <c r="R548" s="109"/>
      <c r="S548" s="109"/>
      <c r="T548" s="109"/>
      <c r="U548" s="109"/>
      <c r="V548" s="109"/>
      <c r="W548" s="109"/>
      <c r="X548" s="109"/>
      <c r="Y548" s="109"/>
      <c r="Z548" s="109"/>
      <c r="AA548" s="109"/>
      <c r="AB548" s="109"/>
      <c r="AC548" s="110"/>
      <c r="AD548" s="110"/>
      <c r="AE548" s="109"/>
      <c r="AF548" s="151"/>
    </row>
    <row r="549" spans="1:32" x14ac:dyDescent="0.2">
      <c r="A549" s="112">
        <v>127</v>
      </c>
      <c r="B549" s="113" t="s">
        <v>1204</v>
      </c>
      <c r="C549" s="114" t="s">
        <v>429</v>
      </c>
      <c r="D549" s="114" t="s">
        <v>17</v>
      </c>
      <c r="E549" s="115" t="s">
        <v>1468</v>
      </c>
      <c r="F549" s="115" t="s">
        <v>1469</v>
      </c>
      <c r="G549" s="115" t="s">
        <v>1836</v>
      </c>
      <c r="H549" s="113" t="s">
        <v>1428</v>
      </c>
      <c r="I549" s="114">
        <v>20.542413</v>
      </c>
      <c r="J549" s="114">
        <v>-100.817379</v>
      </c>
      <c r="K549" s="113"/>
      <c r="L549" s="116" t="str">
        <f t="shared" si="24"/>
        <v>Ver en Google Maps</v>
      </c>
      <c r="M549" s="113">
        <v>1</v>
      </c>
      <c r="N549" s="129"/>
      <c r="O549" s="118"/>
      <c r="P549" s="118"/>
      <c r="Q549" s="118"/>
      <c r="R549" s="118"/>
      <c r="S549" s="118"/>
      <c r="T549" s="118"/>
      <c r="U549" s="118"/>
      <c r="V549" s="118"/>
      <c r="W549" s="118"/>
      <c r="X549" s="118"/>
      <c r="Y549" s="118"/>
      <c r="Z549" s="118"/>
      <c r="AA549" s="118"/>
      <c r="AB549" s="118"/>
      <c r="AC549" s="119"/>
      <c r="AD549" s="119"/>
      <c r="AE549" s="118"/>
      <c r="AF549" s="152"/>
    </row>
    <row r="550" spans="1:32" x14ac:dyDescent="0.2">
      <c r="A550" s="121">
        <v>129</v>
      </c>
      <c r="B550" s="122" t="s">
        <v>1204</v>
      </c>
      <c r="C550" s="123" t="s">
        <v>429</v>
      </c>
      <c r="D550" s="123" t="s">
        <v>17</v>
      </c>
      <c r="E550" s="124" t="s">
        <v>1470</v>
      </c>
      <c r="F550" s="124" t="s">
        <v>1471</v>
      </c>
      <c r="G550" s="124" t="s">
        <v>1837</v>
      </c>
      <c r="H550" s="122" t="s">
        <v>1428</v>
      </c>
      <c r="I550" s="123">
        <v>20.50226</v>
      </c>
      <c r="J550" s="123">
        <v>-100.81370200000001</v>
      </c>
      <c r="K550" s="122"/>
      <c r="L550" s="125" t="str">
        <f t="shared" si="24"/>
        <v>Ver en Google Maps</v>
      </c>
      <c r="M550" s="122">
        <v>1</v>
      </c>
      <c r="N550" s="130"/>
      <c r="O550" s="109"/>
      <c r="P550" s="109"/>
      <c r="Q550" s="109"/>
      <c r="R550" s="109"/>
      <c r="S550" s="109"/>
      <c r="T550" s="109"/>
      <c r="U550" s="109"/>
      <c r="V550" s="109"/>
      <c r="W550" s="109"/>
      <c r="X550" s="109"/>
      <c r="Y550" s="109"/>
      <c r="Z550" s="109"/>
      <c r="AA550" s="109"/>
      <c r="AB550" s="109"/>
      <c r="AC550" s="110"/>
      <c r="AD550" s="110"/>
      <c r="AE550" s="109"/>
      <c r="AF550" s="151"/>
    </row>
    <row r="551" spans="1:32" x14ac:dyDescent="0.2">
      <c r="A551" s="112">
        <v>139</v>
      </c>
      <c r="B551" s="113" t="s">
        <v>1204</v>
      </c>
      <c r="C551" s="114" t="s">
        <v>429</v>
      </c>
      <c r="D551" s="114" t="s">
        <v>17</v>
      </c>
      <c r="E551" s="115" t="s">
        <v>1472</v>
      </c>
      <c r="F551" s="115" t="s">
        <v>1473</v>
      </c>
      <c r="G551" s="115" t="s">
        <v>1838</v>
      </c>
      <c r="H551" s="113" t="s">
        <v>1428</v>
      </c>
      <c r="I551" s="114">
        <v>20.52656</v>
      </c>
      <c r="J551" s="114">
        <v>-100.82903</v>
      </c>
      <c r="K551" s="113"/>
      <c r="L551" s="116" t="str">
        <f t="shared" si="24"/>
        <v>Ver en Google Maps</v>
      </c>
      <c r="M551" s="113">
        <v>1</v>
      </c>
      <c r="N551" s="129"/>
      <c r="O551" s="118"/>
      <c r="P551" s="118"/>
      <c r="Q551" s="118"/>
      <c r="R551" s="118"/>
      <c r="S551" s="118"/>
      <c r="T551" s="118"/>
      <c r="U551" s="118"/>
      <c r="V551" s="118"/>
      <c r="W551" s="118"/>
      <c r="X551" s="118"/>
      <c r="Y551" s="118"/>
      <c r="Z551" s="118"/>
      <c r="AA551" s="118"/>
      <c r="AB551" s="118"/>
      <c r="AC551" s="119"/>
      <c r="AD551" s="119"/>
      <c r="AE551" s="118"/>
      <c r="AF551" s="152"/>
    </row>
    <row r="552" spans="1:32" x14ac:dyDescent="0.2">
      <c r="A552" s="121">
        <v>153</v>
      </c>
      <c r="B552" s="122" t="s">
        <v>1204</v>
      </c>
      <c r="C552" s="123" t="s">
        <v>429</v>
      </c>
      <c r="D552" s="123" t="s">
        <v>17</v>
      </c>
      <c r="E552" s="124" t="s">
        <v>1474</v>
      </c>
      <c r="F552" s="124" t="s">
        <v>1475</v>
      </c>
      <c r="G552" s="124" t="s">
        <v>1839</v>
      </c>
      <c r="H552" s="122" t="s">
        <v>1428</v>
      </c>
      <c r="I552" s="123">
        <v>20.49811</v>
      </c>
      <c r="J552" s="123">
        <v>-100.81658</v>
      </c>
      <c r="K552" s="122"/>
      <c r="L552" s="125" t="str">
        <f t="shared" si="24"/>
        <v>Ver en Google Maps</v>
      </c>
      <c r="M552" s="122">
        <v>1</v>
      </c>
      <c r="N552" s="130"/>
      <c r="O552" s="109"/>
      <c r="P552" s="109"/>
      <c r="Q552" s="109"/>
      <c r="R552" s="109"/>
      <c r="S552" s="109"/>
      <c r="T552" s="109"/>
      <c r="U552" s="109"/>
      <c r="V552" s="109"/>
      <c r="W552" s="109"/>
      <c r="X552" s="109"/>
      <c r="Y552" s="109"/>
      <c r="Z552" s="109"/>
      <c r="AA552" s="109"/>
      <c r="AB552" s="109"/>
      <c r="AC552" s="110"/>
      <c r="AD552" s="110"/>
      <c r="AE552" s="109"/>
      <c r="AF552" s="151"/>
    </row>
    <row r="553" spans="1:32" x14ac:dyDescent="0.2">
      <c r="A553" s="112">
        <v>155</v>
      </c>
      <c r="B553" s="113" t="s">
        <v>1204</v>
      </c>
      <c r="C553" s="114" t="s">
        <v>429</v>
      </c>
      <c r="D553" s="114" t="s">
        <v>17</v>
      </c>
      <c r="E553" s="115" t="s">
        <v>1476</v>
      </c>
      <c r="F553" s="115" t="s">
        <v>1477</v>
      </c>
      <c r="G553" s="115" t="s">
        <v>1790</v>
      </c>
      <c r="H553" s="113" t="s">
        <v>1428</v>
      </c>
      <c r="I553" s="114">
        <v>20.559367999999999</v>
      </c>
      <c r="J553" s="114">
        <v>-100.801249</v>
      </c>
      <c r="K553" s="113"/>
      <c r="L553" s="116" t="str">
        <f t="shared" si="24"/>
        <v>Ver en Google Maps</v>
      </c>
      <c r="M553" s="113">
        <v>1</v>
      </c>
      <c r="N553" s="129"/>
      <c r="O553" s="118"/>
      <c r="P553" s="118"/>
      <c r="Q553" s="118"/>
      <c r="R553" s="118"/>
      <c r="S553" s="118"/>
      <c r="T553" s="118"/>
      <c r="U553" s="118"/>
      <c r="V553" s="118"/>
      <c r="W553" s="118"/>
      <c r="X553" s="118"/>
      <c r="Y553" s="118"/>
      <c r="Z553" s="118"/>
      <c r="AA553" s="118"/>
      <c r="AB553" s="118"/>
      <c r="AC553" s="119"/>
      <c r="AD553" s="119"/>
      <c r="AE553" s="118"/>
      <c r="AF553" s="152"/>
    </row>
    <row r="554" spans="1:32" x14ac:dyDescent="0.2">
      <c r="A554" s="121">
        <v>156</v>
      </c>
      <c r="B554" s="122" t="s">
        <v>1204</v>
      </c>
      <c r="C554" s="123" t="s">
        <v>429</v>
      </c>
      <c r="D554" s="123" t="s">
        <v>17</v>
      </c>
      <c r="E554" s="124" t="s">
        <v>1478</v>
      </c>
      <c r="F554" s="124" t="s">
        <v>1479</v>
      </c>
      <c r="G554" s="124" t="s">
        <v>1840</v>
      </c>
      <c r="H554" s="122" t="s">
        <v>1428</v>
      </c>
      <c r="I554" s="123">
        <v>20.549987000000002</v>
      </c>
      <c r="J554" s="123">
        <v>-100.809906</v>
      </c>
      <c r="K554" s="122"/>
      <c r="L554" s="125" t="str">
        <f t="shared" si="24"/>
        <v>Ver en Google Maps</v>
      </c>
      <c r="M554" s="122">
        <v>1</v>
      </c>
      <c r="N554" s="130"/>
      <c r="O554" s="109"/>
      <c r="P554" s="109"/>
      <c r="Q554" s="109"/>
      <c r="R554" s="109"/>
      <c r="S554" s="109"/>
      <c r="T554" s="109"/>
      <c r="U554" s="109"/>
      <c r="V554" s="109"/>
      <c r="W554" s="109"/>
      <c r="X554" s="109"/>
      <c r="Y554" s="109"/>
      <c r="Z554" s="109"/>
      <c r="AA554" s="109"/>
      <c r="AB554" s="109"/>
      <c r="AC554" s="110"/>
      <c r="AD554" s="110"/>
      <c r="AE554" s="109"/>
      <c r="AF554" s="151"/>
    </row>
    <row r="555" spans="1:32" x14ac:dyDescent="0.2">
      <c r="A555" s="112">
        <v>157</v>
      </c>
      <c r="B555" s="113" t="s">
        <v>1204</v>
      </c>
      <c r="C555" s="114" t="s">
        <v>429</v>
      </c>
      <c r="D555" s="114" t="s">
        <v>17</v>
      </c>
      <c r="E555" s="115" t="s">
        <v>1480</v>
      </c>
      <c r="F555" s="115" t="s">
        <v>1481</v>
      </c>
      <c r="G555" s="115" t="s">
        <v>1808</v>
      </c>
      <c r="H555" s="113" t="s">
        <v>1428</v>
      </c>
      <c r="I555" s="114">
        <v>20.54758</v>
      </c>
      <c r="J555" s="114">
        <v>-100.82993999999999</v>
      </c>
      <c r="K555" s="113"/>
      <c r="L555" s="116" t="str">
        <f t="shared" si="24"/>
        <v>Ver en Google Maps</v>
      </c>
      <c r="M555" s="113">
        <v>1</v>
      </c>
      <c r="N555" s="129"/>
      <c r="O555" s="118"/>
      <c r="P555" s="118"/>
      <c r="Q555" s="118"/>
      <c r="R555" s="118"/>
      <c r="S555" s="118"/>
      <c r="T555" s="118"/>
      <c r="U555" s="118"/>
      <c r="V555" s="118"/>
      <c r="W555" s="118"/>
      <c r="X555" s="118"/>
      <c r="Y555" s="118"/>
      <c r="Z555" s="118"/>
      <c r="AA555" s="118"/>
      <c r="AB555" s="118"/>
      <c r="AC555" s="119"/>
      <c r="AD555" s="119"/>
      <c r="AE555" s="118"/>
      <c r="AF555" s="152"/>
    </row>
    <row r="556" spans="1:32" x14ac:dyDescent="0.2">
      <c r="A556" s="121">
        <v>158</v>
      </c>
      <c r="B556" s="122" t="s">
        <v>1204</v>
      </c>
      <c r="C556" s="123" t="s">
        <v>429</v>
      </c>
      <c r="D556" s="123" t="s">
        <v>17</v>
      </c>
      <c r="E556" s="124" t="s">
        <v>1482</v>
      </c>
      <c r="F556" s="124" t="s">
        <v>1483</v>
      </c>
      <c r="G556" s="124" t="s">
        <v>1841</v>
      </c>
      <c r="H556" s="122" t="s">
        <v>1428</v>
      </c>
      <c r="I556" s="123">
        <v>20.518439999999998</v>
      </c>
      <c r="J556" s="123">
        <v>-100.82684</v>
      </c>
      <c r="K556" s="122"/>
      <c r="L556" s="125" t="str">
        <f t="shared" si="24"/>
        <v>Ver en Google Maps</v>
      </c>
      <c r="M556" s="122">
        <v>1</v>
      </c>
      <c r="N556" s="130"/>
      <c r="O556" s="109"/>
      <c r="P556" s="109"/>
      <c r="Q556" s="109"/>
      <c r="R556" s="109"/>
      <c r="S556" s="109"/>
      <c r="T556" s="109"/>
      <c r="U556" s="109"/>
      <c r="V556" s="109"/>
      <c r="W556" s="109"/>
      <c r="X556" s="109"/>
      <c r="Y556" s="109"/>
      <c r="Z556" s="109"/>
      <c r="AA556" s="109"/>
      <c r="AB556" s="109"/>
      <c r="AC556" s="110"/>
      <c r="AD556" s="110"/>
      <c r="AE556" s="109"/>
      <c r="AF556" s="151"/>
    </row>
    <row r="557" spans="1:32" x14ac:dyDescent="0.2">
      <c r="A557" s="112">
        <v>174</v>
      </c>
      <c r="B557" s="113" t="s">
        <v>1204</v>
      </c>
      <c r="C557" s="114" t="s">
        <v>429</v>
      </c>
      <c r="D557" s="114" t="s">
        <v>17</v>
      </c>
      <c r="E557" s="115" t="s">
        <v>1484</v>
      </c>
      <c r="F557" s="115" t="s">
        <v>1485</v>
      </c>
      <c r="G557" s="115" t="s">
        <v>1842</v>
      </c>
      <c r="H557" s="113" t="s">
        <v>1428</v>
      </c>
      <c r="I557" s="114">
        <v>20.510415999999999</v>
      </c>
      <c r="J557" s="114">
        <v>-100.77520699999999</v>
      </c>
      <c r="K557" s="113"/>
      <c r="L557" s="116" t="str">
        <f t="shared" si="24"/>
        <v>Ver en Google Maps</v>
      </c>
      <c r="M557" s="113">
        <v>1</v>
      </c>
      <c r="N557" s="129"/>
      <c r="O557" s="118"/>
      <c r="P557" s="118"/>
      <c r="Q557" s="118"/>
      <c r="R557" s="118"/>
      <c r="S557" s="118"/>
      <c r="T557" s="118"/>
      <c r="U557" s="118"/>
      <c r="V557" s="118"/>
      <c r="W557" s="118"/>
      <c r="X557" s="118"/>
      <c r="Y557" s="118"/>
      <c r="Z557" s="118"/>
      <c r="AA557" s="118"/>
      <c r="AB557" s="118"/>
      <c r="AC557" s="119"/>
      <c r="AD557" s="119"/>
      <c r="AE557" s="118"/>
      <c r="AF557" s="152"/>
    </row>
    <row r="558" spans="1:32" x14ac:dyDescent="0.2">
      <c r="A558" s="121">
        <v>175</v>
      </c>
      <c r="B558" s="122" t="s">
        <v>1204</v>
      </c>
      <c r="C558" s="123" t="s">
        <v>429</v>
      </c>
      <c r="D558" s="123" t="s">
        <v>17</v>
      </c>
      <c r="E558" s="124" t="s">
        <v>1486</v>
      </c>
      <c r="F558" s="124" t="s">
        <v>1487</v>
      </c>
      <c r="G558" s="124" t="s">
        <v>1843</v>
      </c>
      <c r="H558" s="122" t="s">
        <v>1428</v>
      </c>
      <c r="I558" s="123">
        <v>20.527470000000001</v>
      </c>
      <c r="J558" s="123">
        <v>-100.83808000000001</v>
      </c>
      <c r="K558" s="122"/>
      <c r="L558" s="125" t="str">
        <f t="shared" si="24"/>
        <v>Ver en Google Maps</v>
      </c>
      <c r="M558" s="122">
        <v>1</v>
      </c>
      <c r="N558" s="130"/>
      <c r="O558" s="109"/>
      <c r="P558" s="109"/>
      <c r="Q558" s="109"/>
      <c r="R558" s="109"/>
      <c r="S558" s="109"/>
      <c r="T558" s="109"/>
      <c r="U558" s="109"/>
      <c r="V558" s="109"/>
      <c r="W558" s="109"/>
      <c r="X558" s="109"/>
      <c r="Y558" s="109"/>
      <c r="Z558" s="109"/>
      <c r="AA558" s="109"/>
      <c r="AB558" s="109"/>
      <c r="AC558" s="110"/>
      <c r="AD558" s="110"/>
      <c r="AE558" s="109"/>
      <c r="AF558" s="151"/>
    </row>
    <row r="559" spans="1:32" x14ac:dyDescent="0.2">
      <c r="A559" s="112">
        <v>176</v>
      </c>
      <c r="B559" s="113" t="s">
        <v>1204</v>
      </c>
      <c r="C559" s="114" t="s">
        <v>429</v>
      </c>
      <c r="D559" s="114" t="s">
        <v>17</v>
      </c>
      <c r="E559" s="115" t="s">
        <v>1488</v>
      </c>
      <c r="F559" s="115" t="s">
        <v>1489</v>
      </c>
      <c r="G559" s="115" t="s">
        <v>1844</v>
      </c>
      <c r="H559" s="113" t="s">
        <v>1428</v>
      </c>
      <c r="I559" s="114">
        <v>20.527249000000001</v>
      </c>
      <c r="J559" s="114">
        <v>-100.80171300000001</v>
      </c>
      <c r="K559" s="113"/>
      <c r="L559" s="116" t="str">
        <f t="shared" si="24"/>
        <v>Ver en Google Maps</v>
      </c>
      <c r="M559" s="113">
        <v>1</v>
      </c>
      <c r="N559" s="129"/>
      <c r="O559" s="118"/>
      <c r="P559" s="118"/>
      <c r="Q559" s="118"/>
      <c r="R559" s="118"/>
      <c r="S559" s="118"/>
      <c r="T559" s="118"/>
      <c r="U559" s="118"/>
      <c r="V559" s="118"/>
      <c r="W559" s="118"/>
      <c r="X559" s="118"/>
      <c r="Y559" s="118"/>
      <c r="Z559" s="118"/>
      <c r="AA559" s="118"/>
      <c r="AB559" s="118"/>
      <c r="AC559" s="119"/>
      <c r="AD559" s="119"/>
      <c r="AE559" s="118"/>
      <c r="AF559" s="152"/>
    </row>
    <row r="560" spans="1:32" x14ac:dyDescent="0.2">
      <c r="A560" s="121">
        <v>177</v>
      </c>
      <c r="B560" s="122" t="s">
        <v>1204</v>
      </c>
      <c r="C560" s="123" t="s">
        <v>429</v>
      </c>
      <c r="D560" s="123" t="s">
        <v>17</v>
      </c>
      <c r="E560" s="124" t="s">
        <v>1490</v>
      </c>
      <c r="F560" s="124" t="s">
        <v>1491</v>
      </c>
      <c r="G560" s="124" t="s">
        <v>1845</v>
      </c>
      <c r="H560" s="122" t="s">
        <v>1428</v>
      </c>
      <c r="I560" s="123">
        <v>20.524750000000001</v>
      </c>
      <c r="J560" s="123">
        <v>-100.84413000000001</v>
      </c>
      <c r="K560" s="122"/>
      <c r="L560" s="125" t="str">
        <f t="shared" si="24"/>
        <v>Ver en Google Maps</v>
      </c>
      <c r="M560" s="122">
        <v>1</v>
      </c>
      <c r="N560" s="130"/>
      <c r="O560" s="109"/>
      <c r="P560" s="109"/>
      <c r="Q560" s="109"/>
      <c r="R560" s="109"/>
      <c r="S560" s="109"/>
      <c r="T560" s="109"/>
      <c r="U560" s="109"/>
      <c r="V560" s="109"/>
      <c r="W560" s="109"/>
      <c r="X560" s="109"/>
      <c r="Y560" s="109"/>
      <c r="Z560" s="109"/>
      <c r="AA560" s="109"/>
      <c r="AB560" s="109"/>
      <c r="AC560" s="110"/>
      <c r="AD560" s="110"/>
      <c r="AE560" s="109"/>
      <c r="AF560" s="151"/>
    </row>
    <row r="561" spans="1:32" x14ac:dyDescent="0.2">
      <c r="A561" s="112">
        <v>179</v>
      </c>
      <c r="B561" s="113" t="s">
        <v>1204</v>
      </c>
      <c r="C561" s="114" t="s">
        <v>429</v>
      </c>
      <c r="D561" s="114" t="s">
        <v>17</v>
      </c>
      <c r="E561" s="115" t="s">
        <v>1492</v>
      </c>
      <c r="F561" s="115" t="s">
        <v>1493</v>
      </c>
      <c r="G561" s="115" t="s">
        <v>1846</v>
      </c>
      <c r="H561" s="113" t="s">
        <v>1428</v>
      </c>
      <c r="I561" s="114">
        <v>20.510902999999999</v>
      </c>
      <c r="J561" s="114">
        <v>-100.797732</v>
      </c>
      <c r="K561" s="113"/>
      <c r="L561" s="116" t="str">
        <f t="shared" si="24"/>
        <v>Ver en Google Maps</v>
      </c>
      <c r="M561" s="113">
        <v>1</v>
      </c>
      <c r="N561" s="129"/>
      <c r="O561" s="118"/>
      <c r="P561" s="118"/>
      <c r="Q561" s="118"/>
      <c r="R561" s="118"/>
      <c r="S561" s="118"/>
      <c r="T561" s="118"/>
      <c r="U561" s="118"/>
      <c r="V561" s="118"/>
      <c r="W561" s="118"/>
      <c r="X561" s="118"/>
      <c r="Y561" s="118"/>
      <c r="Z561" s="118"/>
      <c r="AA561" s="118"/>
      <c r="AB561" s="118"/>
      <c r="AC561" s="119"/>
      <c r="AD561" s="119"/>
      <c r="AE561" s="118"/>
      <c r="AF561" s="152"/>
    </row>
    <row r="562" spans="1:32" x14ac:dyDescent="0.2">
      <c r="A562" s="121">
        <v>185</v>
      </c>
      <c r="B562" s="122" t="s">
        <v>1204</v>
      </c>
      <c r="C562" s="123" t="s">
        <v>429</v>
      </c>
      <c r="D562" s="123" t="s">
        <v>17</v>
      </c>
      <c r="E562" s="124" t="s">
        <v>1494</v>
      </c>
      <c r="F562" s="124" t="s">
        <v>1495</v>
      </c>
      <c r="G562" s="124" t="s">
        <v>1847</v>
      </c>
      <c r="H562" s="122" t="s">
        <v>1428</v>
      </c>
      <c r="I562" s="123">
        <v>20.515415999999998</v>
      </c>
      <c r="J562" s="123">
        <v>-100.78680799999999</v>
      </c>
      <c r="K562" s="122"/>
      <c r="L562" s="125" t="str">
        <f t="shared" si="24"/>
        <v>Ver en Google Maps</v>
      </c>
      <c r="M562" s="122">
        <v>1</v>
      </c>
      <c r="N562" s="130"/>
      <c r="O562" s="109"/>
      <c r="P562" s="109"/>
      <c r="Q562" s="109"/>
      <c r="R562" s="109"/>
      <c r="S562" s="109"/>
      <c r="T562" s="109"/>
      <c r="U562" s="109"/>
      <c r="V562" s="109"/>
      <c r="W562" s="109"/>
      <c r="X562" s="109"/>
      <c r="Y562" s="109"/>
      <c r="Z562" s="109"/>
      <c r="AA562" s="109"/>
      <c r="AB562" s="109"/>
      <c r="AC562" s="110"/>
      <c r="AD562" s="110"/>
      <c r="AE562" s="109"/>
      <c r="AF562" s="151"/>
    </row>
    <row r="563" spans="1:32" x14ac:dyDescent="0.2">
      <c r="A563" s="112">
        <v>186</v>
      </c>
      <c r="B563" s="113" t="s">
        <v>1204</v>
      </c>
      <c r="C563" s="114" t="s">
        <v>429</v>
      </c>
      <c r="D563" s="114" t="s">
        <v>17</v>
      </c>
      <c r="E563" s="115" t="s">
        <v>1496</v>
      </c>
      <c r="F563" s="115" t="s">
        <v>1497</v>
      </c>
      <c r="G563" s="115" t="s">
        <v>1848</v>
      </c>
      <c r="H563" s="113" t="s">
        <v>1428</v>
      </c>
      <c r="I563" s="114">
        <v>20.508379999999999</v>
      </c>
      <c r="J563" s="114">
        <v>-100.80757699999999</v>
      </c>
      <c r="K563" s="113"/>
      <c r="L563" s="116" t="str">
        <f t="shared" si="24"/>
        <v>Ver en Google Maps</v>
      </c>
      <c r="M563" s="113">
        <v>1</v>
      </c>
      <c r="N563" s="129"/>
      <c r="O563" s="118"/>
      <c r="P563" s="118"/>
      <c r="Q563" s="118"/>
      <c r="R563" s="118"/>
      <c r="S563" s="118"/>
      <c r="T563" s="118"/>
      <c r="U563" s="118"/>
      <c r="V563" s="118"/>
      <c r="W563" s="118"/>
      <c r="X563" s="118"/>
      <c r="Y563" s="118"/>
      <c r="Z563" s="118"/>
      <c r="AA563" s="118"/>
      <c r="AB563" s="118"/>
      <c r="AC563" s="119"/>
      <c r="AD563" s="119"/>
      <c r="AE563" s="118"/>
      <c r="AF563" s="152"/>
    </row>
    <row r="564" spans="1:32" x14ac:dyDescent="0.2">
      <c r="A564" s="121">
        <v>188</v>
      </c>
      <c r="B564" s="122" t="s">
        <v>1204</v>
      </c>
      <c r="C564" s="123" t="s">
        <v>429</v>
      </c>
      <c r="D564" s="123" t="s">
        <v>17</v>
      </c>
      <c r="E564" s="124" t="s">
        <v>1498</v>
      </c>
      <c r="F564" s="124" t="s">
        <v>1499</v>
      </c>
      <c r="G564" s="124" t="s">
        <v>1849</v>
      </c>
      <c r="H564" s="122" t="s">
        <v>1428</v>
      </c>
      <c r="I564" s="123">
        <v>20.503837000000001</v>
      </c>
      <c r="J564" s="123">
        <v>-100.80708799999999</v>
      </c>
      <c r="K564" s="122"/>
      <c r="L564" s="125" t="str">
        <f t="shared" si="24"/>
        <v>Ver en Google Maps</v>
      </c>
      <c r="M564" s="122">
        <v>1</v>
      </c>
      <c r="N564" s="130"/>
      <c r="O564" s="109"/>
      <c r="P564" s="109"/>
      <c r="Q564" s="109"/>
      <c r="R564" s="109"/>
      <c r="S564" s="109"/>
      <c r="T564" s="109"/>
      <c r="U564" s="109"/>
      <c r="V564" s="109"/>
      <c r="W564" s="109"/>
      <c r="X564" s="109"/>
      <c r="Y564" s="109"/>
      <c r="Z564" s="109"/>
      <c r="AA564" s="109"/>
      <c r="AB564" s="109"/>
      <c r="AC564" s="110"/>
      <c r="AD564" s="110"/>
      <c r="AE564" s="109"/>
      <c r="AF564" s="151"/>
    </row>
    <row r="565" spans="1:32" x14ac:dyDescent="0.2">
      <c r="A565" s="112">
        <v>192</v>
      </c>
      <c r="B565" s="113" t="s">
        <v>1204</v>
      </c>
      <c r="C565" s="114" t="s">
        <v>429</v>
      </c>
      <c r="D565" s="114" t="s">
        <v>17</v>
      </c>
      <c r="E565" s="115" t="s">
        <v>1500</v>
      </c>
      <c r="F565" s="115" t="s">
        <v>1501</v>
      </c>
      <c r="G565" s="115" t="s">
        <v>1850</v>
      </c>
      <c r="H565" s="113" t="s">
        <v>1428</v>
      </c>
      <c r="I565" s="114">
        <v>20.512329999999999</v>
      </c>
      <c r="J565" s="114">
        <v>-100.81455</v>
      </c>
      <c r="K565" s="113"/>
      <c r="L565" s="116" t="str">
        <f t="shared" si="24"/>
        <v>Ver en Google Maps</v>
      </c>
      <c r="M565" s="113">
        <v>1</v>
      </c>
      <c r="N565" s="129"/>
      <c r="O565" s="118"/>
      <c r="P565" s="118"/>
      <c r="Q565" s="118"/>
      <c r="R565" s="118"/>
      <c r="S565" s="118"/>
      <c r="T565" s="118"/>
      <c r="U565" s="118"/>
      <c r="V565" s="118"/>
      <c r="W565" s="118"/>
      <c r="X565" s="118"/>
      <c r="Y565" s="118"/>
      <c r="Z565" s="118"/>
      <c r="AA565" s="118"/>
      <c r="AB565" s="118"/>
      <c r="AC565" s="119"/>
      <c r="AD565" s="119"/>
      <c r="AE565" s="118"/>
      <c r="AF565" s="152"/>
    </row>
    <row r="566" spans="1:32" x14ac:dyDescent="0.2">
      <c r="A566" s="121">
        <v>193</v>
      </c>
      <c r="B566" s="122" t="s">
        <v>1204</v>
      </c>
      <c r="C566" s="123" t="s">
        <v>429</v>
      </c>
      <c r="D566" s="123" t="s">
        <v>17</v>
      </c>
      <c r="E566" s="124" t="s">
        <v>1502</v>
      </c>
      <c r="F566" s="124" t="s">
        <v>1503</v>
      </c>
      <c r="G566" s="124" t="s">
        <v>1851</v>
      </c>
      <c r="H566" s="122" t="s">
        <v>1428</v>
      </c>
      <c r="I566" s="123">
        <v>20.506601</v>
      </c>
      <c r="J566" s="123">
        <v>-100.827613</v>
      </c>
      <c r="K566" s="122"/>
      <c r="L566" s="125" t="str">
        <f t="shared" si="24"/>
        <v>Ver en Google Maps</v>
      </c>
      <c r="M566" s="122">
        <v>1</v>
      </c>
      <c r="N566" s="130"/>
      <c r="O566" s="109"/>
      <c r="P566" s="109"/>
      <c r="Q566" s="109"/>
      <c r="R566" s="109"/>
      <c r="S566" s="109"/>
      <c r="T566" s="109"/>
      <c r="U566" s="109"/>
      <c r="V566" s="109"/>
      <c r="W566" s="109"/>
      <c r="X566" s="109"/>
      <c r="Y566" s="109"/>
      <c r="Z566" s="109"/>
      <c r="AA566" s="109"/>
      <c r="AB566" s="109"/>
      <c r="AC566" s="110"/>
      <c r="AD566" s="110"/>
      <c r="AE566" s="109"/>
      <c r="AF566" s="151"/>
    </row>
    <row r="567" spans="1:32" x14ac:dyDescent="0.2">
      <c r="A567" s="112">
        <v>201</v>
      </c>
      <c r="B567" s="113" t="s">
        <v>1204</v>
      </c>
      <c r="C567" s="114" t="s">
        <v>429</v>
      </c>
      <c r="D567" s="114" t="s">
        <v>17</v>
      </c>
      <c r="E567" s="115" t="s">
        <v>1504</v>
      </c>
      <c r="F567" s="115" t="s">
        <v>1505</v>
      </c>
      <c r="G567" s="115" t="s">
        <v>1109</v>
      </c>
      <c r="H567" s="113" t="s">
        <v>1428</v>
      </c>
      <c r="I567" s="114">
        <v>20.534939999999999</v>
      </c>
      <c r="J567" s="114">
        <v>-100.8318</v>
      </c>
      <c r="K567" s="113"/>
      <c r="L567" s="116" t="str">
        <f t="shared" si="24"/>
        <v>Ver en Google Maps</v>
      </c>
      <c r="M567" s="113">
        <v>1</v>
      </c>
      <c r="N567" s="129"/>
      <c r="O567" s="118"/>
      <c r="P567" s="118"/>
      <c r="Q567" s="118"/>
      <c r="R567" s="118"/>
      <c r="S567" s="118"/>
      <c r="T567" s="118"/>
      <c r="U567" s="118"/>
      <c r="V567" s="118"/>
      <c r="W567" s="118"/>
      <c r="X567" s="118"/>
      <c r="Y567" s="118"/>
      <c r="Z567" s="118"/>
      <c r="AA567" s="118"/>
      <c r="AB567" s="118"/>
      <c r="AC567" s="119"/>
      <c r="AD567" s="119"/>
      <c r="AE567" s="118"/>
      <c r="AF567" s="152"/>
    </row>
    <row r="568" spans="1:32" x14ac:dyDescent="0.2">
      <c r="A568" s="121">
        <v>207</v>
      </c>
      <c r="B568" s="122" t="s">
        <v>1204</v>
      </c>
      <c r="C568" s="123" t="s">
        <v>429</v>
      </c>
      <c r="D568" s="123" t="s">
        <v>17</v>
      </c>
      <c r="E568" s="124" t="s">
        <v>1506</v>
      </c>
      <c r="F568" s="124" t="s">
        <v>1507</v>
      </c>
      <c r="G568" s="124" t="s">
        <v>1852</v>
      </c>
      <c r="H568" s="122" t="s">
        <v>1428</v>
      </c>
      <c r="I568" s="123">
        <v>20.538181999999999</v>
      </c>
      <c r="J568" s="123">
        <v>-100.83867600000001</v>
      </c>
      <c r="K568" s="122"/>
      <c r="L568" s="125" t="str">
        <f t="shared" si="24"/>
        <v>Ver en Google Maps</v>
      </c>
      <c r="M568" s="122">
        <v>1</v>
      </c>
      <c r="N568" s="130"/>
      <c r="O568" s="109"/>
      <c r="P568" s="109"/>
      <c r="Q568" s="109"/>
      <c r="R568" s="109"/>
      <c r="S568" s="109"/>
      <c r="T568" s="109"/>
      <c r="U568" s="109"/>
      <c r="V568" s="109"/>
      <c r="W568" s="109"/>
      <c r="X568" s="109"/>
      <c r="Y568" s="109"/>
      <c r="Z568" s="109"/>
      <c r="AA568" s="109"/>
      <c r="AB568" s="109"/>
      <c r="AC568" s="110"/>
      <c r="AD568" s="110"/>
      <c r="AE568" s="109"/>
      <c r="AF568" s="151"/>
    </row>
    <row r="569" spans="1:32" x14ac:dyDescent="0.2">
      <c r="A569" s="112">
        <v>210</v>
      </c>
      <c r="B569" s="113" t="s">
        <v>1204</v>
      </c>
      <c r="C569" s="114" t="s">
        <v>429</v>
      </c>
      <c r="D569" s="114" t="s">
        <v>17</v>
      </c>
      <c r="E569" s="115" t="s">
        <v>1508</v>
      </c>
      <c r="F569" s="115" t="s">
        <v>1509</v>
      </c>
      <c r="G569" s="115" t="s">
        <v>1853</v>
      </c>
      <c r="H569" s="113" t="s">
        <v>1428</v>
      </c>
      <c r="I569" s="114">
        <v>20.538132000000001</v>
      </c>
      <c r="J569" s="114">
        <v>-100.803398</v>
      </c>
      <c r="K569" s="113"/>
      <c r="L569" s="116" t="str">
        <f t="shared" si="24"/>
        <v>Ver en Google Maps</v>
      </c>
      <c r="M569" s="113">
        <v>1</v>
      </c>
      <c r="N569" s="129"/>
      <c r="O569" s="118"/>
      <c r="P569" s="118"/>
      <c r="Q569" s="118"/>
      <c r="R569" s="118"/>
      <c r="S569" s="118"/>
      <c r="T569" s="118"/>
      <c r="U569" s="118"/>
      <c r="V569" s="118"/>
      <c r="W569" s="118"/>
      <c r="X569" s="118"/>
      <c r="Y569" s="118"/>
      <c r="Z569" s="118"/>
      <c r="AA569" s="118"/>
      <c r="AB569" s="118"/>
      <c r="AC569" s="119"/>
      <c r="AD569" s="119"/>
      <c r="AE569" s="118"/>
      <c r="AF569" s="152"/>
    </row>
    <row r="570" spans="1:32" x14ac:dyDescent="0.2">
      <c r="A570" s="121">
        <v>225</v>
      </c>
      <c r="B570" s="122" t="s">
        <v>1204</v>
      </c>
      <c r="C570" s="123" t="s">
        <v>429</v>
      </c>
      <c r="D570" s="123" t="s">
        <v>17</v>
      </c>
      <c r="E570" s="124" t="s">
        <v>1510</v>
      </c>
      <c r="F570" s="124" t="s">
        <v>1511</v>
      </c>
      <c r="G570" s="124" t="s">
        <v>1854</v>
      </c>
      <c r="H570" s="122" t="s">
        <v>1428</v>
      </c>
      <c r="I570" s="123">
        <v>20.505307999999999</v>
      </c>
      <c r="J570" s="123">
        <v>-100.82047799999999</v>
      </c>
      <c r="K570" s="122"/>
      <c r="L570" s="125" t="str">
        <f t="shared" si="24"/>
        <v>Ver en Google Maps</v>
      </c>
      <c r="M570" s="122">
        <v>1</v>
      </c>
      <c r="N570" s="130"/>
      <c r="O570" s="109"/>
      <c r="P570" s="109"/>
      <c r="Q570" s="109"/>
      <c r="R570" s="109"/>
      <c r="S570" s="109"/>
      <c r="T570" s="109"/>
      <c r="U570" s="109"/>
      <c r="V570" s="109"/>
      <c r="W570" s="109"/>
      <c r="X570" s="109"/>
      <c r="Y570" s="109"/>
      <c r="Z570" s="109"/>
      <c r="AA570" s="109"/>
      <c r="AB570" s="109"/>
      <c r="AC570" s="110"/>
      <c r="AD570" s="110"/>
      <c r="AE570" s="109"/>
      <c r="AF570" s="151"/>
    </row>
    <row r="571" spans="1:32" x14ac:dyDescent="0.2">
      <c r="A571" s="112">
        <v>239</v>
      </c>
      <c r="B571" s="113" t="s">
        <v>1204</v>
      </c>
      <c r="C571" s="114" t="s">
        <v>429</v>
      </c>
      <c r="D571" s="114" t="s">
        <v>17</v>
      </c>
      <c r="E571" s="115" t="s">
        <v>1512</v>
      </c>
      <c r="F571" s="115" t="s">
        <v>1513</v>
      </c>
      <c r="G571" s="115" t="s">
        <v>1855</v>
      </c>
      <c r="H571" s="113" t="s">
        <v>1428</v>
      </c>
      <c r="I571" s="114">
        <v>20.54551</v>
      </c>
      <c r="J571" s="114">
        <v>-100.782597</v>
      </c>
      <c r="K571" s="113"/>
      <c r="L571" s="116" t="str">
        <f t="shared" si="24"/>
        <v>Ver en Google Maps</v>
      </c>
      <c r="M571" s="113">
        <v>1</v>
      </c>
      <c r="N571" s="129"/>
      <c r="O571" s="118"/>
      <c r="P571" s="118"/>
      <c r="Q571" s="118"/>
      <c r="R571" s="118"/>
      <c r="S571" s="118"/>
      <c r="T571" s="118"/>
      <c r="U571" s="118"/>
      <c r="V571" s="118"/>
      <c r="W571" s="118"/>
      <c r="X571" s="118"/>
      <c r="Y571" s="118"/>
      <c r="Z571" s="118"/>
      <c r="AA571" s="118"/>
      <c r="AB571" s="118"/>
      <c r="AC571" s="119"/>
      <c r="AD571" s="119"/>
      <c r="AE571" s="118"/>
      <c r="AF571" s="152"/>
    </row>
    <row r="572" spans="1:32" x14ac:dyDescent="0.2">
      <c r="A572" s="121">
        <v>244</v>
      </c>
      <c r="B572" s="122" t="s">
        <v>1204</v>
      </c>
      <c r="C572" s="123" t="s">
        <v>429</v>
      </c>
      <c r="D572" s="123" t="s">
        <v>17</v>
      </c>
      <c r="E572" s="124" t="s">
        <v>1514</v>
      </c>
      <c r="F572" s="124" t="s">
        <v>1515</v>
      </c>
      <c r="G572" s="124" t="s">
        <v>1856</v>
      </c>
      <c r="H572" s="122" t="s">
        <v>1428</v>
      </c>
      <c r="I572" s="123">
        <v>20.547263999999998</v>
      </c>
      <c r="J572" s="123">
        <v>-100.823547</v>
      </c>
      <c r="K572" s="122"/>
      <c r="L572" s="125" t="str">
        <f t="shared" si="24"/>
        <v>Ver en Google Maps</v>
      </c>
      <c r="M572" s="122">
        <v>1</v>
      </c>
      <c r="N572" s="130"/>
      <c r="O572" s="109"/>
      <c r="P572" s="109"/>
      <c r="Q572" s="109"/>
      <c r="R572" s="109"/>
      <c r="S572" s="109"/>
      <c r="T572" s="109"/>
      <c r="U572" s="109"/>
      <c r="V572" s="109"/>
      <c r="W572" s="109"/>
      <c r="X572" s="109"/>
      <c r="Y572" s="109"/>
      <c r="Z572" s="109"/>
      <c r="AA572" s="109"/>
      <c r="AB572" s="109"/>
      <c r="AC572" s="110"/>
      <c r="AD572" s="110"/>
      <c r="AE572" s="109"/>
      <c r="AF572" s="151"/>
    </row>
    <row r="573" spans="1:32" x14ac:dyDescent="0.2">
      <c r="A573" s="112">
        <v>245</v>
      </c>
      <c r="B573" s="113" t="s">
        <v>1204</v>
      </c>
      <c r="C573" s="114" t="s">
        <v>429</v>
      </c>
      <c r="D573" s="114" t="s">
        <v>17</v>
      </c>
      <c r="E573" s="115" t="s">
        <v>1516</v>
      </c>
      <c r="F573" s="115" t="s">
        <v>1517</v>
      </c>
      <c r="G573" s="115" t="s">
        <v>1857</v>
      </c>
      <c r="H573" s="113" t="s">
        <v>1428</v>
      </c>
      <c r="I573" s="114">
        <v>20.502707000000001</v>
      </c>
      <c r="J573" s="114">
        <v>-100.82763199999999</v>
      </c>
      <c r="K573" s="113"/>
      <c r="L573" s="116" t="str">
        <f t="shared" si="24"/>
        <v>Ver en Google Maps</v>
      </c>
      <c r="M573" s="113">
        <v>1</v>
      </c>
      <c r="N573" s="129"/>
      <c r="O573" s="118"/>
      <c r="P573" s="118"/>
      <c r="Q573" s="118"/>
      <c r="R573" s="118"/>
      <c r="S573" s="118"/>
      <c r="T573" s="118"/>
      <c r="U573" s="118"/>
      <c r="V573" s="118"/>
      <c r="W573" s="118"/>
      <c r="X573" s="118"/>
      <c r="Y573" s="118"/>
      <c r="Z573" s="118"/>
      <c r="AA573" s="118"/>
      <c r="AB573" s="118"/>
      <c r="AC573" s="119"/>
      <c r="AD573" s="119"/>
      <c r="AE573" s="118"/>
      <c r="AF573" s="152"/>
    </row>
    <row r="574" spans="1:32" x14ac:dyDescent="0.2">
      <c r="A574" s="121">
        <v>250</v>
      </c>
      <c r="B574" s="122" t="s">
        <v>1204</v>
      </c>
      <c r="C574" s="123" t="s">
        <v>429</v>
      </c>
      <c r="D574" s="123" t="s">
        <v>17</v>
      </c>
      <c r="E574" s="124" t="s">
        <v>1518</v>
      </c>
      <c r="F574" s="124" t="s">
        <v>1519</v>
      </c>
      <c r="G574" s="124" t="s">
        <v>1858</v>
      </c>
      <c r="H574" s="122" t="s">
        <v>1428</v>
      </c>
      <c r="I574" s="123">
        <v>20.530248</v>
      </c>
      <c r="J574" s="123">
        <v>-100.79176200000001</v>
      </c>
      <c r="K574" s="122"/>
      <c r="L574" s="125" t="str">
        <f t="shared" si="24"/>
        <v>Ver en Google Maps</v>
      </c>
      <c r="M574" s="122">
        <v>1</v>
      </c>
      <c r="N574" s="130"/>
      <c r="O574" s="109"/>
      <c r="P574" s="109"/>
      <c r="Q574" s="109"/>
      <c r="R574" s="109"/>
      <c r="S574" s="109"/>
      <c r="T574" s="109"/>
      <c r="U574" s="109"/>
      <c r="V574" s="109"/>
      <c r="W574" s="109"/>
      <c r="X574" s="109"/>
      <c r="Y574" s="109"/>
      <c r="Z574" s="109"/>
      <c r="AA574" s="109"/>
      <c r="AB574" s="109"/>
      <c r="AC574" s="110"/>
      <c r="AD574" s="110"/>
      <c r="AE574" s="109"/>
      <c r="AF574" s="151"/>
    </row>
    <row r="575" spans="1:32" x14ac:dyDescent="0.2">
      <c r="A575" s="112">
        <v>268</v>
      </c>
      <c r="B575" s="113" t="s">
        <v>1204</v>
      </c>
      <c r="C575" s="114" t="s">
        <v>429</v>
      </c>
      <c r="D575" s="114" t="s">
        <v>17</v>
      </c>
      <c r="E575" s="115" t="s">
        <v>1520</v>
      </c>
      <c r="F575" s="115" t="s">
        <v>1521</v>
      </c>
      <c r="G575" s="115" t="s">
        <v>1859</v>
      </c>
      <c r="H575" s="113" t="s">
        <v>1428</v>
      </c>
      <c r="I575" s="114">
        <v>20.541145</v>
      </c>
      <c r="J575" s="114">
        <v>-100.795073</v>
      </c>
      <c r="K575" s="113"/>
      <c r="L575" s="116" t="str">
        <f t="shared" si="24"/>
        <v>Ver en Google Maps</v>
      </c>
      <c r="M575" s="113">
        <v>1</v>
      </c>
      <c r="N575" s="129"/>
      <c r="O575" s="118"/>
      <c r="P575" s="118"/>
      <c r="Q575" s="118"/>
      <c r="R575" s="118"/>
      <c r="S575" s="118"/>
      <c r="T575" s="118"/>
      <c r="U575" s="118"/>
      <c r="V575" s="118"/>
      <c r="W575" s="118"/>
      <c r="X575" s="118"/>
      <c r="Y575" s="118"/>
      <c r="Z575" s="118"/>
      <c r="AA575" s="118"/>
      <c r="AB575" s="118"/>
      <c r="AC575" s="119"/>
      <c r="AD575" s="119"/>
      <c r="AE575" s="118"/>
      <c r="AF575" s="152"/>
    </row>
    <row r="576" spans="1:32" x14ac:dyDescent="0.2">
      <c r="A576" s="121">
        <v>271</v>
      </c>
      <c r="B576" s="122" t="s">
        <v>1204</v>
      </c>
      <c r="C576" s="123" t="s">
        <v>429</v>
      </c>
      <c r="D576" s="123" t="s">
        <v>17</v>
      </c>
      <c r="E576" s="124" t="s">
        <v>1522</v>
      </c>
      <c r="F576" s="124" t="s">
        <v>1523</v>
      </c>
      <c r="G576" s="124" t="s">
        <v>1860</v>
      </c>
      <c r="H576" s="122" t="s">
        <v>1428</v>
      </c>
      <c r="I576" s="123">
        <v>20.545853000000001</v>
      </c>
      <c r="J576" s="123">
        <v>-100.806826</v>
      </c>
      <c r="K576" s="122"/>
      <c r="L576" s="125" t="str">
        <f t="shared" si="24"/>
        <v>Ver en Google Maps</v>
      </c>
      <c r="M576" s="122">
        <v>1</v>
      </c>
      <c r="N576" s="130"/>
      <c r="O576" s="109"/>
      <c r="P576" s="109"/>
      <c r="Q576" s="109"/>
      <c r="R576" s="109"/>
      <c r="S576" s="109"/>
      <c r="T576" s="109"/>
      <c r="U576" s="109"/>
      <c r="V576" s="109"/>
      <c r="W576" s="109"/>
      <c r="X576" s="109"/>
      <c r="Y576" s="109"/>
      <c r="Z576" s="109"/>
      <c r="AA576" s="109"/>
      <c r="AB576" s="109"/>
      <c r="AC576" s="110"/>
      <c r="AD576" s="110"/>
      <c r="AE576" s="109"/>
      <c r="AF576" s="151"/>
    </row>
    <row r="577" spans="1:32" x14ac:dyDescent="0.2">
      <c r="A577" s="112">
        <v>272</v>
      </c>
      <c r="B577" s="113" t="s">
        <v>1204</v>
      </c>
      <c r="C577" s="114" t="s">
        <v>429</v>
      </c>
      <c r="D577" s="114" t="s">
        <v>17</v>
      </c>
      <c r="E577" s="115" t="s">
        <v>1524</v>
      </c>
      <c r="F577" s="115" t="s">
        <v>1525</v>
      </c>
      <c r="G577" s="115" t="s">
        <v>1861</v>
      </c>
      <c r="H577" s="113" t="s">
        <v>1428</v>
      </c>
      <c r="I577" s="114">
        <v>20.534444000000001</v>
      </c>
      <c r="J577" s="114">
        <v>-100.789777</v>
      </c>
      <c r="K577" s="113"/>
      <c r="L577" s="116" t="str">
        <f t="shared" si="24"/>
        <v>Ver en Google Maps</v>
      </c>
      <c r="M577" s="113">
        <v>1</v>
      </c>
      <c r="N577" s="129"/>
      <c r="O577" s="118"/>
      <c r="P577" s="118"/>
      <c r="Q577" s="118"/>
      <c r="R577" s="118"/>
      <c r="S577" s="118"/>
      <c r="T577" s="118"/>
      <c r="U577" s="118"/>
      <c r="V577" s="118"/>
      <c r="W577" s="118"/>
      <c r="X577" s="118"/>
      <c r="Y577" s="118"/>
      <c r="Z577" s="118"/>
      <c r="AA577" s="118"/>
      <c r="AB577" s="118"/>
      <c r="AC577" s="119"/>
      <c r="AD577" s="119"/>
      <c r="AE577" s="118"/>
      <c r="AF577" s="152"/>
    </row>
    <row r="578" spans="1:32" x14ac:dyDescent="0.2">
      <c r="A578" s="121">
        <v>288</v>
      </c>
      <c r="B578" s="122" t="s">
        <v>1204</v>
      </c>
      <c r="C578" s="123" t="s">
        <v>429</v>
      </c>
      <c r="D578" s="123" t="s">
        <v>16</v>
      </c>
      <c r="E578" s="124" t="s">
        <v>1526</v>
      </c>
      <c r="F578" s="124" t="s">
        <v>1527</v>
      </c>
      <c r="G578" s="124" t="s">
        <v>1862</v>
      </c>
      <c r="H578" s="122" t="s">
        <v>1428</v>
      </c>
      <c r="I578" s="123">
        <v>20.555185999999999</v>
      </c>
      <c r="J578" s="123">
        <v>-100.825086</v>
      </c>
      <c r="K578" s="122"/>
      <c r="L578" s="125" t="str">
        <f t="shared" si="24"/>
        <v>Ver en Google Maps</v>
      </c>
      <c r="M578" s="122">
        <v>2</v>
      </c>
      <c r="N578" s="130"/>
      <c r="O578" s="109"/>
      <c r="P578" s="109"/>
      <c r="Q578" s="109"/>
      <c r="R578" s="109"/>
      <c r="S578" s="109"/>
      <c r="T578" s="109"/>
      <c r="U578" s="109"/>
      <c r="V578" s="109"/>
      <c r="W578" s="109"/>
      <c r="X578" s="109"/>
      <c r="Y578" s="109"/>
      <c r="Z578" s="109"/>
      <c r="AA578" s="109"/>
      <c r="AB578" s="109"/>
      <c r="AC578" s="110"/>
      <c r="AD578" s="110"/>
      <c r="AE578" s="109"/>
      <c r="AF578" s="151"/>
    </row>
    <row r="579" spans="1:32" x14ac:dyDescent="0.2">
      <c r="A579" s="112">
        <v>292</v>
      </c>
      <c r="B579" s="113" t="s">
        <v>1204</v>
      </c>
      <c r="C579" s="114" t="s">
        <v>429</v>
      </c>
      <c r="D579" s="114" t="s">
        <v>16</v>
      </c>
      <c r="E579" s="115" t="s">
        <v>1528</v>
      </c>
      <c r="F579" s="115" t="s">
        <v>1529</v>
      </c>
      <c r="G579" s="115" t="s">
        <v>1842</v>
      </c>
      <c r="H579" s="113" t="s">
        <v>1428</v>
      </c>
      <c r="I579" s="114">
        <v>20.511023999999999</v>
      </c>
      <c r="J579" s="114">
        <v>-100.776309</v>
      </c>
      <c r="K579" s="113"/>
      <c r="L579" s="116" t="str">
        <f t="shared" si="24"/>
        <v>Ver en Google Maps</v>
      </c>
      <c r="M579" s="113">
        <v>1</v>
      </c>
      <c r="N579" s="129"/>
      <c r="O579" s="118"/>
      <c r="P579" s="118"/>
      <c r="Q579" s="118"/>
      <c r="R579" s="118"/>
      <c r="S579" s="118"/>
      <c r="T579" s="118"/>
      <c r="U579" s="118"/>
      <c r="V579" s="118"/>
      <c r="W579" s="118"/>
      <c r="X579" s="118"/>
      <c r="Y579" s="118"/>
      <c r="Z579" s="118"/>
      <c r="AA579" s="118"/>
      <c r="AB579" s="118"/>
      <c r="AC579" s="119"/>
      <c r="AD579" s="119"/>
      <c r="AE579" s="118"/>
      <c r="AF579" s="152"/>
    </row>
    <row r="580" spans="1:32" x14ac:dyDescent="0.2">
      <c r="A580" s="121">
        <v>293</v>
      </c>
      <c r="B580" s="122" t="s">
        <v>1204</v>
      </c>
      <c r="C580" s="123" t="s">
        <v>429</v>
      </c>
      <c r="D580" s="123" t="s">
        <v>16</v>
      </c>
      <c r="E580" s="124" t="s">
        <v>1530</v>
      </c>
      <c r="F580" s="124" t="s">
        <v>1531</v>
      </c>
      <c r="G580" s="124" t="s">
        <v>1863</v>
      </c>
      <c r="H580" s="122" t="s">
        <v>1428</v>
      </c>
      <c r="I580" s="123">
        <v>20.513998999999998</v>
      </c>
      <c r="J580" s="123">
        <v>-100.78750100000001</v>
      </c>
      <c r="K580" s="122"/>
      <c r="L580" s="125" t="str">
        <f t="shared" si="24"/>
        <v>Ver en Google Maps</v>
      </c>
      <c r="M580" s="122">
        <v>2</v>
      </c>
      <c r="N580" s="130"/>
      <c r="O580" s="109"/>
      <c r="P580" s="109"/>
      <c r="Q580" s="109"/>
      <c r="R580" s="109"/>
      <c r="S580" s="109"/>
      <c r="T580" s="109"/>
      <c r="U580" s="109"/>
      <c r="V580" s="109"/>
      <c r="W580" s="109"/>
      <c r="X580" s="109"/>
      <c r="Y580" s="109"/>
      <c r="Z580" s="109"/>
      <c r="AA580" s="109"/>
      <c r="AB580" s="109"/>
      <c r="AC580" s="110"/>
      <c r="AD580" s="110"/>
      <c r="AE580" s="109"/>
      <c r="AF580" s="151"/>
    </row>
    <row r="581" spans="1:32" x14ac:dyDescent="0.2">
      <c r="A581" s="112">
        <v>297</v>
      </c>
      <c r="B581" s="113" t="s">
        <v>1204</v>
      </c>
      <c r="C581" s="114" t="s">
        <v>429</v>
      </c>
      <c r="D581" s="114" t="s">
        <v>16</v>
      </c>
      <c r="E581" s="115" t="s">
        <v>1532</v>
      </c>
      <c r="F581" s="115" t="s">
        <v>1533</v>
      </c>
      <c r="G581" s="115" t="s">
        <v>1864</v>
      </c>
      <c r="H581" s="113" t="s">
        <v>1428</v>
      </c>
      <c r="I581" s="114">
        <v>20.510815000000001</v>
      </c>
      <c r="J581" s="114">
        <v>-100.79826199999999</v>
      </c>
      <c r="K581" s="113"/>
      <c r="L581" s="116" t="str">
        <f t="shared" si="24"/>
        <v>Ver en Google Maps</v>
      </c>
      <c r="M581" s="113">
        <v>1</v>
      </c>
      <c r="N581" s="129"/>
      <c r="O581" s="118"/>
      <c r="P581" s="118"/>
      <c r="Q581" s="118"/>
      <c r="R581" s="118"/>
      <c r="S581" s="118"/>
      <c r="T581" s="118"/>
      <c r="U581" s="118"/>
      <c r="V581" s="118"/>
      <c r="W581" s="118"/>
      <c r="X581" s="118"/>
      <c r="Y581" s="118"/>
      <c r="Z581" s="118"/>
      <c r="AA581" s="118"/>
      <c r="AB581" s="118"/>
      <c r="AC581" s="119"/>
      <c r="AD581" s="119"/>
      <c r="AE581" s="118"/>
      <c r="AF581" s="152"/>
    </row>
    <row r="582" spans="1:32" x14ac:dyDescent="0.2">
      <c r="A582" s="121">
        <v>309</v>
      </c>
      <c r="B582" s="122" t="s">
        <v>1204</v>
      </c>
      <c r="C582" s="123" t="s">
        <v>429</v>
      </c>
      <c r="D582" s="123" t="s">
        <v>16</v>
      </c>
      <c r="E582" s="124" t="s">
        <v>1534</v>
      </c>
      <c r="F582" s="124" t="s">
        <v>1535</v>
      </c>
      <c r="G582" s="124" t="s">
        <v>1865</v>
      </c>
      <c r="H582" s="122" t="s">
        <v>1428</v>
      </c>
      <c r="I582" s="123">
        <v>20.536619999999999</v>
      </c>
      <c r="J582" s="123">
        <v>-100.830218</v>
      </c>
      <c r="K582" s="122"/>
      <c r="L582" s="125" t="str">
        <f t="shared" si="24"/>
        <v>Ver en Google Maps</v>
      </c>
      <c r="M582" s="122">
        <v>2</v>
      </c>
      <c r="N582" s="130"/>
      <c r="O582" s="109"/>
      <c r="P582" s="109"/>
      <c r="Q582" s="109"/>
      <c r="R582" s="109"/>
      <c r="S582" s="109"/>
      <c r="T582" s="109"/>
      <c r="U582" s="109"/>
      <c r="V582" s="109"/>
      <c r="W582" s="109"/>
      <c r="X582" s="109"/>
      <c r="Y582" s="109"/>
      <c r="Z582" s="109"/>
      <c r="AA582" s="109"/>
      <c r="AB582" s="109"/>
      <c r="AC582" s="110"/>
      <c r="AD582" s="110"/>
      <c r="AE582" s="109"/>
      <c r="AF582" s="151"/>
    </row>
    <row r="583" spans="1:32" x14ac:dyDescent="0.2">
      <c r="A583" s="112">
        <v>317</v>
      </c>
      <c r="B583" s="113" t="s">
        <v>1204</v>
      </c>
      <c r="C583" s="114" t="s">
        <v>429</v>
      </c>
      <c r="D583" s="114" t="s">
        <v>16</v>
      </c>
      <c r="E583" s="115" t="s">
        <v>1536</v>
      </c>
      <c r="F583" s="115" t="s">
        <v>1537</v>
      </c>
      <c r="G583" s="115" t="s">
        <v>360</v>
      </c>
      <c r="H583" s="113" t="s">
        <v>1428</v>
      </c>
      <c r="I583" s="114">
        <v>20.511153</v>
      </c>
      <c r="J583" s="114">
        <v>-100.81482200000001</v>
      </c>
      <c r="K583" s="113"/>
      <c r="L583" s="116" t="str">
        <f t="shared" si="24"/>
        <v>Ver en Google Maps</v>
      </c>
      <c r="M583" s="113">
        <v>1</v>
      </c>
      <c r="N583" s="129"/>
      <c r="O583" s="118"/>
      <c r="P583" s="118"/>
      <c r="Q583" s="118"/>
      <c r="R583" s="118"/>
      <c r="S583" s="118"/>
      <c r="T583" s="118"/>
      <c r="U583" s="118"/>
      <c r="V583" s="118"/>
      <c r="W583" s="118"/>
      <c r="X583" s="118"/>
      <c r="Y583" s="118"/>
      <c r="Z583" s="118"/>
      <c r="AA583" s="118"/>
      <c r="AB583" s="118"/>
      <c r="AC583" s="119"/>
      <c r="AD583" s="119"/>
      <c r="AE583" s="118"/>
      <c r="AF583" s="152"/>
    </row>
    <row r="584" spans="1:32" x14ac:dyDescent="0.2">
      <c r="A584" s="121">
        <v>318</v>
      </c>
      <c r="B584" s="122" t="s">
        <v>1204</v>
      </c>
      <c r="C584" s="123" t="s">
        <v>429</v>
      </c>
      <c r="D584" s="123" t="s">
        <v>16</v>
      </c>
      <c r="E584" s="124" t="s">
        <v>1538</v>
      </c>
      <c r="F584" s="124" t="s">
        <v>1539</v>
      </c>
      <c r="G584" s="124" t="s">
        <v>360</v>
      </c>
      <c r="H584" s="122" t="s">
        <v>1428</v>
      </c>
      <c r="I584" s="123">
        <v>20.531189999999999</v>
      </c>
      <c r="J584" s="123">
        <v>-100.81816999999999</v>
      </c>
      <c r="K584" s="122"/>
      <c r="L584" s="125" t="str">
        <f t="shared" si="24"/>
        <v>Ver en Google Maps</v>
      </c>
      <c r="M584" s="122">
        <v>1</v>
      </c>
      <c r="N584" s="130"/>
      <c r="O584" s="109"/>
      <c r="P584" s="109"/>
      <c r="Q584" s="109"/>
      <c r="R584" s="109"/>
      <c r="S584" s="109"/>
      <c r="T584" s="109"/>
      <c r="U584" s="109"/>
      <c r="V584" s="109"/>
      <c r="W584" s="109"/>
      <c r="X584" s="109"/>
      <c r="Y584" s="109"/>
      <c r="Z584" s="109"/>
      <c r="AA584" s="109"/>
      <c r="AB584" s="109"/>
      <c r="AC584" s="110"/>
      <c r="AD584" s="110"/>
      <c r="AE584" s="109"/>
      <c r="AF584" s="151"/>
    </row>
    <row r="585" spans="1:32" x14ac:dyDescent="0.2">
      <c r="A585" s="112">
        <v>319</v>
      </c>
      <c r="B585" s="113" t="s">
        <v>1204</v>
      </c>
      <c r="C585" s="114" t="s">
        <v>429</v>
      </c>
      <c r="D585" s="114" t="s">
        <v>16</v>
      </c>
      <c r="E585" s="115" t="s">
        <v>1540</v>
      </c>
      <c r="F585" s="115" t="s">
        <v>1541</v>
      </c>
      <c r="G585" s="115" t="s">
        <v>979</v>
      </c>
      <c r="H585" s="113" t="s">
        <v>1428</v>
      </c>
      <c r="I585" s="114">
        <v>20.527830000000002</v>
      </c>
      <c r="J585" s="114">
        <v>-100.82491</v>
      </c>
      <c r="K585" s="113"/>
      <c r="L585" s="116" t="str">
        <f t="shared" si="24"/>
        <v>Ver en Google Maps</v>
      </c>
      <c r="M585" s="113">
        <v>2</v>
      </c>
      <c r="N585" s="129"/>
      <c r="O585" s="118"/>
      <c r="P585" s="118"/>
      <c r="Q585" s="118"/>
      <c r="R585" s="118"/>
      <c r="S585" s="118"/>
      <c r="T585" s="118"/>
      <c r="U585" s="118"/>
      <c r="V585" s="118"/>
      <c r="W585" s="118"/>
      <c r="X585" s="118"/>
      <c r="Y585" s="118"/>
      <c r="Z585" s="118"/>
      <c r="AA585" s="118"/>
      <c r="AB585" s="118"/>
      <c r="AC585" s="119"/>
      <c r="AD585" s="119"/>
      <c r="AE585" s="118"/>
      <c r="AF585" s="152"/>
    </row>
    <row r="586" spans="1:32" x14ac:dyDescent="0.2">
      <c r="A586" s="121">
        <v>320</v>
      </c>
      <c r="B586" s="122" t="s">
        <v>1204</v>
      </c>
      <c r="C586" s="123" t="s">
        <v>429</v>
      </c>
      <c r="D586" s="123" t="s">
        <v>16</v>
      </c>
      <c r="E586" s="124" t="s">
        <v>1542</v>
      </c>
      <c r="F586" s="124" t="s">
        <v>1543</v>
      </c>
      <c r="G586" s="124" t="s">
        <v>1866</v>
      </c>
      <c r="H586" s="122" t="s">
        <v>1428</v>
      </c>
      <c r="I586" s="123">
        <v>20.526806000000001</v>
      </c>
      <c r="J586" s="123">
        <v>-100.801147</v>
      </c>
      <c r="K586" s="122"/>
      <c r="L586" s="125" t="str">
        <f t="shared" ref="L586:L649" si="27">HYPERLINK("https://www.google.com/maps?q=" &amp; I586 &amp; "," &amp; J586, "Ver en Google Maps")</f>
        <v>Ver en Google Maps</v>
      </c>
      <c r="M586" s="122">
        <v>2</v>
      </c>
      <c r="N586" s="130"/>
      <c r="O586" s="109"/>
      <c r="P586" s="109"/>
      <c r="Q586" s="109"/>
      <c r="R586" s="109"/>
      <c r="S586" s="109"/>
      <c r="T586" s="109"/>
      <c r="U586" s="109"/>
      <c r="V586" s="109"/>
      <c r="W586" s="109"/>
      <c r="X586" s="109"/>
      <c r="Y586" s="109"/>
      <c r="Z586" s="109"/>
      <c r="AA586" s="109"/>
      <c r="AB586" s="109"/>
      <c r="AC586" s="110"/>
      <c r="AD586" s="110"/>
      <c r="AE586" s="109"/>
      <c r="AF586" s="151"/>
    </row>
    <row r="587" spans="1:32" x14ac:dyDescent="0.2">
      <c r="A587" s="112">
        <v>321</v>
      </c>
      <c r="B587" s="113" t="s">
        <v>1204</v>
      </c>
      <c r="C587" s="114" t="s">
        <v>429</v>
      </c>
      <c r="D587" s="114" t="s">
        <v>16</v>
      </c>
      <c r="E587" s="115" t="s">
        <v>1544</v>
      </c>
      <c r="F587" s="115" t="s">
        <v>1545</v>
      </c>
      <c r="G587" s="115" t="s">
        <v>1787</v>
      </c>
      <c r="H587" s="113" t="s">
        <v>1428</v>
      </c>
      <c r="I587" s="114">
        <v>20.522801999999999</v>
      </c>
      <c r="J587" s="114">
        <v>-100.79638799999999</v>
      </c>
      <c r="K587" s="113"/>
      <c r="L587" s="116" t="str">
        <f t="shared" si="27"/>
        <v>Ver en Google Maps</v>
      </c>
      <c r="M587" s="113">
        <v>2</v>
      </c>
      <c r="N587" s="129"/>
      <c r="O587" s="118"/>
      <c r="P587" s="118"/>
      <c r="Q587" s="118"/>
      <c r="R587" s="118"/>
      <c r="S587" s="118"/>
      <c r="T587" s="118"/>
      <c r="U587" s="118"/>
      <c r="V587" s="118"/>
      <c r="W587" s="118"/>
      <c r="X587" s="118"/>
      <c r="Y587" s="118"/>
      <c r="Z587" s="118"/>
      <c r="AA587" s="118"/>
      <c r="AB587" s="118"/>
      <c r="AC587" s="119"/>
      <c r="AD587" s="119"/>
      <c r="AE587" s="118"/>
      <c r="AF587" s="152"/>
    </row>
    <row r="588" spans="1:32" x14ac:dyDescent="0.2">
      <c r="A588" s="121">
        <v>336</v>
      </c>
      <c r="B588" s="122" t="s">
        <v>1204</v>
      </c>
      <c r="C588" s="123" t="s">
        <v>429</v>
      </c>
      <c r="D588" s="123" t="s">
        <v>16</v>
      </c>
      <c r="E588" s="124" t="s">
        <v>1546</v>
      </c>
      <c r="F588" s="124" t="s">
        <v>1547</v>
      </c>
      <c r="G588" s="124" t="s">
        <v>1834</v>
      </c>
      <c r="H588" s="122" t="s">
        <v>1428</v>
      </c>
      <c r="I588" s="123">
        <v>20.537787999999999</v>
      </c>
      <c r="J588" s="123">
        <v>-100.802311</v>
      </c>
      <c r="K588" s="122"/>
      <c r="L588" s="125" t="str">
        <f t="shared" si="27"/>
        <v>Ver en Google Maps</v>
      </c>
      <c r="M588" s="122">
        <v>2</v>
      </c>
      <c r="N588" s="130"/>
      <c r="O588" s="109"/>
      <c r="P588" s="109"/>
      <c r="Q588" s="109"/>
      <c r="R588" s="109"/>
      <c r="S588" s="109"/>
      <c r="T588" s="109"/>
      <c r="U588" s="109"/>
      <c r="V588" s="109"/>
      <c r="W588" s="109"/>
      <c r="X588" s="109"/>
      <c r="Y588" s="109"/>
      <c r="Z588" s="109"/>
      <c r="AA588" s="109"/>
      <c r="AB588" s="109"/>
      <c r="AC588" s="110"/>
      <c r="AD588" s="110"/>
      <c r="AE588" s="109"/>
      <c r="AF588" s="151"/>
    </row>
    <row r="589" spans="1:32" x14ac:dyDescent="0.2">
      <c r="A589" s="112">
        <v>341</v>
      </c>
      <c r="B589" s="113" t="s">
        <v>1204</v>
      </c>
      <c r="C589" s="114" t="s">
        <v>429</v>
      </c>
      <c r="D589" s="114" t="s">
        <v>16</v>
      </c>
      <c r="E589" s="115" t="s">
        <v>1548</v>
      </c>
      <c r="F589" s="115" t="s">
        <v>1549</v>
      </c>
      <c r="G589" s="115" t="s">
        <v>1867</v>
      </c>
      <c r="H589" s="113" t="s">
        <v>1428</v>
      </c>
      <c r="I589" s="114">
        <v>20.557200999999999</v>
      </c>
      <c r="J589" s="114">
        <v>-100.80486000000001</v>
      </c>
      <c r="K589" s="113"/>
      <c r="L589" s="116" t="str">
        <f t="shared" si="27"/>
        <v>Ver en Google Maps</v>
      </c>
      <c r="M589" s="113">
        <v>2</v>
      </c>
      <c r="N589" s="129"/>
      <c r="O589" s="118"/>
      <c r="P589" s="118"/>
      <c r="Q589" s="118"/>
      <c r="R589" s="118"/>
      <c r="S589" s="118"/>
      <c r="T589" s="118"/>
      <c r="U589" s="118"/>
      <c r="V589" s="118"/>
      <c r="W589" s="118"/>
      <c r="X589" s="118"/>
      <c r="Y589" s="118"/>
      <c r="Z589" s="118"/>
      <c r="AA589" s="118"/>
      <c r="AB589" s="118"/>
      <c r="AC589" s="119"/>
      <c r="AD589" s="119"/>
      <c r="AE589" s="118"/>
      <c r="AF589" s="152"/>
    </row>
    <row r="590" spans="1:32" x14ac:dyDescent="0.2">
      <c r="A590" s="121">
        <v>348</v>
      </c>
      <c r="B590" s="122" t="s">
        <v>1204</v>
      </c>
      <c r="C590" s="123" t="s">
        <v>429</v>
      </c>
      <c r="D590" s="123" t="s">
        <v>16</v>
      </c>
      <c r="E590" s="124" t="s">
        <v>1550</v>
      </c>
      <c r="F590" s="124" t="s">
        <v>1551</v>
      </c>
      <c r="G590" s="124" t="s">
        <v>1868</v>
      </c>
      <c r="H590" s="122" t="s">
        <v>1428</v>
      </c>
      <c r="I590" s="123">
        <v>20.525932999999998</v>
      </c>
      <c r="J590" s="123">
        <v>-100.79515600000001</v>
      </c>
      <c r="K590" s="122"/>
      <c r="L590" s="125" t="str">
        <f t="shared" si="27"/>
        <v>Ver en Google Maps</v>
      </c>
      <c r="M590" s="122">
        <v>2</v>
      </c>
      <c r="N590" s="130"/>
      <c r="O590" s="109"/>
      <c r="P590" s="109"/>
      <c r="Q590" s="109"/>
      <c r="R590" s="109"/>
      <c r="S590" s="109"/>
      <c r="T590" s="109"/>
      <c r="U590" s="109"/>
      <c r="V590" s="109"/>
      <c r="W590" s="109"/>
      <c r="X590" s="109"/>
      <c r="Y590" s="109"/>
      <c r="Z590" s="109"/>
      <c r="AA590" s="109"/>
      <c r="AB590" s="109"/>
      <c r="AC590" s="110"/>
      <c r="AD590" s="110"/>
      <c r="AE590" s="109"/>
      <c r="AF590" s="151"/>
    </row>
    <row r="591" spans="1:32" x14ac:dyDescent="0.2">
      <c r="A591" s="112">
        <v>349</v>
      </c>
      <c r="B591" s="113" t="s">
        <v>1204</v>
      </c>
      <c r="C591" s="114" t="s">
        <v>429</v>
      </c>
      <c r="D591" s="114" t="s">
        <v>16</v>
      </c>
      <c r="E591" s="115" t="s">
        <v>1552</v>
      </c>
      <c r="F591" s="115" t="s">
        <v>1553</v>
      </c>
      <c r="G591" s="115" t="s">
        <v>1869</v>
      </c>
      <c r="H591" s="113" t="s">
        <v>1428</v>
      </c>
      <c r="I591" s="114">
        <v>20.523529</v>
      </c>
      <c r="J591" s="114">
        <v>-100.80008100000001</v>
      </c>
      <c r="K591" s="113"/>
      <c r="L591" s="116" t="str">
        <f t="shared" si="27"/>
        <v>Ver en Google Maps</v>
      </c>
      <c r="M591" s="113">
        <v>2</v>
      </c>
      <c r="N591" s="129"/>
      <c r="O591" s="118"/>
      <c r="P591" s="118"/>
      <c r="Q591" s="118"/>
      <c r="R591" s="118"/>
      <c r="S591" s="118"/>
      <c r="T591" s="118"/>
      <c r="U591" s="118"/>
      <c r="V591" s="118"/>
      <c r="W591" s="118"/>
      <c r="X591" s="118"/>
      <c r="Y591" s="118"/>
      <c r="Z591" s="118"/>
      <c r="AA591" s="118"/>
      <c r="AB591" s="118"/>
      <c r="AC591" s="119"/>
      <c r="AD591" s="119"/>
      <c r="AE591" s="118"/>
      <c r="AF591" s="152"/>
    </row>
    <row r="592" spans="1:32" x14ac:dyDescent="0.2">
      <c r="A592" s="121">
        <v>351</v>
      </c>
      <c r="B592" s="122" t="s">
        <v>1204</v>
      </c>
      <c r="C592" s="123" t="s">
        <v>429</v>
      </c>
      <c r="D592" s="123" t="s">
        <v>16</v>
      </c>
      <c r="E592" s="124" t="s">
        <v>1554</v>
      </c>
      <c r="F592" s="124" t="s">
        <v>1555</v>
      </c>
      <c r="G592" s="124" t="s">
        <v>1870</v>
      </c>
      <c r="H592" s="122" t="s">
        <v>1428</v>
      </c>
      <c r="I592" s="123">
        <v>20.527750000000001</v>
      </c>
      <c r="J592" s="123">
        <v>-100.82378</v>
      </c>
      <c r="K592" s="122"/>
      <c r="L592" s="125" t="str">
        <f t="shared" si="27"/>
        <v>Ver en Google Maps</v>
      </c>
      <c r="M592" s="122">
        <v>2</v>
      </c>
      <c r="N592" s="130"/>
      <c r="O592" s="109"/>
      <c r="P592" s="109"/>
      <c r="Q592" s="109"/>
      <c r="R592" s="109"/>
      <c r="S592" s="109"/>
      <c r="T592" s="109"/>
      <c r="U592" s="109"/>
      <c r="V592" s="109"/>
      <c r="W592" s="109"/>
      <c r="X592" s="109"/>
      <c r="Y592" s="109"/>
      <c r="Z592" s="109"/>
      <c r="AA592" s="109"/>
      <c r="AB592" s="109"/>
      <c r="AC592" s="110"/>
      <c r="AD592" s="110"/>
      <c r="AE592" s="109"/>
      <c r="AF592" s="151"/>
    </row>
    <row r="593" spans="1:32" x14ac:dyDescent="0.2">
      <c r="A593" s="112">
        <v>356</v>
      </c>
      <c r="B593" s="113" t="s">
        <v>1204</v>
      </c>
      <c r="C593" s="114" t="s">
        <v>429</v>
      </c>
      <c r="D593" s="114" t="s">
        <v>16</v>
      </c>
      <c r="E593" s="115" t="s">
        <v>1556</v>
      </c>
      <c r="F593" s="115" t="s">
        <v>1557</v>
      </c>
      <c r="G593" s="115" t="s">
        <v>1871</v>
      </c>
      <c r="H593" s="113" t="s">
        <v>1428</v>
      </c>
      <c r="I593" s="114">
        <v>20.515152</v>
      </c>
      <c r="J593" s="114">
        <v>-100.77687400000001</v>
      </c>
      <c r="K593" s="113"/>
      <c r="L593" s="116" t="str">
        <f t="shared" si="27"/>
        <v>Ver en Google Maps</v>
      </c>
      <c r="M593" s="113">
        <v>1</v>
      </c>
      <c r="N593" s="129"/>
      <c r="O593" s="118"/>
      <c r="P593" s="118"/>
      <c r="Q593" s="118"/>
      <c r="R593" s="118"/>
      <c r="S593" s="118"/>
      <c r="T593" s="118"/>
      <c r="U593" s="118"/>
      <c r="V593" s="118"/>
      <c r="W593" s="118"/>
      <c r="X593" s="118"/>
      <c r="Y593" s="118"/>
      <c r="Z593" s="118"/>
      <c r="AA593" s="118"/>
      <c r="AB593" s="118"/>
      <c r="AC593" s="119"/>
      <c r="AD593" s="119"/>
      <c r="AE593" s="118"/>
      <c r="AF593" s="152"/>
    </row>
    <row r="594" spans="1:32" x14ac:dyDescent="0.2">
      <c r="A594" s="121">
        <v>367</v>
      </c>
      <c r="B594" s="122" t="s">
        <v>1204</v>
      </c>
      <c r="C594" s="123" t="s">
        <v>429</v>
      </c>
      <c r="D594" s="123" t="s">
        <v>16</v>
      </c>
      <c r="E594" s="124" t="s">
        <v>1558</v>
      </c>
      <c r="F594" s="124" t="s">
        <v>1559</v>
      </c>
      <c r="G594" s="124" t="s">
        <v>1835</v>
      </c>
      <c r="H594" s="122" t="s">
        <v>1428</v>
      </c>
      <c r="I594" s="123">
        <v>20.486560000000001</v>
      </c>
      <c r="J594" s="123">
        <v>-100.80961000000001</v>
      </c>
      <c r="K594" s="122"/>
      <c r="L594" s="125" t="str">
        <f t="shared" si="27"/>
        <v>Ver en Google Maps</v>
      </c>
      <c r="M594" s="122">
        <v>1</v>
      </c>
      <c r="N594" s="130"/>
      <c r="O594" s="109"/>
      <c r="P594" s="109"/>
      <c r="Q594" s="109"/>
      <c r="R594" s="109"/>
      <c r="S594" s="109"/>
      <c r="T594" s="109"/>
      <c r="U594" s="109"/>
      <c r="V594" s="109"/>
      <c r="W594" s="109"/>
      <c r="X594" s="109"/>
      <c r="Y594" s="109"/>
      <c r="Z594" s="109"/>
      <c r="AA594" s="109"/>
      <c r="AB594" s="109"/>
      <c r="AC594" s="110"/>
      <c r="AD594" s="110"/>
      <c r="AE594" s="109"/>
      <c r="AF594" s="151"/>
    </row>
    <row r="595" spans="1:32" x14ac:dyDescent="0.2">
      <c r="A595" s="112">
        <v>368</v>
      </c>
      <c r="B595" s="113" t="s">
        <v>1204</v>
      </c>
      <c r="C595" s="114" t="s">
        <v>429</v>
      </c>
      <c r="D595" s="114" t="s">
        <v>16</v>
      </c>
      <c r="E595" s="115" t="s">
        <v>1560</v>
      </c>
      <c r="F595" s="115" t="s">
        <v>1561</v>
      </c>
      <c r="G595" s="115" t="s">
        <v>1114</v>
      </c>
      <c r="H595" s="113" t="s">
        <v>1428</v>
      </c>
      <c r="I595" s="114">
        <v>20.526579999999999</v>
      </c>
      <c r="J595" s="114">
        <v>-100.82971999999999</v>
      </c>
      <c r="K595" s="113"/>
      <c r="L595" s="116" t="str">
        <f t="shared" si="27"/>
        <v>Ver en Google Maps</v>
      </c>
      <c r="M595" s="113">
        <v>2</v>
      </c>
      <c r="N595" s="129"/>
      <c r="O595" s="118"/>
      <c r="P595" s="118"/>
      <c r="Q595" s="118"/>
      <c r="R595" s="118"/>
      <c r="S595" s="118"/>
      <c r="T595" s="118"/>
      <c r="U595" s="118"/>
      <c r="V595" s="118"/>
      <c r="W595" s="118"/>
      <c r="X595" s="118"/>
      <c r="Y595" s="118"/>
      <c r="Z595" s="118"/>
      <c r="AA595" s="118"/>
      <c r="AB595" s="118"/>
      <c r="AC595" s="119"/>
      <c r="AD595" s="119"/>
      <c r="AE595" s="118"/>
      <c r="AF595" s="152"/>
    </row>
    <row r="596" spans="1:32" x14ac:dyDescent="0.2">
      <c r="A596" s="121">
        <v>370</v>
      </c>
      <c r="B596" s="122" t="s">
        <v>1204</v>
      </c>
      <c r="C596" s="123" t="s">
        <v>429</v>
      </c>
      <c r="D596" s="123" t="s">
        <v>16</v>
      </c>
      <c r="E596" s="124" t="s">
        <v>1562</v>
      </c>
      <c r="F596" s="124" t="s">
        <v>1563</v>
      </c>
      <c r="G596" s="124" t="s">
        <v>1837</v>
      </c>
      <c r="H596" s="122" t="s">
        <v>1428</v>
      </c>
      <c r="I596" s="123">
        <v>20.502493999999999</v>
      </c>
      <c r="J596" s="123">
        <v>-100.81331400000001</v>
      </c>
      <c r="K596" s="122"/>
      <c r="L596" s="125" t="str">
        <f t="shared" si="27"/>
        <v>Ver en Google Maps</v>
      </c>
      <c r="M596" s="122">
        <v>1</v>
      </c>
      <c r="N596" s="130"/>
      <c r="O596" s="109"/>
      <c r="P596" s="109"/>
      <c r="Q596" s="109"/>
      <c r="R596" s="109"/>
      <c r="S596" s="109"/>
      <c r="T596" s="109"/>
      <c r="U596" s="109"/>
      <c r="V596" s="109"/>
      <c r="W596" s="109"/>
      <c r="X596" s="109"/>
      <c r="Y596" s="109"/>
      <c r="Z596" s="109"/>
      <c r="AA596" s="109"/>
      <c r="AB596" s="109"/>
      <c r="AC596" s="110"/>
      <c r="AD596" s="110"/>
      <c r="AE596" s="109"/>
      <c r="AF596" s="151"/>
    </row>
    <row r="597" spans="1:32" x14ac:dyDescent="0.2">
      <c r="A597" s="112">
        <v>390</v>
      </c>
      <c r="B597" s="113" t="s">
        <v>1204</v>
      </c>
      <c r="C597" s="114" t="s">
        <v>429</v>
      </c>
      <c r="D597" s="114" t="s">
        <v>16</v>
      </c>
      <c r="E597" s="115" t="s">
        <v>1564</v>
      </c>
      <c r="F597" s="115" t="s">
        <v>1565</v>
      </c>
      <c r="G597" s="115" t="s">
        <v>1872</v>
      </c>
      <c r="H597" s="113" t="s">
        <v>1428</v>
      </c>
      <c r="I597" s="114">
        <v>20.508765</v>
      </c>
      <c r="J597" s="114">
        <v>-100.80407700000001</v>
      </c>
      <c r="K597" s="113"/>
      <c r="L597" s="116" t="str">
        <f t="shared" si="27"/>
        <v>Ver en Google Maps</v>
      </c>
      <c r="M597" s="113">
        <v>1</v>
      </c>
      <c r="N597" s="129"/>
      <c r="O597" s="118"/>
      <c r="P597" s="118"/>
      <c r="Q597" s="118"/>
      <c r="R597" s="118"/>
      <c r="S597" s="118"/>
      <c r="T597" s="118"/>
      <c r="U597" s="118"/>
      <c r="V597" s="118"/>
      <c r="W597" s="118"/>
      <c r="X597" s="118"/>
      <c r="Y597" s="118"/>
      <c r="Z597" s="118"/>
      <c r="AA597" s="118"/>
      <c r="AB597" s="118"/>
      <c r="AC597" s="119"/>
      <c r="AD597" s="119"/>
      <c r="AE597" s="118"/>
      <c r="AF597" s="152"/>
    </row>
    <row r="598" spans="1:32" x14ac:dyDescent="0.2">
      <c r="A598" s="121">
        <v>391</v>
      </c>
      <c r="B598" s="122" t="s">
        <v>1204</v>
      </c>
      <c r="C598" s="123" t="s">
        <v>429</v>
      </c>
      <c r="D598" s="123" t="s">
        <v>16</v>
      </c>
      <c r="E598" s="124" t="s">
        <v>1566</v>
      </c>
      <c r="F598" s="124" t="s">
        <v>1567</v>
      </c>
      <c r="G598" s="124" t="s">
        <v>1873</v>
      </c>
      <c r="H598" s="122" t="s">
        <v>1428</v>
      </c>
      <c r="I598" s="123">
        <v>20.517022000000001</v>
      </c>
      <c r="J598" s="123">
        <v>-100.809935</v>
      </c>
      <c r="K598" s="122"/>
      <c r="L598" s="125" t="str">
        <f t="shared" si="27"/>
        <v>Ver en Google Maps</v>
      </c>
      <c r="M598" s="122">
        <v>2</v>
      </c>
      <c r="N598" s="130"/>
      <c r="O598" s="109"/>
      <c r="P598" s="109"/>
      <c r="Q598" s="109"/>
      <c r="R598" s="109"/>
      <c r="S598" s="109"/>
      <c r="T598" s="109"/>
      <c r="U598" s="109"/>
      <c r="V598" s="109"/>
      <c r="W598" s="109"/>
      <c r="X598" s="109"/>
      <c r="Y598" s="109"/>
      <c r="Z598" s="109"/>
      <c r="AA598" s="109"/>
      <c r="AB598" s="109"/>
      <c r="AC598" s="110"/>
      <c r="AD598" s="110"/>
      <c r="AE598" s="109"/>
      <c r="AF598" s="151"/>
    </row>
    <row r="599" spans="1:32" x14ac:dyDescent="0.2">
      <c r="A599" s="112">
        <v>394</v>
      </c>
      <c r="B599" s="113" t="s">
        <v>1204</v>
      </c>
      <c r="C599" s="114" t="s">
        <v>429</v>
      </c>
      <c r="D599" s="114" t="s">
        <v>16</v>
      </c>
      <c r="E599" s="115" t="s">
        <v>1568</v>
      </c>
      <c r="F599" s="115" t="s">
        <v>1569</v>
      </c>
      <c r="G599" s="115" t="s">
        <v>1874</v>
      </c>
      <c r="H599" s="113" t="s">
        <v>1428</v>
      </c>
      <c r="I599" s="114">
        <v>20.513059999999999</v>
      </c>
      <c r="J599" s="114">
        <v>-100.82191</v>
      </c>
      <c r="K599" s="113" t="s">
        <v>139</v>
      </c>
      <c r="L599" s="116" t="str">
        <f t="shared" si="27"/>
        <v>Ver en Google Maps</v>
      </c>
      <c r="M599" s="113">
        <v>1</v>
      </c>
      <c r="N599" s="117">
        <v>45941</v>
      </c>
      <c r="O599" s="118">
        <f>DAY('BD1'!$N599)</f>
        <v>11</v>
      </c>
      <c r="P599" s="118">
        <f>MONTH('BD1'!$N599)</f>
        <v>10</v>
      </c>
      <c r="Q599" s="118">
        <f>YEAR('BD1'!$N599)</f>
        <v>2025</v>
      </c>
      <c r="R599" s="118">
        <v>1</v>
      </c>
      <c r="S599" s="118" t="s">
        <v>138</v>
      </c>
      <c r="T599" s="118" t="s">
        <v>138</v>
      </c>
      <c r="U599" s="118" t="s">
        <v>138</v>
      </c>
      <c r="V599" s="118" t="s">
        <v>138</v>
      </c>
      <c r="W599" s="118" t="s">
        <v>138</v>
      </c>
      <c r="X599" s="118" t="s">
        <v>138</v>
      </c>
      <c r="Y599" s="118" t="s">
        <v>138</v>
      </c>
      <c r="Z599" s="118" t="s">
        <v>934</v>
      </c>
      <c r="AA599" s="118">
        <v>12.7</v>
      </c>
      <c r="AB599" s="118">
        <v>2.5099999999999998</v>
      </c>
      <c r="AC599" s="119" t="s">
        <v>2426</v>
      </c>
      <c r="AD599" s="119" t="s">
        <v>1403</v>
      </c>
      <c r="AE599" s="118">
        <f t="shared" ref="AE599:AE618" si="28">COUNTIF(S599:Z599, "si")</f>
        <v>7</v>
      </c>
      <c r="AF599" s="152" t="str">
        <f t="shared" ref="AF578:AF641" si="29">IF(AE599=8,"Estable",(IF(AE599=7,"Funcional con observaciones", (IF(AE599=6,"Funcional con observaciones",(IF(AE599=5,"Rendimiento bajo",(IF(AE599=4,"Parcialmente funcional",(IF(AE599=3,"Parcialmente funcional",(IF(AE599=2,"Inoperativo",(IF(AE599=1,"Inoperativo","Crítico")))))))))))))))</f>
        <v>Funcional con observaciones</v>
      </c>
    </row>
    <row r="600" spans="1:32" x14ac:dyDescent="0.2">
      <c r="A600" s="121">
        <v>404</v>
      </c>
      <c r="B600" s="122" t="s">
        <v>1204</v>
      </c>
      <c r="C600" s="123" t="s">
        <v>429</v>
      </c>
      <c r="D600" s="123" t="s">
        <v>16</v>
      </c>
      <c r="E600" s="124" t="s">
        <v>1570</v>
      </c>
      <c r="F600" s="124" t="s">
        <v>1571</v>
      </c>
      <c r="G600" s="124" t="s">
        <v>1875</v>
      </c>
      <c r="H600" s="122" t="s">
        <v>1428</v>
      </c>
      <c r="I600" s="123">
        <v>20.540389999999999</v>
      </c>
      <c r="J600" s="123">
        <v>-100.82198</v>
      </c>
      <c r="K600" s="122"/>
      <c r="L600" s="125" t="str">
        <f t="shared" si="27"/>
        <v>Ver en Google Maps</v>
      </c>
      <c r="M600" s="122">
        <v>1</v>
      </c>
      <c r="N600" s="130"/>
      <c r="O600" s="109"/>
      <c r="P600" s="109"/>
      <c r="Q600" s="109"/>
      <c r="R600" s="109"/>
      <c r="S600" s="109"/>
      <c r="T600" s="109"/>
      <c r="U600" s="109"/>
      <c r="V600" s="109"/>
      <c r="W600" s="109"/>
      <c r="X600" s="109"/>
      <c r="Y600" s="109"/>
      <c r="Z600" s="109"/>
      <c r="AA600" s="109"/>
      <c r="AB600" s="109"/>
      <c r="AC600" s="110"/>
      <c r="AD600" s="110"/>
      <c r="AE600" s="109"/>
      <c r="AF600" s="151"/>
    </row>
    <row r="601" spans="1:32" x14ac:dyDescent="0.2">
      <c r="A601" s="112">
        <v>407</v>
      </c>
      <c r="B601" s="113" t="s">
        <v>1204</v>
      </c>
      <c r="C601" s="114" t="s">
        <v>429</v>
      </c>
      <c r="D601" s="114" t="s">
        <v>16</v>
      </c>
      <c r="E601" s="115" t="s">
        <v>1572</v>
      </c>
      <c r="F601" s="115" t="s">
        <v>1573</v>
      </c>
      <c r="G601" s="115" t="s">
        <v>1011</v>
      </c>
      <c r="H601" s="113" t="s">
        <v>1428</v>
      </c>
      <c r="I601" s="114">
        <v>20.516742000000001</v>
      </c>
      <c r="J601" s="114">
        <v>-100.82550999999999</v>
      </c>
      <c r="K601" s="113"/>
      <c r="L601" s="116" t="str">
        <f t="shared" si="27"/>
        <v>Ver en Google Maps</v>
      </c>
      <c r="M601" s="113">
        <v>1</v>
      </c>
      <c r="N601" s="129"/>
      <c r="O601" s="118"/>
      <c r="P601" s="118"/>
      <c r="Q601" s="118"/>
      <c r="R601" s="118"/>
      <c r="S601" s="118"/>
      <c r="T601" s="118"/>
      <c r="U601" s="118"/>
      <c r="V601" s="118"/>
      <c r="W601" s="118"/>
      <c r="X601" s="118"/>
      <c r="Y601" s="118"/>
      <c r="Z601" s="118"/>
      <c r="AA601" s="118"/>
      <c r="AB601" s="118"/>
      <c r="AC601" s="119"/>
      <c r="AD601" s="119"/>
      <c r="AE601" s="118"/>
      <c r="AF601" s="152"/>
    </row>
    <row r="602" spans="1:32" x14ac:dyDescent="0.2">
      <c r="A602" s="121">
        <v>408</v>
      </c>
      <c r="B602" s="122" t="s">
        <v>1204</v>
      </c>
      <c r="C602" s="123" t="s">
        <v>429</v>
      </c>
      <c r="D602" s="123" t="s">
        <v>16</v>
      </c>
      <c r="E602" s="124" t="s">
        <v>1574</v>
      </c>
      <c r="F602" s="124" t="s">
        <v>1575</v>
      </c>
      <c r="G602" s="124" t="s">
        <v>1876</v>
      </c>
      <c r="H602" s="122" t="s">
        <v>1428</v>
      </c>
      <c r="I602" s="123">
        <v>20.527190000000001</v>
      </c>
      <c r="J602" s="123">
        <v>-100.83698</v>
      </c>
      <c r="K602" s="122"/>
      <c r="L602" s="125" t="str">
        <f t="shared" si="27"/>
        <v>Ver en Google Maps</v>
      </c>
      <c r="M602" s="122">
        <v>2</v>
      </c>
      <c r="N602" s="130"/>
      <c r="O602" s="109"/>
      <c r="P602" s="109"/>
      <c r="Q602" s="109"/>
      <c r="R602" s="109"/>
      <c r="S602" s="109"/>
      <c r="T602" s="109"/>
      <c r="U602" s="109"/>
      <c r="V602" s="109"/>
      <c r="W602" s="109"/>
      <c r="X602" s="109"/>
      <c r="Y602" s="109"/>
      <c r="Z602" s="109"/>
      <c r="AA602" s="109"/>
      <c r="AB602" s="109"/>
      <c r="AC602" s="110"/>
      <c r="AD602" s="110"/>
      <c r="AE602" s="109"/>
      <c r="AF602" s="151"/>
    </row>
    <row r="603" spans="1:32" x14ac:dyDescent="0.2">
      <c r="A603" s="112">
        <v>410</v>
      </c>
      <c r="B603" s="113" t="s">
        <v>1204</v>
      </c>
      <c r="C603" s="114" t="s">
        <v>429</v>
      </c>
      <c r="D603" s="114" t="s">
        <v>16</v>
      </c>
      <c r="E603" s="115" t="s">
        <v>1576</v>
      </c>
      <c r="F603" s="115" t="s">
        <v>1577</v>
      </c>
      <c r="G603" s="115" t="s">
        <v>1877</v>
      </c>
      <c r="H603" s="113" t="s">
        <v>1428</v>
      </c>
      <c r="I603" s="114">
        <v>20.54393</v>
      </c>
      <c r="J603" s="114">
        <v>-100.829408</v>
      </c>
      <c r="K603" s="113"/>
      <c r="L603" s="116" t="str">
        <f t="shared" si="27"/>
        <v>Ver en Google Maps</v>
      </c>
      <c r="M603" s="113">
        <v>1</v>
      </c>
      <c r="N603" s="129"/>
      <c r="O603" s="118"/>
      <c r="P603" s="118"/>
      <c r="Q603" s="118"/>
      <c r="R603" s="118"/>
      <c r="S603" s="118"/>
      <c r="T603" s="118"/>
      <c r="U603" s="118"/>
      <c r="V603" s="118"/>
      <c r="W603" s="118"/>
      <c r="X603" s="118"/>
      <c r="Y603" s="118"/>
      <c r="Z603" s="118"/>
      <c r="AA603" s="118"/>
      <c r="AB603" s="118"/>
      <c r="AC603" s="119"/>
      <c r="AD603" s="119"/>
      <c r="AE603" s="118"/>
      <c r="AF603" s="152"/>
    </row>
    <row r="604" spans="1:32" x14ac:dyDescent="0.2">
      <c r="A604" s="121">
        <v>417</v>
      </c>
      <c r="B604" s="122" t="s">
        <v>1204</v>
      </c>
      <c r="C604" s="123" t="s">
        <v>429</v>
      </c>
      <c r="D604" s="123" t="s">
        <v>16</v>
      </c>
      <c r="E604" s="124" t="s">
        <v>1578</v>
      </c>
      <c r="F604" s="124" t="s">
        <v>1579</v>
      </c>
      <c r="G604" s="124" t="s">
        <v>1878</v>
      </c>
      <c r="H604" s="122" t="s">
        <v>1428</v>
      </c>
      <c r="I604" s="123">
        <v>20.545231000000001</v>
      </c>
      <c r="J604" s="123">
        <v>-100.798068</v>
      </c>
      <c r="K604" s="122"/>
      <c r="L604" s="125" t="str">
        <f t="shared" si="27"/>
        <v>Ver en Google Maps</v>
      </c>
      <c r="M604" s="122">
        <v>1</v>
      </c>
      <c r="N604" s="130"/>
      <c r="O604" s="109"/>
      <c r="P604" s="109"/>
      <c r="Q604" s="109"/>
      <c r="R604" s="109"/>
      <c r="S604" s="109"/>
      <c r="T604" s="109"/>
      <c r="U604" s="109"/>
      <c r="V604" s="109"/>
      <c r="W604" s="109"/>
      <c r="X604" s="109"/>
      <c r="Y604" s="109"/>
      <c r="Z604" s="109"/>
      <c r="AA604" s="109"/>
      <c r="AB604" s="109"/>
      <c r="AC604" s="110"/>
      <c r="AD604" s="110"/>
      <c r="AE604" s="109"/>
      <c r="AF604" s="151"/>
    </row>
    <row r="605" spans="1:32" x14ac:dyDescent="0.2">
      <c r="A605" s="112">
        <v>418</v>
      </c>
      <c r="B605" s="113" t="s">
        <v>1204</v>
      </c>
      <c r="C605" s="114" t="s">
        <v>429</v>
      </c>
      <c r="D605" s="114" t="s">
        <v>16</v>
      </c>
      <c r="E605" s="115" t="s">
        <v>1580</v>
      </c>
      <c r="F605" s="115" t="s">
        <v>1581</v>
      </c>
      <c r="G605" s="115" t="s">
        <v>1879</v>
      </c>
      <c r="H605" s="113" t="s">
        <v>1428</v>
      </c>
      <c r="I605" s="114">
        <v>20.499359999999999</v>
      </c>
      <c r="J605" s="114">
        <v>-100.81528</v>
      </c>
      <c r="K605" s="113"/>
      <c r="L605" s="116" t="str">
        <f t="shared" si="27"/>
        <v>Ver en Google Maps</v>
      </c>
      <c r="M605" s="113">
        <v>1</v>
      </c>
      <c r="N605" s="129"/>
      <c r="O605" s="118"/>
      <c r="P605" s="118"/>
      <c r="Q605" s="118"/>
      <c r="R605" s="118"/>
      <c r="S605" s="118"/>
      <c r="T605" s="118"/>
      <c r="U605" s="118"/>
      <c r="V605" s="118"/>
      <c r="W605" s="118"/>
      <c r="X605" s="118"/>
      <c r="Y605" s="118"/>
      <c r="Z605" s="118"/>
      <c r="AA605" s="118"/>
      <c r="AB605" s="118"/>
      <c r="AC605" s="119"/>
      <c r="AD605" s="119"/>
      <c r="AE605" s="118"/>
      <c r="AF605" s="152"/>
    </row>
    <row r="606" spans="1:32" x14ac:dyDescent="0.2">
      <c r="A606" s="121">
        <v>423</v>
      </c>
      <c r="B606" s="122" t="s">
        <v>1204</v>
      </c>
      <c r="C606" s="123" t="s">
        <v>429</v>
      </c>
      <c r="D606" s="123" t="s">
        <v>16</v>
      </c>
      <c r="E606" s="124" t="s">
        <v>1582</v>
      </c>
      <c r="F606" s="124" t="s">
        <v>1583</v>
      </c>
      <c r="G606" s="124" t="s">
        <v>1880</v>
      </c>
      <c r="H606" s="122" t="s">
        <v>1428</v>
      </c>
      <c r="I606" s="123">
        <v>20.504256999999999</v>
      </c>
      <c r="J606" s="123">
        <v>-100.79757600000001</v>
      </c>
      <c r="K606" s="122"/>
      <c r="L606" s="125" t="str">
        <f t="shared" si="27"/>
        <v>Ver en Google Maps</v>
      </c>
      <c r="M606" s="122">
        <v>1</v>
      </c>
      <c r="N606" s="130"/>
      <c r="O606" s="109"/>
      <c r="P606" s="109"/>
      <c r="Q606" s="109"/>
      <c r="R606" s="109"/>
      <c r="S606" s="109"/>
      <c r="T606" s="109"/>
      <c r="U606" s="109"/>
      <c r="V606" s="109"/>
      <c r="W606" s="109"/>
      <c r="X606" s="109"/>
      <c r="Y606" s="109"/>
      <c r="Z606" s="109"/>
      <c r="AA606" s="109"/>
      <c r="AB606" s="109"/>
      <c r="AC606" s="110"/>
      <c r="AD606" s="110"/>
      <c r="AE606" s="109"/>
      <c r="AF606" s="151"/>
    </row>
    <row r="607" spans="1:32" x14ac:dyDescent="0.2">
      <c r="A607" s="112">
        <v>430</v>
      </c>
      <c r="B607" s="113" t="s">
        <v>1204</v>
      </c>
      <c r="C607" s="114" t="s">
        <v>429</v>
      </c>
      <c r="D607" s="114" t="s">
        <v>16</v>
      </c>
      <c r="E607" s="115" t="s">
        <v>1584</v>
      </c>
      <c r="F607" s="115" t="s">
        <v>1585</v>
      </c>
      <c r="G607" s="115" t="s">
        <v>1836</v>
      </c>
      <c r="H607" s="113" t="s">
        <v>1428</v>
      </c>
      <c r="I607" s="114">
        <v>20.542776</v>
      </c>
      <c r="J607" s="114">
        <v>-100.81675799999999</v>
      </c>
      <c r="K607" s="113"/>
      <c r="L607" s="116" t="str">
        <f t="shared" si="27"/>
        <v>Ver en Google Maps</v>
      </c>
      <c r="M607" s="113">
        <v>2</v>
      </c>
      <c r="N607" s="129"/>
      <c r="O607" s="118"/>
      <c r="P607" s="118"/>
      <c r="Q607" s="118"/>
      <c r="R607" s="118"/>
      <c r="S607" s="118"/>
      <c r="T607" s="118"/>
      <c r="U607" s="118"/>
      <c r="V607" s="118"/>
      <c r="W607" s="118"/>
      <c r="X607" s="118"/>
      <c r="Y607" s="118"/>
      <c r="Z607" s="118"/>
      <c r="AA607" s="118"/>
      <c r="AB607" s="118"/>
      <c r="AC607" s="119"/>
      <c r="AD607" s="119"/>
      <c r="AE607" s="118"/>
      <c r="AF607" s="152"/>
    </row>
    <row r="608" spans="1:32" x14ac:dyDescent="0.2">
      <c r="A608" s="121">
        <v>434</v>
      </c>
      <c r="B608" s="122" t="s">
        <v>1204</v>
      </c>
      <c r="C608" s="123" t="s">
        <v>429</v>
      </c>
      <c r="D608" s="123" t="s">
        <v>16</v>
      </c>
      <c r="E608" s="124" t="s">
        <v>1586</v>
      </c>
      <c r="F608" s="124" t="s">
        <v>1587</v>
      </c>
      <c r="G608" s="124" t="s">
        <v>1833</v>
      </c>
      <c r="H608" s="122" t="s">
        <v>1428</v>
      </c>
      <c r="I608" s="123">
        <v>20.542956</v>
      </c>
      <c r="J608" s="123">
        <v>-100.8344</v>
      </c>
      <c r="K608" s="122"/>
      <c r="L608" s="125" t="str">
        <f t="shared" si="27"/>
        <v>Ver en Google Maps</v>
      </c>
      <c r="M608" s="122">
        <v>1</v>
      </c>
      <c r="N608" s="130"/>
      <c r="O608" s="109"/>
      <c r="P608" s="109"/>
      <c r="Q608" s="109"/>
      <c r="R608" s="109"/>
      <c r="S608" s="109"/>
      <c r="T608" s="109"/>
      <c r="U608" s="109"/>
      <c r="V608" s="109"/>
      <c r="W608" s="109"/>
      <c r="X608" s="109"/>
      <c r="Y608" s="109"/>
      <c r="Z608" s="109"/>
      <c r="AA608" s="109"/>
      <c r="AB608" s="109"/>
      <c r="AC608" s="110"/>
      <c r="AD608" s="110"/>
      <c r="AE608" s="109"/>
      <c r="AF608" s="151"/>
    </row>
    <row r="609" spans="1:32" x14ac:dyDescent="0.2">
      <c r="A609" s="112">
        <v>451</v>
      </c>
      <c r="B609" s="113" t="s">
        <v>1204</v>
      </c>
      <c r="C609" s="114" t="s">
        <v>429</v>
      </c>
      <c r="D609" s="114" t="s">
        <v>16</v>
      </c>
      <c r="E609" s="115" t="s">
        <v>1588</v>
      </c>
      <c r="F609" s="115" t="s">
        <v>1589</v>
      </c>
      <c r="G609" s="115" t="s">
        <v>1852</v>
      </c>
      <c r="H609" s="113" t="s">
        <v>1428</v>
      </c>
      <c r="I609" s="114">
        <v>20.53856</v>
      </c>
      <c r="J609" s="114">
        <v>-100.83822000000001</v>
      </c>
      <c r="K609" s="113"/>
      <c r="L609" s="116" t="str">
        <f t="shared" si="27"/>
        <v>Ver en Google Maps</v>
      </c>
      <c r="M609" s="113">
        <v>2</v>
      </c>
      <c r="N609" s="129"/>
      <c r="O609" s="118"/>
      <c r="P609" s="118"/>
      <c r="Q609" s="118"/>
      <c r="R609" s="118"/>
      <c r="S609" s="118"/>
      <c r="T609" s="118"/>
      <c r="U609" s="118"/>
      <c r="V609" s="118"/>
      <c r="W609" s="118"/>
      <c r="X609" s="118"/>
      <c r="Y609" s="118"/>
      <c r="Z609" s="118"/>
      <c r="AA609" s="118"/>
      <c r="AB609" s="118"/>
      <c r="AC609" s="119"/>
      <c r="AD609" s="119"/>
      <c r="AE609" s="118"/>
      <c r="AF609" s="152"/>
    </row>
    <row r="610" spans="1:32" x14ac:dyDescent="0.2">
      <c r="A610" s="121">
        <v>454</v>
      </c>
      <c r="B610" s="122" t="s">
        <v>1204</v>
      </c>
      <c r="C610" s="123" t="s">
        <v>429</v>
      </c>
      <c r="D610" s="123" t="s">
        <v>16</v>
      </c>
      <c r="E610" s="124" t="s">
        <v>1590</v>
      </c>
      <c r="F610" s="124" t="s">
        <v>1591</v>
      </c>
      <c r="G610" s="124" t="s">
        <v>1881</v>
      </c>
      <c r="H610" s="122" t="s">
        <v>1428</v>
      </c>
      <c r="I610" s="123">
        <v>20.504950999999998</v>
      </c>
      <c r="J610" s="123">
        <v>-100.82057500000001</v>
      </c>
      <c r="K610" s="122"/>
      <c r="L610" s="125" t="str">
        <f t="shared" si="27"/>
        <v>Ver en Google Maps</v>
      </c>
      <c r="M610" s="122">
        <v>1</v>
      </c>
      <c r="N610" s="130"/>
      <c r="O610" s="109"/>
      <c r="P610" s="109"/>
      <c r="Q610" s="109"/>
      <c r="R610" s="109"/>
      <c r="S610" s="109"/>
      <c r="T610" s="109"/>
      <c r="U610" s="109"/>
      <c r="V610" s="109"/>
      <c r="W610" s="109"/>
      <c r="X610" s="109"/>
      <c r="Y610" s="109"/>
      <c r="Z610" s="109"/>
      <c r="AA610" s="109"/>
      <c r="AB610" s="109"/>
      <c r="AC610" s="110"/>
      <c r="AD610" s="110"/>
      <c r="AE610" s="109"/>
      <c r="AF610" s="151"/>
    </row>
    <row r="611" spans="1:32" x14ac:dyDescent="0.2">
      <c r="A611" s="112">
        <v>462</v>
      </c>
      <c r="B611" s="113" t="s">
        <v>1204</v>
      </c>
      <c r="C611" s="114" t="s">
        <v>429</v>
      </c>
      <c r="D611" s="114" t="s">
        <v>16</v>
      </c>
      <c r="E611" s="115" t="s">
        <v>1592</v>
      </c>
      <c r="F611" s="115" t="s">
        <v>1593</v>
      </c>
      <c r="G611" s="115" t="s">
        <v>1882</v>
      </c>
      <c r="H611" s="113" t="s">
        <v>1428</v>
      </c>
      <c r="I611" s="114">
        <v>20.509067000000002</v>
      </c>
      <c r="J611" s="114">
        <v>-100.834378</v>
      </c>
      <c r="K611" s="113"/>
      <c r="L611" s="116" t="str">
        <f t="shared" si="27"/>
        <v>Ver en Google Maps</v>
      </c>
      <c r="M611" s="113">
        <v>2</v>
      </c>
      <c r="N611" s="129"/>
      <c r="O611" s="118"/>
      <c r="P611" s="118"/>
      <c r="Q611" s="118"/>
      <c r="R611" s="118"/>
      <c r="S611" s="118"/>
      <c r="T611" s="118"/>
      <c r="U611" s="118"/>
      <c r="V611" s="118"/>
      <c r="W611" s="118"/>
      <c r="X611" s="118"/>
      <c r="Y611" s="118"/>
      <c r="Z611" s="118"/>
      <c r="AA611" s="118"/>
      <c r="AB611" s="118"/>
      <c r="AC611" s="119"/>
      <c r="AD611" s="119"/>
      <c r="AE611" s="118"/>
      <c r="AF611" s="152"/>
    </row>
    <row r="612" spans="1:32" x14ac:dyDescent="0.2">
      <c r="A612" s="121">
        <v>470</v>
      </c>
      <c r="B612" s="122" t="s">
        <v>1204</v>
      </c>
      <c r="C612" s="123" t="s">
        <v>429</v>
      </c>
      <c r="D612" s="123" t="s">
        <v>16</v>
      </c>
      <c r="E612" s="124" t="s">
        <v>1594</v>
      </c>
      <c r="F612" s="124" t="s">
        <v>1595</v>
      </c>
      <c r="G612" s="124" t="s">
        <v>1143</v>
      </c>
      <c r="H612" s="122" t="s">
        <v>1428</v>
      </c>
      <c r="I612" s="123">
        <v>20.540189999999999</v>
      </c>
      <c r="J612" s="123">
        <v>-100.84114</v>
      </c>
      <c r="K612" s="122"/>
      <c r="L612" s="125" t="str">
        <f t="shared" si="27"/>
        <v>Ver en Google Maps</v>
      </c>
      <c r="M612" s="122">
        <v>1</v>
      </c>
      <c r="N612" s="130"/>
      <c r="O612" s="109"/>
      <c r="P612" s="109"/>
      <c r="Q612" s="109"/>
      <c r="R612" s="109"/>
      <c r="S612" s="109"/>
      <c r="T612" s="109"/>
      <c r="U612" s="109"/>
      <c r="V612" s="109"/>
      <c r="W612" s="109"/>
      <c r="X612" s="109"/>
      <c r="Y612" s="109"/>
      <c r="Z612" s="109"/>
      <c r="AA612" s="109"/>
      <c r="AB612" s="109"/>
      <c r="AC612" s="110"/>
      <c r="AD612" s="110"/>
      <c r="AE612" s="109"/>
      <c r="AF612" s="151"/>
    </row>
    <row r="613" spans="1:32" x14ac:dyDescent="0.2">
      <c r="A613" s="112">
        <v>472</v>
      </c>
      <c r="B613" s="113" t="s">
        <v>1204</v>
      </c>
      <c r="C613" s="114" t="s">
        <v>429</v>
      </c>
      <c r="D613" s="114" t="s">
        <v>16</v>
      </c>
      <c r="E613" s="115" t="s">
        <v>1596</v>
      </c>
      <c r="F613" s="115" t="s">
        <v>1597</v>
      </c>
      <c r="G613" s="115" t="s">
        <v>1883</v>
      </c>
      <c r="H613" s="113" t="s">
        <v>1428</v>
      </c>
      <c r="I613" s="114">
        <v>20.556912000000001</v>
      </c>
      <c r="J613" s="114">
        <v>-100.826193</v>
      </c>
      <c r="K613" s="113"/>
      <c r="L613" s="116" t="str">
        <f t="shared" si="27"/>
        <v>Ver en Google Maps</v>
      </c>
      <c r="M613" s="113">
        <v>1</v>
      </c>
      <c r="N613" s="129"/>
      <c r="O613" s="118"/>
      <c r="P613" s="118"/>
      <c r="Q613" s="118"/>
      <c r="R613" s="118"/>
      <c r="S613" s="118"/>
      <c r="T613" s="118"/>
      <c r="U613" s="118"/>
      <c r="V613" s="118"/>
      <c r="W613" s="118"/>
      <c r="X613" s="118"/>
      <c r="Y613" s="118"/>
      <c r="Z613" s="118"/>
      <c r="AA613" s="118"/>
      <c r="AB613" s="118"/>
      <c r="AC613" s="119"/>
      <c r="AD613" s="119"/>
      <c r="AE613" s="118"/>
      <c r="AF613" s="152"/>
    </row>
    <row r="614" spans="1:32" x14ac:dyDescent="0.2">
      <c r="A614" s="121">
        <v>480</v>
      </c>
      <c r="B614" s="122" t="s">
        <v>1204</v>
      </c>
      <c r="C614" s="123" t="s">
        <v>429</v>
      </c>
      <c r="D614" s="123" t="s">
        <v>16</v>
      </c>
      <c r="E614" s="124" t="s">
        <v>1598</v>
      </c>
      <c r="F614" s="124" t="s">
        <v>1599</v>
      </c>
      <c r="G614" s="124" t="s">
        <v>1884</v>
      </c>
      <c r="H614" s="122" t="s">
        <v>1428</v>
      </c>
      <c r="I614" s="123">
        <v>20.546206000000002</v>
      </c>
      <c r="J614" s="123">
        <v>-100.806814</v>
      </c>
      <c r="K614" s="122"/>
      <c r="L614" s="125" t="str">
        <f t="shared" si="27"/>
        <v>Ver en Google Maps</v>
      </c>
      <c r="M614" s="122">
        <v>1</v>
      </c>
      <c r="N614" s="130"/>
      <c r="O614" s="109"/>
      <c r="P614" s="109"/>
      <c r="Q614" s="109"/>
      <c r="R614" s="109"/>
      <c r="S614" s="109"/>
      <c r="T614" s="109"/>
      <c r="U614" s="109"/>
      <c r="V614" s="109"/>
      <c r="W614" s="109"/>
      <c r="X614" s="109"/>
      <c r="Y614" s="109"/>
      <c r="Z614" s="109"/>
      <c r="AA614" s="109"/>
      <c r="AB614" s="109"/>
      <c r="AC614" s="110"/>
      <c r="AD614" s="110"/>
      <c r="AE614" s="109"/>
      <c r="AF614" s="151"/>
    </row>
    <row r="615" spans="1:32" x14ac:dyDescent="0.2">
      <c r="A615" s="112">
        <v>481</v>
      </c>
      <c r="B615" s="113" t="s">
        <v>1204</v>
      </c>
      <c r="C615" s="114" t="s">
        <v>429</v>
      </c>
      <c r="D615" s="114" t="s">
        <v>16</v>
      </c>
      <c r="E615" s="115" t="s">
        <v>1600</v>
      </c>
      <c r="F615" s="115" t="s">
        <v>1601</v>
      </c>
      <c r="G615" s="115" t="s">
        <v>1885</v>
      </c>
      <c r="H615" s="113" t="s">
        <v>1428</v>
      </c>
      <c r="I615" s="114">
        <v>20.494382000000002</v>
      </c>
      <c r="J615" s="114">
        <v>-100.80501599999999</v>
      </c>
      <c r="K615" s="113"/>
      <c r="L615" s="116" t="str">
        <f t="shared" si="27"/>
        <v>Ver en Google Maps</v>
      </c>
      <c r="M615" s="113">
        <v>2</v>
      </c>
      <c r="N615" s="129"/>
      <c r="O615" s="118"/>
      <c r="P615" s="118"/>
      <c r="Q615" s="118"/>
      <c r="R615" s="118"/>
      <c r="S615" s="118"/>
      <c r="T615" s="118"/>
      <c r="U615" s="118"/>
      <c r="V615" s="118"/>
      <c r="W615" s="118"/>
      <c r="X615" s="118"/>
      <c r="Y615" s="118"/>
      <c r="Z615" s="118"/>
      <c r="AA615" s="118"/>
      <c r="AB615" s="118"/>
      <c r="AC615" s="119"/>
      <c r="AD615" s="119"/>
      <c r="AE615" s="118"/>
      <c r="AF615" s="152"/>
    </row>
    <row r="616" spans="1:32" x14ac:dyDescent="0.2">
      <c r="A616" s="121">
        <v>498</v>
      </c>
      <c r="B616" s="122" t="s">
        <v>1204</v>
      </c>
      <c r="C616" s="123" t="s">
        <v>429</v>
      </c>
      <c r="D616" s="123" t="s">
        <v>16</v>
      </c>
      <c r="E616" s="124" t="s">
        <v>1602</v>
      </c>
      <c r="F616" s="124" t="s">
        <v>1603</v>
      </c>
      <c r="G616" s="124" t="s">
        <v>1886</v>
      </c>
      <c r="H616" s="122" t="s">
        <v>1428</v>
      </c>
      <c r="I616" s="123">
        <v>20.505223000000001</v>
      </c>
      <c r="J616" s="123">
        <v>-100.789995</v>
      </c>
      <c r="K616" s="122"/>
      <c r="L616" s="125" t="str">
        <f t="shared" si="27"/>
        <v>Ver en Google Maps</v>
      </c>
      <c r="M616" s="122">
        <v>1</v>
      </c>
      <c r="N616" s="130"/>
      <c r="O616" s="109"/>
      <c r="P616" s="109"/>
      <c r="Q616" s="109"/>
      <c r="R616" s="109"/>
      <c r="S616" s="109"/>
      <c r="T616" s="109"/>
      <c r="U616" s="109"/>
      <c r="V616" s="109"/>
      <c r="W616" s="109"/>
      <c r="X616" s="109"/>
      <c r="Y616" s="109"/>
      <c r="Z616" s="109"/>
      <c r="AA616" s="109"/>
      <c r="AB616" s="109"/>
      <c r="AC616" s="110"/>
      <c r="AD616" s="110"/>
      <c r="AE616" s="109"/>
      <c r="AF616" s="151"/>
    </row>
    <row r="617" spans="1:32" x14ac:dyDescent="0.2">
      <c r="A617" s="112">
        <v>503</v>
      </c>
      <c r="B617" s="113" t="s">
        <v>1204</v>
      </c>
      <c r="C617" s="114" t="s">
        <v>429</v>
      </c>
      <c r="D617" s="114" t="s">
        <v>15</v>
      </c>
      <c r="E617" s="115" t="s">
        <v>1604</v>
      </c>
      <c r="F617" s="115" t="s">
        <v>1605</v>
      </c>
      <c r="G617" s="115" t="s">
        <v>1852</v>
      </c>
      <c r="H617" s="113" t="s">
        <v>1428</v>
      </c>
      <c r="I617" s="114">
        <v>20.541250000000002</v>
      </c>
      <c r="J617" s="114">
        <v>-100.83741000000001</v>
      </c>
      <c r="K617" s="113"/>
      <c r="L617" s="116" t="str">
        <f t="shared" si="27"/>
        <v>Ver en Google Maps</v>
      </c>
      <c r="M617" s="113">
        <v>2</v>
      </c>
      <c r="N617" s="129"/>
      <c r="O617" s="118"/>
      <c r="P617" s="118"/>
      <c r="Q617" s="118"/>
      <c r="R617" s="118"/>
      <c r="S617" s="118"/>
      <c r="T617" s="118"/>
      <c r="U617" s="118"/>
      <c r="V617" s="118"/>
      <c r="W617" s="118"/>
      <c r="X617" s="118"/>
      <c r="Y617" s="118"/>
      <c r="Z617" s="118"/>
      <c r="AA617" s="118"/>
      <c r="AB617" s="118"/>
      <c r="AC617" s="119"/>
      <c r="AD617" s="119"/>
      <c r="AE617" s="118"/>
      <c r="AF617" s="152"/>
    </row>
    <row r="618" spans="1:32" x14ac:dyDescent="0.2">
      <c r="A618" s="121">
        <v>505</v>
      </c>
      <c r="B618" s="122" t="s">
        <v>1204</v>
      </c>
      <c r="C618" s="123" t="s">
        <v>429</v>
      </c>
      <c r="D618" s="123" t="s">
        <v>15</v>
      </c>
      <c r="E618" s="124" t="s">
        <v>1606</v>
      </c>
      <c r="F618" s="124" t="s">
        <v>1607</v>
      </c>
      <c r="G618" s="124" t="s">
        <v>1887</v>
      </c>
      <c r="H618" s="122" t="s">
        <v>1428</v>
      </c>
      <c r="I618" s="123">
        <v>20.534524999999999</v>
      </c>
      <c r="J618" s="123">
        <v>-100.814942</v>
      </c>
      <c r="K618" s="122" t="s">
        <v>139</v>
      </c>
      <c r="L618" s="125" t="str">
        <f t="shared" si="27"/>
        <v>Ver en Google Maps</v>
      </c>
      <c r="M618" s="122">
        <v>2</v>
      </c>
      <c r="N618" s="108">
        <v>45941</v>
      </c>
      <c r="O618" s="109">
        <f>DAY('BD1'!$N618)</f>
        <v>11</v>
      </c>
      <c r="P618" s="109">
        <f>MONTH('BD1'!$N618)</f>
        <v>10</v>
      </c>
      <c r="Q618" s="109">
        <f>YEAR('BD1'!$N618)</f>
        <v>2025</v>
      </c>
      <c r="R618" s="109">
        <v>1</v>
      </c>
      <c r="S618" s="109" t="s">
        <v>934</v>
      </c>
      <c r="T618" s="109" t="s">
        <v>934</v>
      </c>
      <c r="U618" s="109" t="s">
        <v>934</v>
      </c>
      <c r="V618" s="109" t="s">
        <v>934</v>
      </c>
      <c r="W618" s="109" t="s">
        <v>934</v>
      </c>
      <c r="X618" s="109" t="s">
        <v>934</v>
      </c>
      <c r="Y618" s="109" t="s">
        <v>934</v>
      </c>
      <c r="Z618" s="109" t="s">
        <v>934</v>
      </c>
      <c r="AA618" s="109">
        <v>0</v>
      </c>
      <c r="AB618" s="109">
        <v>0</v>
      </c>
      <c r="AC618" s="110" t="s">
        <v>2418</v>
      </c>
      <c r="AD618" s="110" t="s">
        <v>1403</v>
      </c>
      <c r="AE618" s="109">
        <f t="shared" si="28"/>
        <v>0</v>
      </c>
      <c r="AF618" s="151" t="str">
        <f t="shared" si="29"/>
        <v>Crítico</v>
      </c>
    </row>
    <row r="619" spans="1:32" x14ac:dyDescent="0.2">
      <c r="A619" s="112">
        <v>513</v>
      </c>
      <c r="B619" s="113" t="s">
        <v>1204</v>
      </c>
      <c r="C619" s="114" t="s">
        <v>429</v>
      </c>
      <c r="D619" s="114" t="s">
        <v>15</v>
      </c>
      <c r="E619" s="115" t="s">
        <v>1608</v>
      </c>
      <c r="F619" s="115" t="s">
        <v>1609</v>
      </c>
      <c r="G619" s="115" t="s">
        <v>1888</v>
      </c>
      <c r="H619" s="113" t="s">
        <v>1428</v>
      </c>
      <c r="I619" s="114">
        <v>20.550232999999999</v>
      </c>
      <c r="J619" s="114">
        <v>-100.814272</v>
      </c>
      <c r="K619" s="113"/>
      <c r="L619" s="116" t="str">
        <f t="shared" si="27"/>
        <v>Ver en Google Maps</v>
      </c>
      <c r="M619" s="113">
        <v>2</v>
      </c>
      <c r="N619" s="129"/>
      <c r="O619" s="118"/>
      <c r="P619" s="118"/>
      <c r="Q619" s="118"/>
      <c r="R619" s="118"/>
      <c r="S619" s="118"/>
      <c r="T619" s="118"/>
      <c r="U619" s="118"/>
      <c r="V619" s="118"/>
      <c r="W619" s="118"/>
      <c r="X619" s="118"/>
      <c r="Y619" s="118"/>
      <c r="Z619" s="118"/>
      <c r="AA619" s="118"/>
      <c r="AB619" s="118"/>
      <c r="AC619" s="119"/>
      <c r="AD619" s="119"/>
      <c r="AE619" s="118"/>
      <c r="AF619" s="152"/>
    </row>
    <row r="620" spans="1:32" x14ac:dyDescent="0.2">
      <c r="A620" s="121">
        <v>517</v>
      </c>
      <c r="B620" s="122" t="s">
        <v>1204</v>
      </c>
      <c r="C620" s="123" t="s">
        <v>429</v>
      </c>
      <c r="D620" s="123" t="s">
        <v>15</v>
      </c>
      <c r="E620" s="124" t="s">
        <v>1610</v>
      </c>
      <c r="F620" s="124" t="s">
        <v>1611</v>
      </c>
      <c r="G620" s="124" t="s">
        <v>1835</v>
      </c>
      <c r="H620" s="122" t="s">
        <v>1428</v>
      </c>
      <c r="I620" s="123">
        <v>20.49239</v>
      </c>
      <c r="J620" s="123">
        <v>-100.81382000000001</v>
      </c>
      <c r="K620" s="122"/>
      <c r="L620" s="125" t="str">
        <f t="shared" si="27"/>
        <v>Ver en Google Maps</v>
      </c>
      <c r="M620" s="122">
        <v>2</v>
      </c>
      <c r="N620" s="130"/>
      <c r="O620" s="109"/>
      <c r="P620" s="109"/>
      <c r="Q620" s="109"/>
      <c r="R620" s="109"/>
      <c r="S620" s="109"/>
      <c r="T620" s="109"/>
      <c r="U620" s="109"/>
      <c r="V620" s="109"/>
      <c r="W620" s="109"/>
      <c r="X620" s="109"/>
      <c r="Y620" s="109"/>
      <c r="Z620" s="109"/>
      <c r="AA620" s="109"/>
      <c r="AB620" s="109"/>
      <c r="AC620" s="110"/>
      <c r="AD620" s="110"/>
      <c r="AE620" s="109"/>
      <c r="AF620" s="151"/>
    </row>
    <row r="621" spans="1:32" x14ac:dyDescent="0.2">
      <c r="A621" s="112">
        <v>527</v>
      </c>
      <c r="B621" s="113" t="s">
        <v>1204</v>
      </c>
      <c r="C621" s="114" t="s">
        <v>429</v>
      </c>
      <c r="D621" s="114" t="s">
        <v>15</v>
      </c>
      <c r="E621" s="115" t="s">
        <v>1612</v>
      </c>
      <c r="F621" s="115" t="s">
        <v>1613</v>
      </c>
      <c r="G621" s="115" t="s">
        <v>1114</v>
      </c>
      <c r="H621" s="113" t="s">
        <v>1428</v>
      </c>
      <c r="I621" s="114">
        <v>20.525390000000002</v>
      </c>
      <c r="J621" s="114">
        <v>-100.82872</v>
      </c>
      <c r="K621" s="113"/>
      <c r="L621" s="116" t="str">
        <f t="shared" si="27"/>
        <v>Ver en Google Maps</v>
      </c>
      <c r="M621" s="113">
        <v>2</v>
      </c>
      <c r="N621" s="129"/>
      <c r="O621" s="118"/>
      <c r="P621" s="118"/>
      <c r="Q621" s="118"/>
      <c r="R621" s="118"/>
      <c r="S621" s="118"/>
      <c r="T621" s="118"/>
      <c r="U621" s="118"/>
      <c r="V621" s="118"/>
      <c r="W621" s="118"/>
      <c r="X621" s="118"/>
      <c r="Y621" s="118"/>
      <c r="Z621" s="118"/>
      <c r="AA621" s="118"/>
      <c r="AB621" s="118"/>
      <c r="AC621" s="119"/>
      <c r="AD621" s="119"/>
      <c r="AE621" s="118"/>
      <c r="AF621" s="152"/>
    </row>
    <row r="622" spans="1:32" x14ac:dyDescent="0.2">
      <c r="A622" s="121">
        <v>531</v>
      </c>
      <c r="B622" s="122" t="s">
        <v>1204</v>
      </c>
      <c r="C622" s="123" t="s">
        <v>429</v>
      </c>
      <c r="D622" s="123" t="s">
        <v>17</v>
      </c>
      <c r="E622" s="124" t="s">
        <v>1614</v>
      </c>
      <c r="F622" s="124" t="s">
        <v>1615</v>
      </c>
      <c r="G622" s="124" t="s">
        <v>1835</v>
      </c>
      <c r="H622" s="122" t="s">
        <v>1428</v>
      </c>
      <c r="I622" s="123">
        <v>20.488340000000001</v>
      </c>
      <c r="J622" s="123">
        <v>-100.80071</v>
      </c>
      <c r="K622" s="122"/>
      <c r="L622" s="125" t="str">
        <f t="shared" si="27"/>
        <v>Ver en Google Maps</v>
      </c>
      <c r="M622" s="122">
        <v>1</v>
      </c>
      <c r="N622" s="130"/>
      <c r="O622" s="109"/>
      <c r="P622" s="109"/>
      <c r="Q622" s="109"/>
      <c r="R622" s="109"/>
      <c r="S622" s="109"/>
      <c r="T622" s="109"/>
      <c r="U622" s="109"/>
      <c r="V622" s="109"/>
      <c r="W622" s="109"/>
      <c r="X622" s="109"/>
      <c r="Y622" s="109"/>
      <c r="Z622" s="109"/>
      <c r="AA622" s="109"/>
      <c r="AB622" s="109"/>
      <c r="AC622" s="110"/>
      <c r="AD622" s="110"/>
      <c r="AE622" s="109"/>
      <c r="AF622" s="151"/>
    </row>
    <row r="623" spans="1:32" x14ac:dyDescent="0.2">
      <c r="A623" s="112">
        <v>554</v>
      </c>
      <c r="B623" s="113" t="s">
        <v>1204</v>
      </c>
      <c r="C623" s="114" t="s">
        <v>429</v>
      </c>
      <c r="D623" s="114" t="s">
        <v>17</v>
      </c>
      <c r="E623" s="115" t="s">
        <v>1616</v>
      </c>
      <c r="F623" s="115" t="s">
        <v>1617</v>
      </c>
      <c r="G623" s="115" t="s">
        <v>1889</v>
      </c>
      <c r="H623" s="113" t="s">
        <v>1428</v>
      </c>
      <c r="I623" s="114">
        <v>20.523530000000001</v>
      </c>
      <c r="J623" s="114">
        <v>-100.83311</v>
      </c>
      <c r="K623" s="113"/>
      <c r="L623" s="116" t="str">
        <f t="shared" si="27"/>
        <v>Ver en Google Maps</v>
      </c>
      <c r="M623" s="113">
        <v>1</v>
      </c>
      <c r="N623" s="129"/>
      <c r="O623" s="118"/>
      <c r="P623" s="118"/>
      <c r="Q623" s="118"/>
      <c r="R623" s="118"/>
      <c r="S623" s="118"/>
      <c r="T623" s="118"/>
      <c r="U623" s="118"/>
      <c r="V623" s="118"/>
      <c r="W623" s="118"/>
      <c r="X623" s="118"/>
      <c r="Y623" s="118"/>
      <c r="Z623" s="118"/>
      <c r="AA623" s="118"/>
      <c r="AB623" s="118"/>
      <c r="AC623" s="119"/>
      <c r="AD623" s="119"/>
      <c r="AE623" s="118"/>
      <c r="AF623" s="152"/>
    </row>
    <row r="624" spans="1:32" x14ac:dyDescent="0.2">
      <c r="A624" s="121">
        <v>555</v>
      </c>
      <c r="B624" s="122" t="s">
        <v>1204</v>
      </c>
      <c r="C624" s="123" t="s">
        <v>429</v>
      </c>
      <c r="D624" s="123" t="s">
        <v>17</v>
      </c>
      <c r="E624" s="124" t="s">
        <v>1618</v>
      </c>
      <c r="F624" s="124" t="s">
        <v>1619</v>
      </c>
      <c r="G624" s="124" t="s">
        <v>1832</v>
      </c>
      <c r="H624" s="122" t="s">
        <v>1428</v>
      </c>
      <c r="I624" s="123">
        <v>20.508979</v>
      </c>
      <c r="J624" s="123">
        <v>-100.831266</v>
      </c>
      <c r="K624" s="122"/>
      <c r="L624" s="125" t="str">
        <f t="shared" si="27"/>
        <v>Ver en Google Maps</v>
      </c>
      <c r="M624" s="122">
        <v>1</v>
      </c>
      <c r="N624" s="130"/>
      <c r="O624" s="109"/>
      <c r="P624" s="109"/>
      <c r="Q624" s="109"/>
      <c r="R624" s="109"/>
      <c r="S624" s="109"/>
      <c r="T624" s="109"/>
      <c r="U624" s="109"/>
      <c r="V624" s="109"/>
      <c r="W624" s="109"/>
      <c r="X624" s="109"/>
      <c r="Y624" s="109"/>
      <c r="Z624" s="109"/>
      <c r="AA624" s="109"/>
      <c r="AB624" s="109"/>
      <c r="AC624" s="110"/>
      <c r="AD624" s="110"/>
      <c r="AE624" s="109"/>
      <c r="AF624" s="151"/>
    </row>
    <row r="625" spans="1:32" x14ac:dyDescent="0.2">
      <c r="A625" s="112">
        <v>561</v>
      </c>
      <c r="B625" s="113" t="s">
        <v>1204</v>
      </c>
      <c r="C625" s="114" t="s">
        <v>429</v>
      </c>
      <c r="D625" s="114" t="s">
        <v>17</v>
      </c>
      <c r="E625" s="115" t="s">
        <v>1620</v>
      </c>
      <c r="F625" s="115" t="s">
        <v>1621</v>
      </c>
      <c r="G625" s="115" t="s">
        <v>1890</v>
      </c>
      <c r="H625" s="113" t="s">
        <v>1428</v>
      </c>
      <c r="I625" s="114">
        <v>20.54935</v>
      </c>
      <c r="J625" s="114">
        <v>-100.825569</v>
      </c>
      <c r="K625" s="113"/>
      <c r="L625" s="116" t="str">
        <f t="shared" si="27"/>
        <v>Ver en Google Maps</v>
      </c>
      <c r="M625" s="113">
        <v>1</v>
      </c>
      <c r="N625" s="129"/>
      <c r="O625" s="118"/>
      <c r="P625" s="118"/>
      <c r="Q625" s="118"/>
      <c r="R625" s="118"/>
      <c r="S625" s="118"/>
      <c r="T625" s="118"/>
      <c r="U625" s="118"/>
      <c r="V625" s="118"/>
      <c r="W625" s="118"/>
      <c r="X625" s="118"/>
      <c r="Y625" s="118"/>
      <c r="Z625" s="118"/>
      <c r="AA625" s="118"/>
      <c r="AB625" s="118"/>
      <c r="AC625" s="119"/>
      <c r="AD625" s="119"/>
      <c r="AE625" s="118"/>
      <c r="AF625" s="152"/>
    </row>
    <row r="626" spans="1:32" x14ac:dyDescent="0.2">
      <c r="A626" s="121">
        <v>568</v>
      </c>
      <c r="B626" s="122" t="s">
        <v>1204</v>
      </c>
      <c r="C626" s="123" t="s">
        <v>429</v>
      </c>
      <c r="D626" s="123" t="s">
        <v>17</v>
      </c>
      <c r="E626" s="124" t="s">
        <v>1622</v>
      </c>
      <c r="F626" s="124" t="s">
        <v>1623</v>
      </c>
      <c r="G626" s="124" t="s">
        <v>1891</v>
      </c>
      <c r="H626" s="122" t="s">
        <v>1428</v>
      </c>
      <c r="I626" s="123">
        <v>20.53378</v>
      </c>
      <c r="J626" s="123">
        <v>-100.82328</v>
      </c>
      <c r="K626" s="122"/>
      <c r="L626" s="125" t="str">
        <f t="shared" si="27"/>
        <v>Ver en Google Maps</v>
      </c>
      <c r="M626" s="122">
        <v>1</v>
      </c>
      <c r="N626" s="130"/>
      <c r="O626" s="109"/>
      <c r="P626" s="109"/>
      <c r="Q626" s="109"/>
      <c r="R626" s="109"/>
      <c r="S626" s="109"/>
      <c r="T626" s="109"/>
      <c r="U626" s="109"/>
      <c r="V626" s="109"/>
      <c r="W626" s="109"/>
      <c r="X626" s="109"/>
      <c r="Y626" s="109"/>
      <c r="Z626" s="109"/>
      <c r="AA626" s="109"/>
      <c r="AB626" s="109"/>
      <c r="AC626" s="110"/>
      <c r="AD626" s="110"/>
      <c r="AE626" s="109"/>
      <c r="AF626" s="151"/>
    </row>
    <row r="627" spans="1:32" x14ac:dyDescent="0.2">
      <c r="A627" s="112">
        <v>571</v>
      </c>
      <c r="B627" s="113" t="s">
        <v>1204</v>
      </c>
      <c r="C627" s="114" t="s">
        <v>429</v>
      </c>
      <c r="D627" s="114" t="s">
        <v>17</v>
      </c>
      <c r="E627" s="115" t="s">
        <v>1624</v>
      </c>
      <c r="F627" s="115" t="s">
        <v>1625</v>
      </c>
      <c r="G627" s="115" t="s">
        <v>1068</v>
      </c>
      <c r="H627" s="113" t="s">
        <v>1428</v>
      </c>
      <c r="I627" s="114">
        <v>20.548769</v>
      </c>
      <c r="J627" s="114">
        <v>-100.790707</v>
      </c>
      <c r="K627" s="113"/>
      <c r="L627" s="116" t="str">
        <f t="shared" si="27"/>
        <v>Ver en Google Maps</v>
      </c>
      <c r="M627" s="113">
        <v>1</v>
      </c>
      <c r="N627" s="129"/>
      <c r="O627" s="118"/>
      <c r="P627" s="118"/>
      <c r="Q627" s="118"/>
      <c r="R627" s="118"/>
      <c r="S627" s="118"/>
      <c r="T627" s="118"/>
      <c r="U627" s="118"/>
      <c r="V627" s="118"/>
      <c r="W627" s="118"/>
      <c r="X627" s="118"/>
      <c r="Y627" s="118"/>
      <c r="Z627" s="118"/>
      <c r="AA627" s="118"/>
      <c r="AB627" s="118"/>
      <c r="AC627" s="119"/>
      <c r="AD627" s="119"/>
      <c r="AE627" s="118"/>
      <c r="AF627" s="152"/>
    </row>
    <row r="628" spans="1:32" x14ac:dyDescent="0.2">
      <c r="A628" s="121">
        <v>572</v>
      </c>
      <c r="B628" s="122" t="s">
        <v>1204</v>
      </c>
      <c r="C628" s="123" t="s">
        <v>429</v>
      </c>
      <c r="D628" s="123" t="s">
        <v>17</v>
      </c>
      <c r="E628" s="124" t="s">
        <v>1626</v>
      </c>
      <c r="F628" s="124" t="s">
        <v>1627</v>
      </c>
      <c r="G628" s="124" t="s">
        <v>1892</v>
      </c>
      <c r="H628" s="122" t="s">
        <v>1428</v>
      </c>
      <c r="I628" s="123">
        <v>20.504110000000001</v>
      </c>
      <c r="J628" s="123">
        <v>-100.792704</v>
      </c>
      <c r="K628" s="122"/>
      <c r="L628" s="125" t="str">
        <f t="shared" si="27"/>
        <v>Ver en Google Maps</v>
      </c>
      <c r="M628" s="122">
        <v>2</v>
      </c>
      <c r="N628" s="130"/>
      <c r="O628" s="109"/>
      <c r="P628" s="109"/>
      <c r="Q628" s="109"/>
      <c r="R628" s="109"/>
      <c r="S628" s="109"/>
      <c r="T628" s="109"/>
      <c r="U628" s="109"/>
      <c r="V628" s="109"/>
      <c r="W628" s="109"/>
      <c r="X628" s="109"/>
      <c r="Y628" s="109"/>
      <c r="Z628" s="109"/>
      <c r="AA628" s="109"/>
      <c r="AB628" s="109"/>
      <c r="AC628" s="110"/>
      <c r="AD628" s="110"/>
      <c r="AE628" s="109"/>
      <c r="AF628" s="151"/>
    </row>
    <row r="629" spans="1:32" x14ac:dyDescent="0.2">
      <c r="A629" s="112">
        <v>580</v>
      </c>
      <c r="B629" s="113" t="s">
        <v>1204</v>
      </c>
      <c r="C629" s="114" t="s">
        <v>429</v>
      </c>
      <c r="D629" s="114" t="s">
        <v>15</v>
      </c>
      <c r="E629" s="115" t="s">
        <v>1628</v>
      </c>
      <c r="F629" s="115" t="s">
        <v>1629</v>
      </c>
      <c r="G629" s="115" t="s">
        <v>1893</v>
      </c>
      <c r="H629" s="113" t="s">
        <v>1428</v>
      </c>
      <c r="I629" s="114">
        <v>20.555527000000001</v>
      </c>
      <c r="J629" s="114">
        <v>-100.854726</v>
      </c>
      <c r="K629" s="113"/>
      <c r="L629" s="116" t="str">
        <f t="shared" si="27"/>
        <v>Ver en Google Maps</v>
      </c>
      <c r="M629" s="113">
        <v>1</v>
      </c>
      <c r="N629" s="129"/>
      <c r="O629" s="118"/>
      <c r="P629" s="118"/>
      <c r="Q629" s="118"/>
      <c r="R629" s="118"/>
      <c r="S629" s="118"/>
      <c r="T629" s="118"/>
      <c r="U629" s="118"/>
      <c r="V629" s="118"/>
      <c r="W629" s="118"/>
      <c r="X629" s="118"/>
      <c r="Y629" s="118"/>
      <c r="Z629" s="118"/>
      <c r="AA629" s="118"/>
      <c r="AB629" s="118"/>
      <c r="AC629" s="119"/>
      <c r="AD629" s="119"/>
      <c r="AE629" s="118"/>
      <c r="AF629" s="152"/>
    </row>
    <row r="630" spans="1:32" x14ac:dyDescent="0.2">
      <c r="A630" s="121">
        <v>587</v>
      </c>
      <c r="B630" s="122" t="s">
        <v>1204</v>
      </c>
      <c r="C630" s="123" t="s">
        <v>429</v>
      </c>
      <c r="D630" s="123" t="s">
        <v>17</v>
      </c>
      <c r="E630" s="124" t="s">
        <v>1630</v>
      </c>
      <c r="F630" s="124" t="s">
        <v>1631</v>
      </c>
      <c r="G630" s="124" t="s">
        <v>1302</v>
      </c>
      <c r="H630" s="122" t="s">
        <v>1428</v>
      </c>
      <c r="I630" s="123">
        <v>20.491199999999999</v>
      </c>
      <c r="J630" s="123">
        <v>-100.812276</v>
      </c>
      <c r="K630" s="122"/>
      <c r="L630" s="125" t="str">
        <f t="shared" si="27"/>
        <v>Ver en Google Maps</v>
      </c>
      <c r="M630" s="122">
        <v>1</v>
      </c>
      <c r="N630" s="130"/>
      <c r="O630" s="109"/>
      <c r="P630" s="109"/>
      <c r="Q630" s="109"/>
      <c r="R630" s="109"/>
      <c r="S630" s="109"/>
      <c r="T630" s="109"/>
      <c r="U630" s="109"/>
      <c r="V630" s="109"/>
      <c r="W630" s="109"/>
      <c r="X630" s="109"/>
      <c r="Y630" s="109"/>
      <c r="Z630" s="109"/>
      <c r="AA630" s="109"/>
      <c r="AB630" s="109"/>
      <c r="AC630" s="110"/>
      <c r="AD630" s="110"/>
      <c r="AE630" s="109"/>
      <c r="AF630" s="151"/>
    </row>
    <row r="631" spans="1:32" x14ac:dyDescent="0.2">
      <c r="A631" s="112">
        <v>593</v>
      </c>
      <c r="B631" s="113" t="s">
        <v>1204</v>
      </c>
      <c r="C631" s="114" t="s">
        <v>429</v>
      </c>
      <c r="D631" s="114" t="s">
        <v>17</v>
      </c>
      <c r="E631" s="115" t="s">
        <v>1632</v>
      </c>
      <c r="F631" s="115" t="s">
        <v>1633</v>
      </c>
      <c r="G631" s="115" t="s">
        <v>1143</v>
      </c>
      <c r="H631" s="113" t="s">
        <v>1428</v>
      </c>
      <c r="I631" s="114">
        <v>20.53931</v>
      </c>
      <c r="J631" s="114">
        <v>-100.84130999999999</v>
      </c>
      <c r="K631" s="113"/>
      <c r="L631" s="116" t="str">
        <f t="shared" si="27"/>
        <v>Ver en Google Maps</v>
      </c>
      <c r="M631" s="113">
        <v>1</v>
      </c>
      <c r="N631" s="129"/>
      <c r="O631" s="118"/>
      <c r="P631" s="118"/>
      <c r="Q631" s="118"/>
      <c r="R631" s="118"/>
      <c r="S631" s="118"/>
      <c r="T631" s="118"/>
      <c r="U631" s="118"/>
      <c r="V631" s="118"/>
      <c r="W631" s="118"/>
      <c r="X631" s="118"/>
      <c r="Y631" s="118"/>
      <c r="Z631" s="118"/>
      <c r="AA631" s="118"/>
      <c r="AB631" s="118"/>
      <c r="AC631" s="119"/>
      <c r="AD631" s="119"/>
      <c r="AE631" s="118"/>
      <c r="AF631" s="152"/>
    </row>
    <row r="632" spans="1:32" x14ac:dyDescent="0.2">
      <c r="A632" s="121">
        <v>594</v>
      </c>
      <c r="B632" s="122" t="s">
        <v>1204</v>
      </c>
      <c r="C632" s="123" t="s">
        <v>429</v>
      </c>
      <c r="D632" s="123" t="s">
        <v>17</v>
      </c>
      <c r="E632" s="124" t="s">
        <v>1634</v>
      </c>
      <c r="F632" s="124" t="s">
        <v>1635</v>
      </c>
      <c r="G632" s="124" t="s">
        <v>1894</v>
      </c>
      <c r="H632" s="122" t="s">
        <v>1428</v>
      </c>
      <c r="I632" s="123">
        <v>20.557670000000002</v>
      </c>
      <c r="J632" s="123">
        <v>-100.826088</v>
      </c>
      <c r="K632" s="122"/>
      <c r="L632" s="125" t="str">
        <f t="shared" si="27"/>
        <v>Ver en Google Maps</v>
      </c>
      <c r="M632" s="122">
        <v>1</v>
      </c>
      <c r="N632" s="130"/>
      <c r="O632" s="109"/>
      <c r="P632" s="109"/>
      <c r="Q632" s="109"/>
      <c r="R632" s="109"/>
      <c r="S632" s="109"/>
      <c r="T632" s="109"/>
      <c r="U632" s="109"/>
      <c r="V632" s="109"/>
      <c r="W632" s="109"/>
      <c r="X632" s="109"/>
      <c r="Y632" s="109"/>
      <c r="Z632" s="109"/>
      <c r="AA632" s="109"/>
      <c r="AB632" s="109"/>
      <c r="AC632" s="110"/>
      <c r="AD632" s="110"/>
      <c r="AE632" s="109"/>
      <c r="AF632" s="151"/>
    </row>
    <row r="633" spans="1:32" x14ac:dyDescent="0.2">
      <c r="A633" s="112">
        <v>595</v>
      </c>
      <c r="B633" s="113" t="s">
        <v>1204</v>
      </c>
      <c r="C633" s="114" t="s">
        <v>429</v>
      </c>
      <c r="D633" s="114" t="s">
        <v>17</v>
      </c>
      <c r="E633" s="115" t="s">
        <v>1636</v>
      </c>
      <c r="F633" s="115" t="s">
        <v>1637</v>
      </c>
      <c r="G633" s="115" t="s">
        <v>1895</v>
      </c>
      <c r="H633" s="113" t="s">
        <v>1428</v>
      </c>
      <c r="I633" s="114">
        <v>20.533536000000002</v>
      </c>
      <c r="J633" s="114">
        <v>-100.792436</v>
      </c>
      <c r="K633" s="113"/>
      <c r="L633" s="116" t="str">
        <f t="shared" si="27"/>
        <v>Ver en Google Maps</v>
      </c>
      <c r="M633" s="113">
        <v>1</v>
      </c>
      <c r="N633" s="129"/>
      <c r="O633" s="118"/>
      <c r="P633" s="118"/>
      <c r="Q633" s="118"/>
      <c r="R633" s="118"/>
      <c r="S633" s="118"/>
      <c r="T633" s="118"/>
      <c r="U633" s="118"/>
      <c r="V633" s="118"/>
      <c r="W633" s="118"/>
      <c r="X633" s="118"/>
      <c r="Y633" s="118"/>
      <c r="Z633" s="118"/>
      <c r="AA633" s="118"/>
      <c r="AB633" s="118"/>
      <c r="AC633" s="119"/>
      <c r="AD633" s="119"/>
      <c r="AE633" s="118"/>
      <c r="AF633" s="152"/>
    </row>
    <row r="634" spans="1:32" x14ac:dyDescent="0.2">
      <c r="A634" s="121">
        <v>604</v>
      </c>
      <c r="B634" s="122" t="s">
        <v>1204</v>
      </c>
      <c r="C634" s="123" t="s">
        <v>429</v>
      </c>
      <c r="D634" s="123" t="s">
        <v>17</v>
      </c>
      <c r="E634" s="124" t="s">
        <v>1638</v>
      </c>
      <c r="F634" s="124" t="s">
        <v>1639</v>
      </c>
      <c r="G634" s="124" t="s">
        <v>1896</v>
      </c>
      <c r="H634" s="122" t="s">
        <v>1428</v>
      </c>
      <c r="I634" s="123">
        <v>20.526949999999999</v>
      </c>
      <c r="J634" s="123">
        <v>-100.85305</v>
      </c>
      <c r="K634" s="122"/>
      <c r="L634" s="125" t="str">
        <f t="shared" si="27"/>
        <v>Ver en Google Maps</v>
      </c>
      <c r="M634" s="122">
        <v>1</v>
      </c>
      <c r="N634" s="130"/>
      <c r="O634" s="109"/>
      <c r="P634" s="109"/>
      <c r="Q634" s="109"/>
      <c r="R634" s="109"/>
      <c r="S634" s="109"/>
      <c r="T634" s="109"/>
      <c r="U634" s="109"/>
      <c r="V634" s="109"/>
      <c r="W634" s="109"/>
      <c r="X634" s="109"/>
      <c r="Y634" s="109"/>
      <c r="Z634" s="109"/>
      <c r="AA634" s="109"/>
      <c r="AB634" s="109"/>
      <c r="AC634" s="110"/>
      <c r="AD634" s="110"/>
      <c r="AE634" s="109"/>
      <c r="AF634" s="151"/>
    </row>
    <row r="635" spans="1:32" x14ac:dyDescent="0.2">
      <c r="A635" s="112">
        <v>610</v>
      </c>
      <c r="B635" s="113" t="s">
        <v>1204</v>
      </c>
      <c r="C635" s="114" t="s">
        <v>429</v>
      </c>
      <c r="D635" s="114" t="s">
        <v>16</v>
      </c>
      <c r="E635" s="115" t="s">
        <v>1640</v>
      </c>
      <c r="F635" s="115" t="s">
        <v>1641</v>
      </c>
      <c r="G635" s="115" t="s">
        <v>360</v>
      </c>
      <c r="H635" s="113" t="s">
        <v>1428</v>
      </c>
      <c r="I635" s="114">
        <v>20.523334999999999</v>
      </c>
      <c r="J635" s="114">
        <v>-100.819716</v>
      </c>
      <c r="K635" s="113"/>
      <c r="L635" s="116" t="str">
        <f t="shared" si="27"/>
        <v>Ver en Google Maps</v>
      </c>
      <c r="M635" s="113">
        <v>2</v>
      </c>
      <c r="N635" s="129"/>
      <c r="O635" s="118"/>
      <c r="P635" s="118"/>
      <c r="Q635" s="118"/>
      <c r="R635" s="118"/>
      <c r="S635" s="118"/>
      <c r="T635" s="118"/>
      <c r="U635" s="118"/>
      <c r="V635" s="118"/>
      <c r="W635" s="118"/>
      <c r="X635" s="118"/>
      <c r="Y635" s="118"/>
      <c r="Z635" s="118"/>
      <c r="AA635" s="118"/>
      <c r="AB635" s="118"/>
      <c r="AC635" s="119"/>
      <c r="AD635" s="119"/>
      <c r="AE635" s="118"/>
      <c r="AF635" s="152"/>
    </row>
    <row r="636" spans="1:32" x14ac:dyDescent="0.2">
      <c r="A636" s="121">
        <v>611</v>
      </c>
      <c r="B636" s="122" t="s">
        <v>1204</v>
      </c>
      <c r="C636" s="123" t="s">
        <v>429</v>
      </c>
      <c r="D636" s="123" t="s">
        <v>16</v>
      </c>
      <c r="E636" s="124" t="s">
        <v>1642</v>
      </c>
      <c r="F636" s="124" t="s">
        <v>1643</v>
      </c>
      <c r="G636" s="124" t="s">
        <v>1897</v>
      </c>
      <c r="H636" s="122" t="s">
        <v>1428</v>
      </c>
      <c r="I636" s="123">
        <v>20.518174999999999</v>
      </c>
      <c r="J636" s="123">
        <v>-100.820408</v>
      </c>
      <c r="K636" s="122"/>
      <c r="L636" s="125" t="str">
        <f t="shared" si="27"/>
        <v>Ver en Google Maps</v>
      </c>
      <c r="M636" s="122">
        <v>1</v>
      </c>
      <c r="N636" s="130"/>
      <c r="O636" s="109"/>
      <c r="P636" s="109"/>
      <c r="Q636" s="109"/>
      <c r="R636" s="109"/>
      <c r="S636" s="109"/>
      <c r="T636" s="109"/>
      <c r="U636" s="109"/>
      <c r="V636" s="109"/>
      <c r="W636" s="109"/>
      <c r="X636" s="109"/>
      <c r="Y636" s="109"/>
      <c r="Z636" s="109"/>
      <c r="AA636" s="109"/>
      <c r="AB636" s="109"/>
      <c r="AC636" s="110"/>
      <c r="AD636" s="110"/>
      <c r="AE636" s="109"/>
      <c r="AF636" s="151"/>
    </row>
    <row r="637" spans="1:32" x14ac:dyDescent="0.2">
      <c r="A637" s="112">
        <v>612</v>
      </c>
      <c r="B637" s="113" t="s">
        <v>1204</v>
      </c>
      <c r="C637" s="114" t="s">
        <v>429</v>
      </c>
      <c r="D637" s="114" t="s">
        <v>16</v>
      </c>
      <c r="E637" s="115" t="s">
        <v>1644</v>
      </c>
      <c r="F637" s="115" t="s">
        <v>1645</v>
      </c>
      <c r="G637" s="115" t="s">
        <v>360</v>
      </c>
      <c r="H637" s="113" t="s">
        <v>1428</v>
      </c>
      <c r="I637" s="114">
        <v>20.523617000000002</v>
      </c>
      <c r="J637" s="114">
        <v>-100.813748</v>
      </c>
      <c r="K637" s="113"/>
      <c r="L637" s="116" t="str">
        <f t="shared" si="27"/>
        <v>Ver en Google Maps</v>
      </c>
      <c r="M637" s="113">
        <v>2</v>
      </c>
      <c r="N637" s="129"/>
      <c r="O637" s="118"/>
      <c r="P637" s="118"/>
      <c r="Q637" s="118"/>
      <c r="R637" s="118"/>
      <c r="S637" s="118"/>
      <c r="T637" s="118"/>
      <c r="U637" s="118"/>
      <c r="V637" s="118"/>
      <c r="W637" s="118"/>
      <c r="X637" s="118"/>
      <c r="Y637" s="118"/>
      <c r="Z637" s="118"/>
      <c r="AA637" s="118"/>
      <c r="AB637" s="118"/>
      <c r="AC637" s="119"/>
      <c r="AD637" s="119"/>
      <c r="AE637" s="118"/>
      <c r="AF637" s="152"/>
    </row>
    <row r="638" spans="1:32" x14ac:dyDescent="0.2">
      <c r="A638" s="121">
        <v>613</v>
      </c>
      <c r="B638" s="122" t="s">
        <v>1204</v>
      </c>
      <c r="C638" s="123" t="s">
        <v>429</v>
      </c>
      <c r="D638" s="123" t="s">
        <v>16</v>
      </c>
      <c r="E638" s="124" t="s">
        <v>1646</v>
      </c>
      <c r="F638" s="124" t="s">
        <v>1647</v>
      </c>
      <c r="G638" s="124" t="s">
        <v>1837</v>
      </c>
      <c r="H638" s="122" t="s">
        <v>1428</v>
      </c>
      <c r="I638" s="123">
        <v>20.504902999999999</v>
      </c>
      <c r="J638" s="123">
        <v>-100.817272</v>
      </c>
      <c r="K638" s="122"/>
      <c r="L638" s="125" t="str">
        <f t="shared" si="27"/>
        <v>Ver en Google Maps</v>
      </c>
      <c r="M638" s="122">
        <v>1</v>
      </c>
      <c r="N638" s="130"/>
      <c r="O638" s="109"/>
      <c r="P638" s="109"/>
      <c r="Q638" s="109"/>
      <c r="R638" s="109"/>
      <c r="S638" s="109"/>
      <c r="T638" s="109"/>
      <c r="U638" s="109"/>
      <c r="V638" s="109"/>
      <c r="W638" s="109"/>
      <c r="X638" s="109"/>
      <c r="Y638" s="109"/>
      <c r="Z638" s="109"/>
      <c r="AA638" s="109"/>
      <c r="AB638" s="109"/>
      <c r="AC638" s="110"/>
      <c r="AD638" s="110"/>
      <c r="AE638" s="109"/>
      <c r="AF638" s="151"/>
    </row>
    <row r="639" spans="1:32" x14ac:dyDescent="0.2">
      <c r="A639" s="112">
        <v>655</v>
      </c>
      <c r="B639" s="113" t="s">
        <v>1204</v>
      </c>
      <c r="C639" s="114" t="s">
        <v>429</v>
      </c>
      <c r="D639" s="114" t="s">
        <v>16</v>
      </c>
      <c r="E639" s="115" t="s">
        <v>1648</v>
      </c>
      <c r="F639" s="115" t="s">
        <v>1649</v>
      </c>
      <c r="G639" s="115" t="s">
        <v>1898</v>
      </c>
      <c r="H639" s="113" t="s">
        <v>1428</v>
      </c>
      <c r="I639" s="114">
        <v>20.529306999999999</v>
      </c>
      <c r="J639" s="114">
        <v>-100.814348</v>
      </c>
      <c r="K639" s="113"/>
      <c r="L639" s="116" t="str">
        <f t="shared" si="27"/>
        <v>Ver en Google Maps</v>
      </c>
      <c r="M639" s="113">
        <v>2</v>
      </c>
      <c r="N639" s="129"/>
      <c r="O639" s="118"/>
      <c r="P639" s="118"/>
      <c r="Q639" s="118"/>
      <c r="R639" s="118"/>
      <c r="S639" s="118"/>
      <c r="T639" s="118"/>
      <c r="U639" s="118"/>
      <c r="V639" s="118"/>
      <c r="W639" s="118"/>
      <c r="X639" s="118"/>
      <c r="Y639" s="118"/>
      <c r="Z639" s="118"/>
      <c r="AA639" s="118"/>
      <c r="AB639" s="118"/>
      <c r="AC639" s="119"/>
      <c r="AD639" s="119"/>
      <c r="AE639" s="118"/>
      <c r="AF639" s="152"/>
    </row>
    <row r="640" spans="1:32" x14ac:dyDescent="0.2">
      <c r="A640" s="121">
        <v>656</v>
      </c>
      <c r="B640" s="122" t="s">
        <v>1204</v>
      </c>
      <c r="C640" s="123" t="s">
        <v>429</v>
      </c>
      <c r="D640" s="123" t="s">
        <v>16</v>
      </c>
      <c r="E640" s="124" t="s">
        <v>1650</v>
      </c>
      <c r="F640" s="124" t="s">
        <v>1651</v>
      </c>
      <c r="G640" s="124" t="s">
        <v>360</v>
      </c>
      <c r="H640" s="122" t="s">
        <v>1428</v>
      </c>
      <c r="I640" s="123">
        <v>20.521619000000001</v>
      </c>
      <c r="J640" s="123">
        <v>-100.817571</v>
      </c>
      <c r="K640" s="122"/>
      <c r="L640" s="125" t="str">
        <f t="shared" si="27"/>
        <v>Ver en Google Maps</v>
      </c>
      <c r="M640" s="122">
        <v>1</v>
      </c>
      <c r="N640" s="130"/>
      <c r="O640" s="109"/>
      <c r="P640" s="109"/>
      <c r="Q640" s="109"/>
      <c r="R640" s="109"/>
      <c r="S640" s="109"/>
      <c r="T640" s="109"/>
      <c r="U640" s="109"/>
      <c r="V640" s="109"/>
      <c r="W640" s="109"/>
      <c r="X640" s="109"/>
      <c r="Y640" s="109"/>
      <c r="Z640" s="109"/>
      <c r="AA640" s="109"/>
      <c r="AB640" s="109"/>
      <c r="AC640" s="110"/>
      <c r="AD640" s="110"/>
      <c r="AE640" s="109"/>
      <c r="AF640" s="151"/>
    </row>
    <row r="641" spans="1:32" x14ac:dyDescent="0.2">
      <c r="A641" s="112">
        <v>658</v>
      </c>
      <c r="B641" s="113" t="s">
        <v>1204</v>
      </c>
      <c r="C641" s="114" t="s">
        <v>429</v>
      </c>
      <c r="D641" s="114" t="s">
        <v>16</v>
      </c>
      <c r="E641" s="115" t="s">
        <v>1652</v>
      </c>
      <c r="F641" s="115" t="s">
        <v>1653</v>
      </c>
      <c r="G641" s="115" t="s">
        <v>1899</v>
      </c>
      <c r="H641" s="113" t="s">
        <v>1428</v>
      </c>
      <c r="I641" s="114">
        <v>20.521338</v>
      </c>
      <c r="J641" s="114">
        <v>-100.820408</v>
      </c>
      <c r="K641" s="113"/>
      <c r="L641" s="116" t="str">
        <f t="shared" si="27"/>
        <v>Ver en Google Maps</v>
      </c>
      <c r="M641" s="113">
        <v>2</v>
      </c>
      <c r="N641" s="129"/>
      <c r="O641" s="118"/>
      <c r="P641" s="118"/>
      <c r="Q641" s="118"/>
      <c r="R641" s="118"/>
      <c r="S641" s="118"/>
      <c r="T641" s="118"/>
      <c r="U641" s="118"/>
      <c r="V641" s="118"/>
      <c r="W641" s="118"/>
      <c r="X641" s="118"/>
      <c r="Y641" s="118"/>
      <c r="Z641" s="118"/>
      <c r="AA641" s="118"/>
      <c r="AB641" s="118"/>
      <c r="AC641" s="119"/>
      <c r="AD641" s="119"/>
      <c r="AE641" s="118"/>
      <c r="AF641" s="152"/>
    </row>
    <row r="642" spans="1:32" x14ac:dyDescent="0.2">
      <c r="A642" s="121">
        <v>664</v>
      </c>
      <c r="B642" s="122" t="s">
        <v>1204</v>
      </c>
      <c r="C642" s="123" t="s">
        <v>429</v>
      </c>
      <c r="D642" s="123" t="s">
        <v>16</v>
      </c>
      <c r="E642" s="124" t="s">
        <v>1654</v>
      </c>
      <c r="F642" s="124" t="s">
        <v>1655</v>
      </c>
      <c r="G642" s="124" t="s">
        <v>1105</v>
      </c>
      <c r="H642" s="122" t="s">
        <v>1428</v>
      </c>
      <c r="I642" s="123">
        <v>20.523828999999999</v>
      </c>
      <c r="J642" s="123">
        <v>-100.814459</v>
      </c>
      <c r="K642" s="122"/>
      <c r="L642" s="125" t="str">
        <f t="shared" si="27"/>
        <v>Ver en Google Maps</v>
      </c>
      <c r="M642" s="122">
        <v>2</v>
      </c>
      <c r="N642" s="130"/>
      <c r="O642" s="109"/>
      <c r="P642" s="109"/>
      <c r="Q642" s="109"/>
      <c r="R642" s="109"/>
      <c r="S642" s="109"/>
      <c r="T642" s="109"/>
      <c r="U642" s="109"/>
      <c r="V642" s="109"/>
      <c r="W642" s="109"/>
      <c r="X642" s="109"/>
      <c r="Y642" s="109"/>
      <c r="Z642" s="109"/>
      <c r="AA642" s="109"/>
      <c r="AB642" s="109"/>
      <c r="AC642" s="110"/>
      <c r="AD642" s="110"/>
      <c r="AE642" s="109"/>
      <c r="AF642" s="151"/>
    </row>
    <row r="643" spans="1:32" x14ac:dyDescent="0.2">
      <c r="A643" s="112">
        <v>672</v>
      </c>
      <c r="B643" s="113" t="s">
        <v>1204</v>
      </c>
      <c r="C643" s="114" t="s">
        <v>429</v>
      </c>
      <c r="D643" s="114" t="s">
        <v>16</v>
      </c>
      <c r="E643" s="115" t="s">
        <v>1656</v>
      </c>
      <c r="F643" s="115" t="s">
        <v>1657</v>
      </c>
      <c r="G643" s="115" t="s">
        <v>1857</v>
      </c>
      <c r="H643" s="113" t="s">
        <v>1428</v>
      </c>
      <c r="I643" s="114">
        <v>20.508400000000002</v>
      </c>
      <c r="J643" s="114">
        <v>-100.82380000000001</v>
      </c>
      <c r="K643" s="113"/>
      <c r="L643" s="116" t="str">
        <f t="shared" si="27"/>
        <v>Ver en Google Maps</v>
      </c>
      <c r="M643" s="113">
        <v>2</v>
      </c>
      <c r="N643" s="129"/>
      <c r="O643" s="118"/>
      <c r="P643" s="118"/>
      <c r="Q643" s="118"/>
      <c r="R643" s="118"/>
      <c r="S643" s="118"/>
      <c r="T643" s="118"/>
      <c r="U643" s="118"/>
      <c r="V643" s="118"/>
      <c r="W643" s="118"/>
      <c r="X643" s="118"/>
      <c r="Y643" s="118"/>
      <c r="Z643" s="118"/>
      <c r="AA643" s="118"/>
      <c r="AB643" s="118"/>
      <c r="AC643" s="119"/>
      <c r="AD643" s="119"/>
      <c r="AE643" s="118"/>
      <c r="AF643" s="152"/>
    </row>
    <row r="644" spans="1:32" x14ac:dyDescent="0.2">
      <c r="A644" s="121">
        <v>673</v>
      </c>
      <c r="B644" s="122" t="s">
        <v>1204</v>
      </c>
      <c r="C644" s="123" t="s">
        <v>429</v>
      </c>
      <c r="D644" s="123" t="s">
        <v>16</v>
      </c>
      <c r="E644" s="124" t="s">
        <v>1658</v>
      </c>
      <c r="F644" s="124" t="s">
        <v>1659</v>
      </c>
      <c r="G644" s="124" t="s">
        <v>1302</v>
      </c>
      <c r="H644" s="122" t="s">
        <v>1428</v>
      </c>
      <c r="I644" s="123">
        <v>20.49128</v>
      </c>
      <c r="J644" s="123">
        <v>-100.812</v>
      </c>
      <c r="K644" s="122"/>
      <c r="L644" s="125" t="str">
        <f t="shared" si="27"/>
        <v>Ver en Google Maps</v>
      </c>
      <c r="M644" s="122">
        <v>1</v>
      </c>
      <c r="N644" s="130"/>
      <c r="O644" s="109"/>
      <c r="P644" s="109"/>
      <c r="Q644" s="109"/>
      <c r="R644" s="109"/>
      <c r="S644" s="109"/>
      <c r="T644" s="109"/>
      <c r="U644" s="109"/>
      <c r="V644" s="109"/>
      <c r="W644" s="109"/>
      <c r="X644" s="109"/>
      <c r="Y644" s="109"/>
      <c r="Z644" s="109"/>
      <c r="AA644" s="109"/>
      <c r="AB644" s="109"/>
      <c r="AC644" s="110"/>
      <c r="AD644" s="110"/>
      <c r="AE644" s="109"/>
      <c r="AF644" s="151"/>
    </row>
    <row r="645" spans="1:32" x14ac:dyDescent="0.2">
      <c r="A645" s="112">
        <v>689</v>
      </c>
      <c r="B645" s="113" t="s">
        <v>1204</v>
      </c>
      <c r="C645" s="114" t="s">
        <v>429</v>
      </c>
      <c r="D645" s="114" t="s">
        <v>16</v>
      </c>
      <c r="E645" s="115" t="s">
        <v>1660</v>
      </c>
      <c r="F645" s="115" t="s">
        <v>1661</v>
      </c>
      <c r="G645" s="115" t="s">
        <v>1900</v>
      </c>
      <c r="H645" s="113" t="s">
        <v>1428</v>
      </c>
      <c r="I645" s="114">
        <v>20.535539</v>
      </c>
      <c r="J645" s="114">
        <v>-100.786736</v>
      </c>
      <c r="K645" s="113"/>
      <c r="L645" s="116" t="str">
        <f t="shared" si="27"/>
        <v>Ver en Google Maps</v>
      </c>
      <c r="M645" s="113">
        <v>2</v>
      </c>
      <c r="N645" s="129"/>
      <c r="O645" s="118"/>
      <c r="P645" s="118"/>
      <c r="Q645" s="118"/>
      <c r="R645" s="118"/>
      <c r="S645" s="118"/>
      <c r="T645" s="118"/>
      <c r="U645" s="118"/>
      <c r="V645" s="118"/>
      <c r="W645" s="118"/>
      <c r="X645" s="118"/>
      <c r="Y645" s="118"/>
      <c r="Z645" s="118"/>
      <c r="AA645" s="118"/>
      <c r="AB645" s="118"/>
      <c r="AC645" s="119"/>
      <c r="AD645" s="119"/>
      <c r="AE645" s="118"/>
      <c r="AF645" s="152"/>
    </row>
    <row r="646" spans="1:32" x14ac:dyDescent="0.2">
      <c r="A646" s="121">
        <v>690</v>
      </c>
      <c r="B646" s="122" t="s">
        <v>1204</v>
      </c>
      <c r="C646" s="123" t="s">
        <v>429</v>
      </c>
      <c r="D646" s="123" t="s">
        <v>16</v>
      </c>
      <c r="E646" s="124" t="s">
        <v>1662</v>
      </c>
      <c r="F646" s="124" t="s">
        <v>1663</v>
      </c>
      <c r="G646" s="124" t="s">
        <v>1834</v>
      </c>
      <c r="H646" s="122" t="s">
        <v>1428</v>
      </c>
      <c r="I646" s="123">
        <v>20.544322000000001</v>
      </c>
      <c r="J646" s="123">
        <v>-100.80377</v>
      </c>
      <c r="K646" s="122"/>
      <c r="L646" s="125" t="str">
        <f t="shared" si="27"/>
        <v>Ver en Google Maps</v>
      </c>
      <c r="M646" s="122">
        <v>2</v>
      </c>
      <c r="N646" s="130"/>
      <c r="O646" s="109"/>
      <c r="P646" s="109"/>
      <c r="Q646" s="109"/>
      <c r="R646" s="109"/>
      <c r="S646" s="109"/>
      <c r="T646" s="109"/>
      <c r="U646" s="109"/>
      <c r="V646" s="109"/>
      <c r="W646" s="109"/>
      <c r="X646" s="109"/>
      <c r="Y646" s="109"/>
      <c r="Z646" s="109"/>
      <c r="AA646" s="109"/>
      <c r="AB646" s="109"/>
      <c r="AC646" s="110"/>
      <c r="AD646" s="110"/>
      <c r="AE646" s="109"/>
      <c r="AF646" s="151"/>
    </row>
    <row r="647" spans="1:32" x14ac:dyDescent="0.2">
      <c r="A647" s="112">
        <v>699</v>
      </c>
      <c r="B647" s="113" t="s">
        <v>1204</v>
      </c>
      <c r="C647" s="114" t="s">
        <v>429</v>
      </c>
      <c r="D647" s="114" t="s">
        <v>16</v>
      </c>
      <c r="E647" s="115" t="s">
        <v>1664</v>
      </c>
      <c r="F647" s="115" t="s">
        <v>1665</v>
      </c>
      <c r="G647" s="115" t="s">
        <v>1901</v>
      </c>
      <c r="H647" s="113" t="s">
        <v>1428</v>
      </c>
      <c r="I647" s="114">
        <v>20.527419999999999</v>
      </c>
      <c r="J647" s="114">
        <v>-100.85314</v>
      </c>
      <c r="K647" s="113"/>
      <c r="L647" s="116" t="str">
        <f t="shared" si="27"/>
        <v>Ver en Google Maps</v>
      </c>
      <c r="M647" s="113">
        <v>2</v>
      </c>
      <c r="N647" s="129"/>
      <c r="O647" s="118"/>
      <c r="P647" s="118"/>
      <c r="Q647" s="118"/>
      <c r="R647" s="118"/>
      <c r="S647" s="118"/>
      <c r="T647" s="118"/>
      <c r="U647" s="118"/>
      <c r="V647" s="118"/>
      <c r="W647" s="118"/>
      <c r="X647" s="118"/>
      <c r="Y647" s="118"/>
      <c r="Z647" s="118"/>
      <c r="AA647" s="118"/>
      <c r="AB647" s="118"/>
      <c r="AC647" s="119"/>
      <c r="AD647" s="119"/>
      <c r="AE647" s="118"/>
      <c r="AF647" s="152"/>
    </row>
    <row r="648" spans="1:32" x14ac:dyDescent="0.2">
      <c r="A648" s="121">
        <v>719</v>
      </c>
      <c r="B648" s="122" t="s">
        <v>1204</v>
      </c>
      <c r="C648" s="123" t="s">
        <v>429</v>
      </c>
      <c r="D648" s="123" t="s">
        <v>15</v>
      </c>
      <c r="E648" s="124" t="s">
        <v>1666</v>
      </c>
      <c r="F648" s="124" t="s">
        <v>1667</v>
      </c>
      <c r="G648" s="124" t="s">
        <v>1902</v>
      </c>
      <c r="H648" s="122" t="s">
        <v>1428</v>
      </c>
      <c r="I648" s="123">
        <v>20.506969999999999</v>
      </c>
      <c r="J648" s="123">
        <v>-100.81905</v>
      </c>
      <c r="K648" s="122"/>
      <c r="L648" s="125" t="str">
        <f t="shared" si="27"/>
        <v>Ver en Google Maps</v>
      </c>
      <c r="M648" s="122">
        <v>2</v>
      </c>
      <c r="N648" s="130"/>
      <c r="O648" s="109"/>
      <c r="P648" s="109"/>
      <c r="Q648" s="109"/>
      <c r="R648" s="109"/>
      <c r="S648" s="109"/>
      <c r="T648" s="109"/>
      <c r="U648" s="109"/>
      <c r="V648" s="109"/>
      <c r="W648" s="109"/>
      <c r="X648" s="109"/>
      <c r="Y648" s="109"/>
      <c r="Z648" s="109"/>
      <c r="AA648" s="109"/>
      <c r="AB648" s="109"/>
      <c r="AC648" s="110"/>
      <c r="AD648" s="110"/>
      <c r="AE648" s="109"/>
      <c r="AF648" s="151"/>
    </row>
    <row r="649" spans="1:32" x14ac:dyDescent="0.2">
      <c r="A649" s="112">
        <v>720</v>
      </c>
      <c r="B649" s="113" t="s">
        <v>1204</v>
      </c>
      <c r="C649" s="114" t="s">
        <v>429</v>
      </c>
      <c r="D649" s="114" t="s">
        <v>15</v>
      </c>
      <c r="E649" s="115" t="s">
        <v>1668</v>
      </c>
      <c r="F649" s="115" t="s">
        <v>1669</v>
      </c>
      <c r="G649" s="115" t="s">
        <v>1892</v>
      </c>
      <c r="H649" s="113" t="s">
        <v>1428</v>
      </c>
      <c r="I649" s="114">
        <v>20.503654000000001</v>
      </c>
      <c r="J649" s="114">
        <v>-100.79801999999999</v>
      </c>
      <c r="K649" s="113"/>
      <c r="L649" s="116" t="str">
        <f t="shared" si="27"/>
        <v>Ver en Google Maps</v>
      </c>
      <c r="M649" s="113">
        <v>2</v>
      </c>
      <c r="N649" s="129"/>
      <c r="O649" s="118"/>
      <c r="P649" s="118"/>
      <c r="Q649" s="118"/>
      <c r="R649" s="118"/>
      <c r="S649" s="118"/>
      <c r="T649" s="118"/>
      <c r="U649" s="118"/>
      <c r="V649" s="118"/>
      <c r="W649" s="118"/>
      <c r="X649" s="118"/>
      <c r="Y649" s="118"/>
      <c r="Z649" s="118"/>
      <c r="AA649" s="118"/>
      <c r="AB649" s="118"/>
      <c r="AC649" s="119"/>
      <c r="AD649" s="119"/>
      <c r="AE649" s="118"/>
      <c r="AF649" s="152"/>
    </row>
    <row r="650" spans="1:32" x14ac:dyDescent="0.2">
      <c r="A650" s="121">
        <v>724</v>
      </c>
      <c r="B650" s="122" t="s">
        <v>1204</v>
      </c>
      <c r="C650" s="123" t="s">
        <v>429</v>
      </c>
      <c r="D650" s="123" t="s">
        <v>15</v>
      </c>
      <c r="E650" s="124" t="s">
        <v>1670</v>
      </c>
      <c r="F650" s="124" t="s">
        <v>1671</v>
      </c>
      <c r="G650" s="124" t="s">
        <v>1068</v>
      </c>
      <c r="H650" s="122" t="s">
        <v>1428</v>
      </c>
      <c r="I650" s="123">
        <v>20.547903000000002</v>
      </c>
      <c r="J650" s="123">
        <v>-100.787249</v>
      </c>
      <c r="K650" s="122"/>
      <c r="L650" s="125" t="str">
        <f t="shared" ref="L650:L713" si="30">HYPERLINK("https://www.google.com/maps?q=" &amp; I650 &amp; "," &amp; J650, "Ver en Google Maps")</f>
        <v>Ver en Google Maps</v>
      </c>
      <c r="M650" s="122">
        <v>2</v>
      </c>
      <c r="N650" s="130"/>
      <c r="O650" s="109"/>
      <c r="P650" s="109"/>
      <c r="Q650" s="109"/>
      <c r="R650" s="109"/>
      <c r="S650" s="109"/>
      <c r="T650" s="109"/>
      <c r="U650" s="109"/>
      <c r="V650" s="109"/>
      <c r="W650" s="109"/>
      <c r="X650" s="109"/>
      <c r="Y650" s="109"/>
      <c r="Z650" s="109"/>
      <c r="AA650" s="109"/>
      <c r="AB650" s="109"/>
      <c r="AC650" s="110"/>
      <c r="AD650" s="110"/>
      <c r="AE650" s="109"/>
      <c r="AF650" s="151"/>
    </row>
    <row r="651" spans="1:32" x14ac:dyDescent="0.2">
      <c r="A651" s="112">
        <v>738</v>
      </c>
      <c r="B651" s="113" t="s">
        <v>1204</v>
      </c>
      <c r="C651" s="114" t="s">
        <v>429</v>
      </c>
      <c r="D651" s="114" t="s">
        <v>15</v>
      </c>
      <c r="E651" s="115" t="s">
        <v>1672</v>
      </c>
      <c r="F651" s="115" t="s">
        <v>1673</v>
      </c>
      <c r="G651" s="115" t="s">
        <v>1860</v>
      </c>
      <c r="H651" s="113" t="s">
        <v>1428</v>
      </c>
      <c r="I651" s="114">
        <v>20.546787999999999</v>
      </c>
      <c r="J651" s="114">
        <v>-100.80663199999999</v>
      </c>
      <c r="K651" s="113" t="s">
        <v>139</v>
      </c>
      <c r="L651" s="116" t="str">
        <f t="shared" si="30"/>
        <v>Ver en Google Maps</v>
      </c>
      <c r="M651" s="113">
        <v>2</v>
      </c>
      <c r="N651" s="117">
        <v>45941</v>
      </c>
      <c r="O651" s="118">
        <f>DAY('BD1'!$N651)</f>
        <v>11</v>
      </c>
      <c r="P651" s="118">
        <f>MONTH('BD1'!$N651)</f>
        <v>10</v>
      </c>
      <c r="Q651" s="118">
        <f>YEAR('BD1'!$N651)</f>
        <v>2025</v>
      </c>
      <c r="R651" s="118">
        <v>1</v>
      </c>
      <c r="S651" s="118" t="s">
        <v>138</v>
      </c>
      <c r="T651" s="118" t="s">
        <v>138</v>
      </c>
      <c r="U651" s="118" t="s">
        <v>138</v>
      </c>
      <c r="V651" s="118" t="s">
        <v>138</v>
      </c>
      <c r="W651" s="118" t="s">
        <v>138</v>
      </c>
      <c r="X651" s="118" t="s">
        <v>138</v>
      </c>
      <c r="Y651" s="118" t="s">
        <v>138</v>
      </c>
      <c r="Z651" s="118" t="s">
        <v>934</v>
      </c>
      <c r="AA651" s="118">
        <v>0</v>
      </c>
      <c r="AB651" s="118">
        <v>0</v>
      </c>
      <c r="AC651" s="119" t="s">
        <v>2427</v>
      </c>
      <c r="AD651" s="119"/>
      <c r="AE651" s="118">
        <f t="shared" ref="AE651:AE709" si="31">COUNTIF(S651:Z651, "si")</f>
        <v>7</v>
      </c>
      <c r="AF651" s="152" t="str">
        <f t="shared" ref="AF642:AF705" si="32">IF(AE651=8,"Estable",(IF(AE651=7,"Funcional con observaciones", (IF(AE651=6,"Funcional con observaciones",(IF(AE651=5,"Rendimiento bajo",(IF(AE651=4,"Parcialmente funcional",(IF(AE651=3,"Parcialmente funcional",(IF(AE651=2,"Inoperativo",(IF(AE651=1,"Inoperativo","Crítico")))))))))))))))</f>
        <v>Funcional con observaciones</v>
      </c>
    </row>
    <row r="652" spans="1:32" x14ac:dyDescent="0.2">
      <c r="A652" s="121">
        <v>740</v>
      </c>
      <c r="B652" s="122" t="s">
        <v>1204</v>
      </c>
      <c r="C652" s="123" t="s">
        <v>429</v>
      </c>
      <c r="D652" s="123" t="s">
        <v>15</v>
      </c>
      <c r="E652" s="124" t="s">
        <v>1674</v>
      </c>
      <c r="F652" s="124" t="s">
        <v>1675</v>
      </c>
      <c r="G652" s="124" t="s">
        <v>1842</v>
      </c>
      <c r="H652" s="122" t="s">
        <v>1428</v>
      </c>
      <c r="I652" s="123">
        <v>20.512150999999999</v>
      </c>
      <c r="J652" s="123">
        <v>-100.775481</v>
      </c>
      <c r="K652" s="122"/>
      <c r="L652" s="125" t="str">
        <f t="shared" si="30"/>
        <v>Ver en Google Maps</v>
      </c>
      <c r="M652" s="122">
        <v>2</v>
      </c>
      <c r="N652" s="130"/>
      <c r="O652" s="109"/>
      <c r="P652" s="109"/>
      <c r="Q652" s="109"/>
      <c r="R652" s="109"/>
      <c r="S652" s="109"/>
      <c r="T652" s="109"/>
      <c r="U652" s="109"/>
      <c r="V652" s="109"/>
      <c r="W652" s="109"/>
      <c r="X652" s="109"/>
      <c r="Y652" s="109"/>
      <c r="Z652" s="109"/>
      <c r="AA652" s="109"/>
      <c r="AB652" s="109"/>
      <c r="AC652" s="110"/>
      <c r="AD652" s="110"/>
      <c r="AE652" s="109"/>
      <c r="AF652" s="151"/>
    </row>
    <row r="653" spans="1:32" x14ac:dyDescent="0.2">
      <c r="A653" s="112">
        <v>743</v>
      </c>
      <c r="B653" s="113" t="s">
        <v>1204</v>
      </c>
      <c r="C653" s="114" t="s">
        <v>429</v>
      </c>
      <c r="D653" s="114" t="s">
        <v>17</v>
      </c>
      <c r="E653" s="115" t="s">
        <v>1676</v>
      </c>
      <c r="F653" s="115" t="s">
        <v>1677</v>
      </c>
      <c r="G653" s="115" t="s">
        <v>1903</v>
      </c>
      <c r="H653" s="113" t="s">
        <v>1428</v>
      </c>
      <c r="I653" s="114">
        <v>20.547705000000001</v>
      </c>
      <c r="J653" s="114">
        <v>-100.834135</v>
      </c>
      <c r="K653" s="113"/>
      <c r="L653" s="116" t="str">
        <f t="shared" si="30"/>
        <v>Ver en Google Maps</v>
      </c>
      <c r="M653" s="113">
        <v>1</v>
      </c>
      <c r="N653" s="129"/>
      <c r="O653" s="118"/>
      <c r="P653" s="118"/>
      <c r="Q653" s="118"/>
      <c r="R653" s="118"/>
      <c r="S653" s="118"/>
      <c r="T653" s="118"/>
      <c r="U653" s="118"/>
      <c r="V653" s="118"/>
      <c r="W653" s="118"/>
      <c r="X653" s="118"/>
      <c r="Y653" s="118"/>
      <c r="Z653" s="118"/>
      <c r="AA653" s="118"/>
      <c r="AB653" s="118"/>
      <c r="AC653" s="119"/>
      <c r="AD653" s="119"/>
      <c r="AE653" s="118"/>
      <c r="AF653" s="152"/>
    </row>
    <row r="654" spans="1:32" x14ac:dyDescent="0.2">
      <c r="A654" s="121">
        <v>744</v>
      </c>
      <c r="B654" s="122" t="s">
        <v>1204</v>
      </c>
      <c r="C654" s="123" t="s">
        <v>429</v>
      </c>
      <c r="D654" s="123" t="s">
        <v>17</v>
      </c>
      <c r="E654" s="124" t="s">
        <v>1678</v>
      </c>
      <c r="F654" s="124" t="s">
        <v>1679</v>
      </c>
      <c r="G654" s="124" t="s">
        <v>1904</v>
      </c>
      <c r="H654" s="122" t="s">
        <v>1428</v>
      </c>
      <c r="I654" s="123">
        <v>20.497934999999998</v>
      </c>
      <c r="J654" s="123">
        <v>-100.837228</v>
      </c>
      <c r="K654" s="122"/>
      <c r="L654" s="125" t="str">
        <f t="shared" si="30"/>
        <v>Ver en Google Maps</v>
      </c>
      <c r="M654" s="122">
        <v>1</v>
      </c>
      <c r="N654" s="130"/>
      <c r="O654" s="109"/>
      <c r="P654" s="109"/>
      <c r="Q654" s="109"/>
      <c r="R654" s="109"/>
      <c r="S654" s="109"/>
      <c r="T654" s="109"/>
      <c r="U654" s="109"/>
      <c r="V654" s="109"/>
      <c r="W654" s="109"/>
      <c r="X654" s="109"/>
      <c r="Y654" s="109"/>
      <c r="Z654" s="109"/>
      <c r="AA654" s="109"/>
      <c r="AB654" s="109"/>
      <c r="AC654" s="110"/>
      <c r="AD654" s="110"/>
      <c r="AE654" s="109"/>
      <c r="AF654" s="151"/>
    </row>
    <row r="655" spans="1:32" x14ac:dyDescent="0.2">
      <c r="A655" s="112">
        <v>773</v>
      </c>
      <c r="B655" s="113" t="s">
        <v>1204</v>
      </c>
      <c r="C655" s="114" t="s">
        <v>429</v>
      </c>
      <c r="D655" s="114" t="s">
        <v>15</v>
      </c>
      <c r="E655" s="115" t="s">
        <v>1680</v>
      </c>
      <c r="F655" s="115" t="s">
        <v>1681</v>
      </c>
      <c r="G655" s="115" t="s">
        <v>1905</v>
      </c>
      <c r="H655" s="113" t="s">
        <v>1428</v>
      </c>
      <c r="I655" s="114">
        <v>20.534832999999999</v>
      </c>
      <c r="J655" s="114">
        <v>-100.847345</v>
      </c>
      <c r="K655" s="113"/>
      <c r="L655" s="116" t="str">
        <f t="shared" si="30"/>
        <v>Ver en Google Maps</v>
      </c>
      <c r="M655" s="113">
        <v>2</v>
      </c>
      <c r="N655" s="129"/>
      <c r="O655" s="118"/>
      <c r="P655" s="118"/>
      <c r="Q655" s="118"/>
      <c r="R655" s="118"/>
      <c r="S655" s="118"/>
      <c r="T655" s="118"/>
      <c r="U655" s="118"/>
      <c r="V655" s="118"/>
      <c r="W655" s="118"/>
      <c r="X655" s="118"/>
      <c r="Y655" s="118"/>
      <c r="Z655" s="118"/>
      <c r="AA655" s="118"/>
      <c r="AB655" s="118"/>
      <c r="AC655" s="119"/>
      <c r="AD655" s="119"/>
      <c r="AE655" s="118"/>
      <c r="AF655" s="152"/>
    </row>
    <row r="656" spans="1:32" x14ac:dyDescent="0.2">
      <c r="A656" s="121">
        <v>785</v>
      </c>
      <c r="B656" s="122" t="s">
        <v>1204</v>
      </c>
      <c r="C656" s="123" t="s">
        <v>429</v>
      </c>
      <c r="D656" s="123" t="s">
        <v>16</v>
      </c>
      <c r="E656" s="124" t="s">
        <v>1682</v>
      </c>
      <c r="F656" s="124" t="s">
        <v>1683</v>
      </c>
      <c r="G656" s="124" t="s">
        <v>1906</v>
      </c>
      <c r="H656" s="122" t="s">
        <v>1428</v>
      </c>
      <c r="I656" s="123">
        <v>20.549662000000001</v>
      </c>
      <c r="J656" s="123">
        <v>-100.787655</v>
      </c>
      <c r="K656" s="122"/>
      <c r="L656" s="125" t="str">
        <f t="shared" si="30"/>
        <v>Ver en Google Maps</v>
      </c>
      <c r="M656" s="122">
        <v>1</v>
      </c>
      <c r="N656" s="130"/>
      <c r="O656" s="109"/>
      <c r="P656" s="109"/>
      <c r="Q656" s="109"/>
      <c r="R656" s="109"/>
      <c r="S656" s="109"/>
      <c r="T656" s="109"/>
      <c r="U656" s="109"/>
      <c r="V656" s="109"/>
      <c r="W656" s="109"/>
      <c r="X656" s="109"/>
      <c r="Y656" s="109"/>
      <c r="Z656" s="109"/>
      <c r="AA656" s="109"/>
      <c r="AB656" s="109"/>
      <c r="AC656" s="110"/>
      <c r="AD656" s="110"/>
      <c r="AE656" s="109"/>
      <c r="AF656" s="151"/>
    </row>
    <row r="657" spans="1:32" x14ac:dyDescent="0.2">
      <c r="A657" s="112">
        <v>790</v>
      </c>
      <c r="B657" s="113" t="s">
        <v>1204</v>
      </c>
      <c r="C657" s="114" t="s">
        <v>429</v>
      </c>
      <c r="D657" s="114" t="s">
        <v>15</v>
      </c>
      <c r="E657" s="115" t="s">
        <v>1684</v>
      </c>
      <c r="F657" s="115" t="s">
        <v>1685</v>
      </c>
      <c r="G657" s="115" t="s">
        <v>1868</v>
      </c>
      <c r="H657" s="113" t="s">
        <v>1428</v>
      </c>
      <c r="I657" s="114">
        <v>20.526958</v>
      </c>
      <c r="J657" s="114">
        <v>-100.795163</v>
      </c>
      <c r="K657" s="113"/>
      <c r="L657" s="116" t="str">
        <f t="shared" si="30"/>
        <v>Ver en Google Maps</v>
      </c>
      <c r="M657" s="113">
        <v>2</v>
      </c>
      <c r="N657" s="129"/>
      <c r="O657" s="118"/>
      <c r="P657" s="118"/>
      <c r="Q657" s="118"/>
      <c r="R657" s="118"/>
      <c r="S657" s="118"/>
      <c r="T657" s="118"/>
      <c r="U657" s="118"/>
      <c r="V657" s="118"/>
      <c r="W657" s="118"/>
      <c r="X657" s="118"/>
      <c r="Y657" s="118"/>
      <c r="Z657" s="118"/>
      <c r="AA657" s="118"/>
      <c r="AB657" s="118"/>
      <c r="AC657" s="119"/>
      <c r="AD657" s="119"/>
      <c r="AE657" s="118"/>
      <c r="AF657" s="152"/>
    </row>
    <row r="658" spans="1:32" x14ac:dyDescent="0.2">
      <c r="A658" s="121">
        <v>793</v>
      </c>
      <c r="B658" s="122" t="s">
        <v>1204</v>
      </c>
      <c r="C658" s="123" t="s">
        <v>429</v>
      </c>
      <c r="D658" s="123" t="s">
        <v>132</v>
      </c>
      <c r="E658" s="124" t="s">
        <v>1686</v>
      </c>
      <c r="F658" s="124" t="s">
        <v>1687</v>
      </c>
      <c r="G658" s="124" t="s">
        <v>1907</v>
      </c>
      <c r="H658" s="122" t="s">
        <v>1428</v>
      </c>
      <c r="I658" s="123">
        <v>20.501415000000001</v>
      </c>
      <c r="J658" s="123">
        <v>-100.82653999999999</v>
      </c>
      <c r="K658" s="122"/>
      <c r="L658" s="125" t="str">
        <f t="shared" si="30"/>
        <v>Ver en Google Maps</v>
      </c>
      <c r="M658" s="122">
        <v>2</v>
      </c>
      <c r="N658" s="130"/>
      <c r="O658" s="109"/>
      <c r="P658" s="109"/>
      <c r="Q658" s="109"/>
      <c r="R658" s="109"/>
      <c r="S658" s="109"/>
      <c r="T658" s="109"/>
      <c r="U658" s="109"/>
      <c r="V658" s="109"/>
      <c r="W658" s="109"/>
      <c r="X658" s="109"/>
      <c r="Y658" s="109"/>
      <c r="Z658" s="109"/>
      <c r="AA658" s="109"/>
      <c r="AB658" s="109"/>
      <c r="AC658" s="110"/>
      <c r="AD658" s="110"/>
      <c r="AE658" s="109"/>
      <c r="AF658" s="151"/>
    </row>
    <row r="659" spans="1:32" x14ac:dyDescent="0.2">
      <c r="A659" s="112">
        <v>795</v>
      </c>
      <c r="B659" s="113" t="s">
        <v>1204</v>
      </c>
      <c r="C659" s="114" t="s">
        <v>429</v>
      </c>
      <c r="D659" s="114" t="s">
        <v>16</v>
      </c>
      <c r="E659" s="115" t="s">
        <v>1688</v>
      </c>
      <c r="F659" s="115" t="s">
        <v>1689</v>
      </c>
      <c r="G659" s="115" t="s">
        <v>1105</v>
      </c>
      <c r="H659" s="113" t="s">
        <v>1428</v>
      </c>
      <c r="I659" s="114">
        <v>20.522959</v>
      </c>
      <c r="J659" s="114">
        <v>-100.808241</v>
      </c>
      <c r="K659" s="113" t="s">
        <v>139</v>
      </c>
      <c r="L659" s="116" t="str">
        <f t="shared" si="30"/>
        <v>Ver en Google Maps</v>
      </c>
      <c r="M659" s="113">
        <v>1</v>
      </c>
      <c r="N659" s="117">
        <v>45941</v>
      </c>
      <c r="O659" s="118">
        <f>DAY('BD1'!$N659)</f>
        <v>11</v>
      </c>
      <c r="P659" s="118">
        <f>MONTH('BD1'!$N659)</f>
        <v>10</v>
      </c>
      <c r="Q659" s="118">
        <f>YEAR('BD1'!$N659)</f>
        <v>2025</v>
      </c>
      <c r="R659" s="118">
        <v>1</v>
      </c>
      <c r="S659" s="118" t="s">
        <v>138</v>
      </c>
      <c r="T659" s="118" t="s">
        <v>138</v>
      </c>
      <c r="U659" s="118" t="s">
        <v>138</v>
      </c>
      <c r="V659" s="118" t="s">
        <v>138</v>
      </c>
      <c r="W659" s="118" t="s">
        <v>138</v>
      </c>
      <c r="X659" s="118" t="s">
        <v>138</v>
      </c>
      <c r="Y659" s="118" t="s">
        <v>138</v>
      </c>
      <c r="Z659" s="118" t="s">
        <v>934</v>
      </c>
      <c r="AA659" s="118">
        <v>1.23</v>
      </c>
      <c r="AB659" s="118">
        <v>2.0299999999999998</v>
      </c>
      <c r="AC659" s="119" t="s">
        <v>2419</v>
      </c>
      <c r="AD659" s="119" t="s">
        <v>1403</v>
      </c>
      <c r="AE659" s="118">
        <f t="shared" si="31"/>
        <v>7</v>
      </c>
      <c r="AF659" s="152" t="str">
        <f t="shared" si="32"/>
        <v>Funcional con observaciones</v>
      </c>
    </row>
    <row r="660" spans="1:32" x14ac:dyDescent="0.2">
      <c r="A660" s="121">
        <v>797</v>
      </c>
      <c r="B660" s="122" t="s">
        <v>1204</v>
      </c>
      <c r="C660" s="123" t="s">
        <v>429</v>
      </c>
      <c r="D660" s="123" t="s">
        <v>16</v>
      </c>
      <c r="E660" s="124" t="s">
        <v>1690</v>
      </c>
      <c r="F660" s="124" t="s">
        <v>1691</v>
      </c>
      <c r="G660" s="124" t="s">
        <v>1908</v>
      </c>
      <c r="H660" s="122" t="s">
        <v>1428</v>
      </c>
      <c r="I660" s="123">
        <v>20.550128999999998</v>
      </c>
      <c r="J660" s="123">
        <v>-100.781238</v>
      </c>
      <c r="K660" s="122"/>
      <c r="L660" s="125" t="str">
        <f t="shared" si="30"/>
        <v>Ver en Google Maps</v>
      </c>
      <c r="M660" s="122">
        <v>1</v>
      </c>
      <c r="N660" s="130"/>
      <c r="O660" s="109"/>
      <c r="P660" s="109"/>
      <c r="Q660" s="109"/>
      <c r="R660" s="109"/>
      <c r="S660" s="109"/>
      <c r="T660" s="109"/>
      <c r="U660" s="109"/>
      <c r="V660" s="109"/>
      <c r="W660" s="109"/>
      <c r="X660" s="109"/>
      <c r="Y660" s="109"/>
      <c r="Z660" s="109"/>
      <c r="AA660" s="109"/>
      <c r="AB660" s="109"/>
      <c r="AC660" s="110"/>
      <c r="AD660" s="110"/>
      <c r="AE660" s="109"/>
      <c r="AF660" s="151"/>
    </row>
    <row r="661" spans="1:32" x14ac:dyDescent="0.2">
      <c r="A661" s="112">
        <v>823</v>
      </c>
      <c r="B661" s="113" t="s">
        <v>1204</v>
      </c>
      <c r="C661" s="114" t="s">
        <v>429</v>
      </c>
      <c r="D661" s="114" t="s">
        <v>16</v>
      </c>
      <c r="E661" s="115" t="s">
        <v>1692</v>
      </c>
      <c r="F661" s="115" t="s">
        <v>1693</v>
      </c>
      <c r="G661" s="115" t="s">
        <v>1790</v>
      </c>
      <c r="H661" s="113" t="s">
        <v>1428</v>
      </c>
      <c r="I661" s="114">
        <v>20.563037999999999</v>
      </c>
      <c r="J661" s="114">
        <v>-100.801464</v>
      </c>
      <c r="K661" s="113"/>
      <c r="L661" s="116" t="str">
        <f t="shared" si="30"/>
        <v>Ver en Google Maps</v>
      </c>
      <c r="M661" s="113">
        <v>1</v>
      </c>
      <c r="N661" s="129"/>
      <c r="O661" s="118"/>
      <c r="P661" s="118"/>
      <c r="Q661" s="118"/>
      <c r="R661" s="118"/>
      <c r="S661" s="118"/>
      <c r="T661" s="118"/>
      <c r="U661" s="118"/>
      <c r="V661" s="118"/>
      <c r="W661" s="118"/>
      <c r="X661" s="118"/>
      <c r="Y661" s="118"/>
      <c r="Z661" s="118"/>
      <c r="AA661" s="118"/>
      <c r="AB661" s="118"/>
      <c r="AC661" s="119"/>
      <c r="AD661" s="119"/>
      <c r="AE661" s="118"/>
      <c r="AF661" s="152"/>
    </row>
    <row r="662" spans="1:32" x14ac:dyDescent="0.2">
      <c r="A662" s="121">
        <v>827</v>
      </c>
      <c r="B662" s="122" t="s">
        <v>1204</v>
      </c>
      <c r="C662" s="123" t="s">
        <v>14</v>
      </c>
      <c r="D662" s="123" t="s">
        <v>404</v>
      </c>
      <c r="E662" s="124" t="s">
        <v>1694</v>
      </c>
      <c r="F662" s="124" t="s">
        <v>1695</v>
      </c>
      <c r="G662" s="124" t="s">
        <v>1896</v>
      </c>
      <c r="H662" s="122" t="s">
        <v>1428</v>
      </c>
      <c r="I662" s="123">
        <v>20.523942000000002</v>
      </c>
      <c r="J662" s="123">
        <v>-100.849571</v>
      </c>
      <c r="K662" s="122"/>
      <c r="L662" s="125" t="str">
        <f t="shared" si="30"/>
        <v>Ver en Google Maps</v>
      </c>
      <c r="M662" s="122">
        <v>1</v>
      </c>
      <c r="N662" s="130"/>
      <c r="O662" s="109"/>
      <c r="P662" s="109"/>
      <c r="Q662" s="109"/>
      <c r="R662" s="109"/>
      <c r="S662" s="109"/>
      <c r="T662" s="109"/>
      <c r="U662" s="109"/>
      <c r="V662" s="109"/>
      <c r="W662" s="109"/>
      <c r="X662" s="109"/>
      <c r="Y662" s="109"/>
      <c r="Z662" s="109"/>
      <c r="AA662" s="109"/>
      <c r="AB662" s="109"/>
      <c r="AC662" s="110"/>
      <c r="AD662" s="110"/>
      <c r="AE662" s="109"/>
      <c r="AF662" s="151"/>
    </row>
    <row r="663" spans="1:32" x14ac:dyDescent="0.2">
      <c r="A663" s="112">
        <v>850</v>
      </c>
      <c r="B663" s="113" t="s">
        <v>1204</v>
      </c>
      <c r="C663" s="114" t="s">
        <v>14</v>
      </c>
      <c r="D663" s="114" t="s">
        <v>404</v>
      </c>
      <c r="E663" s="115" t="s">
        <v>1696</v>
      </c>
      <c r="F663" s="115" t="s">
        <v>1697</v>
      </c>
      <c r="G663" s="115" t="s">
        <v>1909</v>
      </c>
      <c r="H663" s="113" t="s">
        <v>1428</v>
      </c>
      <c r="I663" s="114">
        <v>20.504519999999999</v>
      </c>
      <c r="J663" s="114">
        <v>-100.80603000000001</v>
      </c>
      <c r="K663" s="113"/>
      <c r="L663" s="116" t="str">
        <f t="shared" si="30"/>
        <v>Ver en Google Maps</v>
      </c>
      <c r="M663" s="113">
        <v>1</v>
      </c>
      <c r="N663" s="129"/>
      <c r="O663" s="118"/>
      <c r="P663" s="118"/>
      <c r="Q663" s="118"/>
      <c r="R663" s="118"/>
      <c r="S663" s="118"/>
      <c r="T663" s="118"/>
      <c r="U663" s="118"/>
      <c r="V663" s="118"/>
      <c r="W663" s="118"/>
      <c r="X663" s="118"/>
      <c r="Y663" s="118"/>
      <c r="Z663" s="118"/>
      <c r="AA663" s="118"/>
      <c r="AB663" s="118"/>
      <c r="AC663" s="119"/>
      <c r="AD663" s="119"/>
      <c r="AE663" s="118"/>
      <c r="AF663" s="152"/>
    </row>
    <row r="664" spans="1:32" x14ac:dyDescent="0.2">
      <c r="A664" s="121">
        <v>862</v>
      </c>
      <c r="B664" s="122" t="s">
        <v>1204</v>
      </c>
      <c r="C664" s="123" t="s">
        <v>14</v>
      </c>
      <c r="D664" s="123" t="s">
        <v>404</v>
      </c>
      <c r="E664" s="124" t="s">
        <v>1698</v>
      </c>
      <c r="F664" s="124" t="s">
        <v>1699</v>
      </c>
      <c r="G664" s="124" t="s">
        <v>360</v>
      </c>
      <c r="H664" s="122" t="s">
        <v>1428</v>
      </c>
      <c r="I664" s="123">
        <v>20.518111000000001</v>
      </c>
      <c r="J664" s="123">
        <v>-100.81632399999999</v>
      </c>
      <c r="K664" s="122" t="s">
        <v>139</v>
      </c>
      <c r="L664" s="125" t="str">
        <f t="shared" si="30"/>
        <v>Ver en Google Maps</v>
      </c>
      <c r="M664" s="122">
        <v>1</v>
      </c>
      <c r="N664" s="108">
        <v>45941</v>
      </c>
      <c r="O664" s="109">
        <f>DAY('BD1'!$N664)</f>
        <v>11</v>
      </c>
      <c r="P664" s="109">
        <f>MONTH('BD1'!$N664)</f>
        <v>10</v>
      </c>
      <c r="Q664" s="109">
        <f>YEAR('BD1'!$N664)</f>
        <v>2025</v>
      </c>
      <c r="R664" s="109">
        <v>1</v>
      </c>
      <c r="S664" s="109" t="s">
        <v>138</v>
      </c>
      <c r="T664" s="109" t="s">
        <v>138</v>
      </c>
      <c r="U664" s="109" t="s">
        <v>138</v>
      </c>
      <c r="V664" s="109" t="s">
        <v>138</v>
      </c>
      <c r="W664" s="109" t="s">
        <v>138</v>
      </c>
      <c r="X664" s="109" t="s">
        <v>138</v>
      </c>
      <c r="Y664" s="109" t="s">
        <v>138</v>
      </c>
      <c r="Z664" s="109" t="s">
        <v>934</v>
      </c>
      <c r="AA664" s="109">
        <v>8.98</v>
      </c>
      <c r="AB664" s="109">
        <v>3.32</v>
      </c>
      <c r="AC664" s="110" t="s">
        <v>1412</v>
      </c>
      <c r="AD664" s="110" t="s">
        <v>1403</v>
      </c>
      <c r="AE664" s="109">
        <f t="shared" si="31"/>
        <v>7</v>
      </c>
      <c r="AF664" s="151" t="str">
        <f t="shared" si="32"/>
        <v>Funcional con observaciones</v>
      </c>
    </row>
    <row r="665" spans="1:32" x14ac:dyDescent="0.2">
      <c r="A665" s="112">
        <v>864</v>
      </c>
      <c r="B665" s="113" t="s">
        <v>1204</v>
      </c>
      <c r="C665" s="114" t="s">
        <v>14</v>
      </c>
      <c r="D665" s="114" t="s">
        <v>735</v>
      </c>
      <c r="E665" s="115" t="s">
        <v>1700</v>
      </c>
      <c r="F665" s="115" t="s">
        <v>1701</v>
      </c>
      <c r="G665" s="115" t="s">
        <v>1910</v>
      </c>
      <c r="H665" s="113" t="s">
        <v>1428</v>
      </c>
      <c r="I665" s="114">
        <v>20.496112</v>
      </c>
      <c r="J665" s="114">
        <v>-100.80414500000001</v>
      </c>
      <c r="K665" s="113"/>
      <c r="L665" s="116" t="str">
        <f t="shared" si="30"/>
        <v>Ver en Google Maps</v>
      </c>
      <c r="M665" s="113">
        <v>2</v>
      </c>
      <c r="N665" s="129"/>
      <c r="O665" s="118"/>
      <c r="P665" s="118"/>
      <c r="Q665" s="118"/>
      <c r="R665" s="118"/>
      <c r="S665" s="118"/>
      <c r="T665" s="118"/>
      <c r="U665" s="118"/>
      <c r="V665" s="118"/>
      <c r="W665" s="118"/>
      <c r="X665" s="118"/>
      <c r="Y665" s="118"/>
      <c r="Z665" s="118"/>
      <c r="AA665" s="118"/>
      <c r="AB665" s="118"/>
      <c r="AC665" s="119"/>
      <c r="AD665" s="119"/>
      <c r="AE665" s="118"/>
      <c r="AF665" s="152"/>
    </row>
    <row r="666" spans="1:32" x14ac:dyDescent="0.2">
      <c r="A666" s="121">
        <v>873</v>
      </c>
      <c r="B666" s="122" t="s">
        <v>1204</v>
      </c>
      <c r="C666" s="123" t="s">
        <v>14</v>
      </c>
      <c r="D666" s="123" t="s">
        <v>735</v>
      </c>
      <c r="E666" s="124" t="s">
        <v>1702</v>
      </c>
      <c r="F666" s="124" t="s">
        <v>1703</v>
      </c>
      <c r="G666" s="124" t="s">
        <v>1791</v>
      </c>
      <c r="H666" s="122" t="s">
        <v>1428</v>
      </c>
      <c r="I666" s="123">
        <v>20.507636000000002</v>
      </c>
      <c r="J666" s="123">
        <v>-100.828693</v>
      </c>
      <c r="K666" s="122"/>
      <c r="L666" s="125" t="str">
        <f t="shared" si="30"/>
        <v>Ver en Google Maps</v>
      </c>
      <c r="M666" s="122">
        <v>2</v>
      </c>
      <c r="N666" s="130"/>
      <c r="O666" s="109"/>
      <c r="P666" s="109"/>
      <c r="Q666" s="109"/>
      <c r="R666" s="109"/>
      <c r="S666" s="109"/>
      <c r="T666" s="109"/>
      <c r="U666" s="109"/>
      <c r="V666" s="109"/>
      <c r="W666" s="109"/>
      <c r="X666" s="109"/>
      <c r="Y666" s="109"/>
      <c r="Z666" s="109"/>
      <c r="AA666" s="109"/>
      <c r="AB666" s="109"/>
      <c r="AC666" s="110"/>
      <c r="AD666" s="110"/>
      <c r="AE666" s="109"/>
      <c r="AF666" s="151"/>
    </row>
    <row r="667" spans="1:32" x14ac:dyDescent="0.2">
      <c r="A667" s="112">
        <v>876</v>
      </c>
      <c r="B667" s="113" t="s">
        <v>1204</v>
      </c>
      <c r="C667" s="114" t="s">
        <v>14</v>
      </c>
      <c r="D667" s="114" t="s">
        <v>404</v>
      </c>
      <c r="E667" s="115" t="s">
        <v>1704</v>
      </c>
      <c r="F667" s="115" t="s">
        <v>1705</v>
      </c>
      <c r="G667" s="115" t="s">
        <v>360</v>
      </c>
      <c r="H667" s="113" t="s">
        <v>1428</v>
      </c>
      <c r="I667" s="114">
        <v>20.518196</v>
      </c>
      <c r="J667" s="114">
        <v>-100.81640299999999</v>
      </c>
      <c r="K667" s="113" t="s">
        <v>139</v>
      </c>
      <c r="L667" s="116" t="str">
        <f t="shared" si="30"/>
        <v>Ver en Google Maps</v>
      </c>
      <c r="M667" s="113">
        <v>1</v>
      </c>
      <c r="N667" s="117">
        <v>45941</v>
      </c>
      <c r="O667" s="118">
        <f>DAY('BD1'!$N667)</f>
        <v>11</v>
      </c>
      <c r="P667" s="118">
        <f>MONTH('BD1'!$N667)</f>
        <v>10</v>
      </c>
      <c r="Q667" s="118">
        <f>YEAR('BD1'!$N667)</f>
        <v>2025</v>
      </c>
      <c r="R667" s="118">
        <v>1</v>
      </c>
      <c r="S667" s="118" t="s">
        <v>138</v>
      </c>
      <c r="T667" s="118" t="s">
        <v>138</v>
      </c>
      <c r="U667" s="118" t="s">
        <v>138</v>
      </c>
      <c r="V667" s="118" t="s">
        <v>138</v>
      </c>
      <c r="W667" s="118" t="s">
        <v>138</v>
      </c>
      <c r="X667" s="118" t="s">
        <v>138</v>
      </c>
      <c r="Y667" s="118" t="s">
        <v>138</v>
      </c>
      <c r="Z667" s="118" t="s">
        <v>138</v>
      </c>
      <c r="AA667" s="118">
        <v>49.2</v>
      </c>
      <c r="AB667" s="118">
        <v>53.1</v>
      </c>
      <c r="AC667" s="119" t="s">
        <v>967</v>
      </c>
      <c r="AD667" s="119" t="s">
        <v>1403</v>
      </c>
      <c r="AE667" s="118">
        <f t="shared" si="31"/>
        <v>8</v>
      </c>
      <c r="AF667" s="152" t="str">
        <f t="shared" si="32"/>
        <v>Estable</v>
      </c>
    </row>
    <row r="668" spans="1:32" x14ac:dyDescent="0.2">
      <c r="A668" s="121">
        <v>880</v>
      </c>
      <c r="B668" s="122" t="s">
        <v>1204</v>
      </c>
      <c r="C668" s="123" t="s">
        <v>14</v>
      </c>
      <c r="D668" s="123" t="s">
        <v>404</v>
      </c>
      <c r="E668" s="124" t="s">
        <v>1706</v>
      </c>
      <c r="F668" s="124" t="s">
        <v>1707</v>
      </c>
      <c r="G668" s="124" t="s">
        <v>1114</v>
      </c>
      <c r="H668" s="122" t="s">
        <v>1428</v>
      </c>
      <c r="I668" s="123">
        <v>20.5214</v>
      </c>
      <c r="J668" s="123">
        <v>-100.8314</v>
      </c>
      <c r="K668" s="122"/>
      <c r="L668" s="125" t="str">
        <f t="shared" si="30"/>
        <v>Ver en Google Maps</v>
      </c>
      <c r="M668" s="122">
        <v>2</v>
      </c>
      <c r="N668" s="130"/>
      <c r="O668" s="109"/>
      <c r="P668" s="109"/>
      <c r="Q668" s="109"/>
      <c r="R668" s="109"/>
      <c r="S668" s="109"/>
      <c r="T668" s="109"/>
      <c r="U668" s="109"/>
      <c r="V668" s="109"/>
      <c r="W668" s="109"/>
      <c r="X668" s="109"/>
      <c r="Y668" s="109"/>
      <c r="Z668" s="109"/>
      <c r="AA668" s="109"/>
      <c r="AB668" s="109"/>
      <c r="AC668" s="110"/>
      <c r="AD668" s="110"/>
      <c r="AE668" s="109"/>
      <c r="AF668" s="151"/>
    </row>
    <row r="669" spans="1:32" x14ac:dyDescent="0.2">
      <c r="A669" s="112">
        <v>885</v>
      </c>
      <c r="B669" s="113" t="s">
        <v>1204</v>
      </c>
      <c r="C669" s="114" t="s">
        <v>18</v>
      </c>
      <c r="D669" s="114" t="s">
        <v>404</v>
      </c>
      <c r="E669" s="115" t="s">
        <v>1708</v>
      </c>
      <c r="F669" s="115" t="s">
        <v>1709</v>
      </c>
      <c r="G669" s="115" t="s">
        <v>1911</v>
      </c>
      <c r="H669" s="113" t="s">
        <v>1428</v>
      </c>
      <c r="I669" s="114">
        <v>20.518380000000001</v>
      </c>
      <c r="J669" s="114">
        <v>-100.83014</v>
      </c>
      <c r="K669" s="113"/>
      <c r="L669" s="116" t="str">
        <f t="shared" si="30"/>
        <v>Ver en Google Maps</v>
      </c>
      <c r="M669" s="113">
        <v>1</v>
      </c>
      <c r="N669" s="117"/>
      <c r="O669" s="118"/>
      <c r="P669" s="118"/>
      <c r="Q669" s="118"/>
      <c r="R669" s="118"/>
      <c r="S669" s="118"/>
      <c r="T669" s="118"/>
      <c r="U669" s="118"/>
      <c r="V669" s="118"/>
      <c r="W669" s="118"/>
      <c r="X669" s="118"/>
      <c r="Y669" s="118"/>
      <c r="Z669" s="118"/>
      <c r="AA669" s="118"/>
      <c r="AB669" s="118"/>
      <c r="AC669" s="119"/>
      <c r="AD669" s="119"/>
      <c r="AE669" s="118"/>
      <c r="AF669" s="152"/>
    </row>
    <row r="670" spans="1:32" x14ac:dyDescent="0.2">
      <c r="A670" s="121">
        <v>889</v>
      </c>
      <c r="B670" s="122" t="s">
        <v>1204</v>
      </c>
      <c r="C670" s="123" t="s">
        <v>14</v>
      </c>
      <c r="D670" s="123" t="s">
        <v>404</v>
      </c>
      <c r="E670" s="124" t="s">
        <v>1710</v>
      </c>
      <c r="F670" s="124" t="s">
        <v>1711</v>
      </c>
      <c r="G670" s="124" t="s">
        <v>360</v>
      </c>
      <c r="H670" s="122" t="s">
        <v>1428</v>
      </c>
      <c r="I670" s="123">
        <v>20.518128000000001</v>
      </c>
      <c r="J670" s="123">
        <v>-100.816323</v>
      </c>
      <c r="K670" s="122" t="s">
        <v>139</v>
      </c>
      <c r="L670" s="125" t="str">
        <f t="shared" si="30"/>
        <v>Ver en Google Maps</v>
      </c>
      <c r="M670" s="122">
        <v>1</v>
      </c>
      <c r="N670" s="108">
        <v>45941</v>
      </c>
      <c r="O670" s="109">
        <f>DAY('BD1'!$N670)</f>
        <v>11</v>
      </c>
      <c r="P670" s="109">
        <f>MONTH('BD1'!$N670)</f>
        <v>10</v>
      </c>
      <c r="Q670" s="109">
        <f>YEAR('BD1'!$N670)</f>
        <v>2025</v>
      </c>
      <c r="R670" s="109">
        <v>1</v>
      </c>
      <c r="S670" s="109" t="s">
        <v>138</v>
      </c>
      <c r="T670" s="109" t="s">
        <v>138</v>
      </c>
      <c r="U670" s="109" t="s">
        <v>138</v>
      </c>
      <c r="V670" s="109" t="s">
        <v>138</v>
      </c>
      <c r="W670" s="109" t="s">
        <v>138</v>
      </c>
      <c r="X670" s="109" t="s">
        <v>138</v>
      </c>
      <c r="Y670" s="109" t="s">
        <v>138</v>
      </c>
      <c r="Z670" s="109" t="s">
        <v>138</v>
      </c>
      <c r="AA670" s="109">
        <v>70.2</v>
      </c>
      <c r="AB670" s="109">
        <v>88.7</v>
      </c>
      <c r="AC670" s="110" t="s">
        <v>967</v>
      </c>
      <c r="AD670" s="110" t="s">
        <v>1403</v>
      </c>
      <c r="AE670" s="109">
        <f t="shared" si="31"/>
        <v>8</v>
      </c>
      <c r="AF670" s="151" t="str">
        <f t="shared" si="32"/>
        <v>Estable</v>
      </c>
    </row>
    <row r="671" spans="1:32" x14ac:dyDescent="0.2">
      <c r="A671" s="112">
        <v>891</v>
      </c>
      <c r="B671" s="113" t="s">
        <v>1204</v>
      </c>
      <c r="C671" s="114" t="s">
        <v>14</v>
      </c>
      <c r="D671" s="114" t="s">
        <v>404</v>
      </c>
      <c r="E671" s="115" t="s">
        <v>1712</v>
      </c>
      <c r="F671" s="115" t="s">
        <v>1713</v>
      </c>
      <c r="G671" s="115" t="s">
        <v>1852</v>
      </c>
      <c r="H671" s="113" t="s">
        <v>1428</v>
      </c>
      <c r="I671" s="114">
        <v>20.539065000000001</v>
      </c>
      <c r="J671" s="114">
        <v>-100.839404</v>
      </c>
      <c r="K671" s="113"/>
      <c r="L671" s="116" t="str">
        <f t="shared" si="30"/>
        <v>Ver en Google Maps</v>
      </c>
      <c r="M671" s="113">
        <v>1</v>
      </c>
      <c r="N671" s="129"/>
      <c r="O671" s="118"/>
      <c r="P671" s="118"/>
      <c r="Q671" s="118"/>
      <c r="R671" s="118"/>
      <c r="S671" s="118"/>
      <c r="T671" s="118"/>
      <c r="U671" s="118"/>
      <c r="V671" s="118"/>
      <c r="W671" s="118"/>
      <c r="X671" s="118"/>
      <c r="Y671" s="118"/>
      <c r="Z671" s="118"/>
      <c r="AA671" s="118"/>
      <c r="AB671" s="118"/>
      <c r="AC671" s="119"/>
      <c r="AD671" s="119"/>
      <c r="AE671" s="118"/>
      <c r="AF671" s="152"/>
    </row>
    <row r="672" spans="1:32" x14ac:dyDescent="0.2">
      <c r="A672" s="121">
        <v>894</v>
      </c>
      <c r="B672" s="122" t="s">
        <v>1204</v>
      </c>
      <c r="C672" s="123" t="s">
        <v>14</v>
      </c>
      <c r="D672" s="123" t="s">
        <v>404</v>
      </c>
      <c r="E672" s="124" t="s">
        <v>1714</v>
      </c>
      <c r="F672" s="124" t="s">
        <v>1715</v>
      </c>
      <c r="G672" s="124" t="s">
        <v>1912</v>
      </c>
      <c r="H672" s="122" t="s">
        <v>1428</v>
      </c>
      <c r="I672" s="123">
        <v>20.518692999999999</v>
      </c>
      <c r="J672" s="123">
        <v>-100.83568699999999</v>
      </c>
      <c r="K672" s="122"/>
      <c r="L672" s="125" t="str">
        <f t="shared" si="30"/>
        <v>Ver en Google Maps</v>
      </c>
      <c r="M672" s="122">
        <v>1</v>
      </c>
      <c r="N672" s="130"/>
      <c r="O672" s="109"/>
      <c r="P672" s="109"/>
      <c r="Q672" s="109"/>
      <c r="R672" s="109"/>
      <c r="S672" s="109"/>
      <c r="T672" s="109"/>
      <c r="U672" s="109"/>
      <c r="V672" s="109"/>
      <c r="W672" s="109"/>
      <c r="X672" s="109"/>
      <c r="Y672" s="109"/>
      <c r="Z672" s="109"/>
      <c r="AA672" s="109"/>
      <c r="AB672" s="109"/>
      <c r="AC672" s="110"/>
      <c r="AD672" s="110"/>
      <c r="AE672" s="109"/>
      <c r="AF672" s="151"/>
    </row>
    <row r="673" spans="1:32" x14ac:dyDescent="0.2">
      <c r="A673" s="112">
        <v>902</v>
      </c>
      <c r="B673" s="113" t="s">
        <v>1204</v>
      </c>
      <c r="C673" s="114" t="s">
        <v>14</v>
      </c>
      <c r="D673" s="114" t="s">
        <v>404</v>
      </c>
      <c r="E673" s="115" t="s">
        <v>1716</v>
      </c>
      <c r="F673" s="115" t="s">
        <v>1717</v>
      </c>
      <c r="G673" s="115" t="s">
        <v>1896</v>
      </c>
      <c r="H673" s="113" t="s">
        <v>1428</v>
      </c>
      <c r="I673" s="114">
        <v>20.523900000000001</v>
      </c>
      <c r="J673" s="114">
        <v>-100.84948</v>
      </c>
      <c r="K673" s="113"/>
      <c r="L673" s="116" t="str">
        <f t="shared" si="30"/>
        <v>Ver en Google Maps</v>
      </c>
      <c r="M673" s="113">
        <v>1</v>
      </c>
      <c r="N673" s="129"/>
      <c r="O673" s="118"/>
      <c r="P673" s="118"/>
      <c r="Q673" s="118"/>
      <c r="R673" s="118"/>
      <c r="S673" s="118"/>
      <c r="T673" s="118"/>
      <c r="U673" s="118"/>
      <c r="V673" s="118"/>
      <c r="W673" s="118"/>
      <c r="X673" s="118"/>
      <c r="Y673" s="118"/>
      <c r="Z673" s="118"/>
      <c r="AA673" s="118"/>
      <c r="AB673" s="118"/>
      <c r="AC673" s="119"/>
      <c r="AD673" s="119"/>
      <c r="AE673" s="118"/>
      <c r="AF673" s="152"/>
    </row>
    <row r="674" spans="1:32" x14ac:dyDescent="0.2">
      <c r="A674" s="121">
        <v>914</v>
      </c>
      <c r="B674" s="122" t="s">
        <v>1204</v>
      </c>
      <c r="C674" s="123" t="s">
        <v>429</v>
      </c>
      <c r="D674" s="123" t="s">
        <v>16</v>
      </c>
      <c r="E674" s="124" t="s">
        <v>1718</v>
      </c>
      <c r="F674" s="124" t="s">
        <v>1719</v>
      </c>
      <c r="G674" s="124" t="s">
        <v>1781</v>
      </c>
      <c r="H674" s="122" t="s">
        <v>1428</v>
      </c>
      <c r="I674" s="123">
        <v>20.553056999999999</v>
      </c>
      <c r="J674" s="123">
        <v>-100.847567</v>
      </c>
      <c r="K674" s="122"/>
      <c r="L674" s="125" t="str">
        <f t="shared" si="30"/>
        <v>Ver en Google Maps</v>
      </c>
      <c r="M674" s="122">
        <v>1</v>
      </c>
      <c r="N674" s="130"/>
      <c r="O674" s="109"/>
      <c r="P674" s="109"/>
      <c r="Q674" s="109"/>
      <c r="R674" s="109"/>
      <c r="S674" s="109"/>
      <c r="T674" s="109"/>
      <c r="U674" s="109"/>
      <c r="V674" s="109"/>
      <c r="W674" s="109"/>
      <c r="X674" s="109"/>
      <c r="Y674" s="109"/>
      <c r="Z674" s="109"/>
      <c r="AA674" s="109"/>
      <c r="AB674" s="109"/>
      <c r="AC674" s="110"/>
      <c r="AD674" s="110"/>
      <c r="AE674" s="109"/>
      <c r="AF674" s="151"/>
    </row>
    <row r="675" spans="1:32" x14ac:dyDescent="0.2">
      <c r="A675" s="112">
        <v>921</v>
      </c>
      <c r="B675" s="113" t="s">
        <v>1204</v>
      </c>
      <c r="C675" s="114" t="s">
        <v>429</v>
      </c>
      <c r="D675" s="114" t="s">
        <v>336</v>
      </c>
      <c r="E675" s="115" t="s">
        <v>1720</v>
      </c>
      <c r="F675" s="115" t="s">
        <v>1721</v>
      </c>
      <c r="G675" s="115" t="s">
        <v>1068</v>
      </c>
      <c r="H675" s="113" t="s">
        <v>1428</v>
      </c>
      <c r="I675" s="114">
        <v>20.548596</v>
      </c>
      <c r="J675" s="114">
        <v>-100.787087</v>
      </c>
      <c r="K675" s="113"/>
      <c r="L675" s="116" t="str">
        <f t="shared" si="30"/>
        <v>Ver en Google Maps</v>
      </c>
      <c r="M675" s="113">
        <v>2</v>
      </c>
      <c r="N675" s="129"/>
      <c r="O675" s="118"/>
      <c r="P675" s="118"/>
      <c r="Q675" s="118"/>
      <c r="R675" s="118"/>
      <c r="S675" s="118"/>
      <c r="T675" s="118"/>
      <c r="U675" s="118"/>
      <c r="V675" s="118"/>
      <c r="W675" s="118"/>
      <c r="X675" s="118"/>
      <c r="Y675" s="118"/>
      <c r="Z675" s="118"/>
      <c r="AA675" s="118"/>
      <c r="AB675" s="118"/>
      <c r="AC675" s="119"/>
      <c r="AD675" s="119"/>
      <c r="AE675" s="118"/>
      <c r="AF675" s="152"/>
    </row>
    <row r="676" spans="1:32" x14ac:dyDescent="0.2">
      <c r="A676" s="121">
        <v>929</v>
      </c>
      <c r="B676" s="122" t="s">
        <v>1204</v>
      </c>
      <c r="C676" s="123" t="s">
        <v>429</v>
      </c>
      <c r="D676" s="123" t="s">
        <v>336</v>
      </c>
      <c r="E676" s="124" t="s">
        <v>1722</v>
      </c>
      <c r="F676" s="124" t="s">
        <v>1723</v>
      </c>
      <c r="G676" s="124" t="s">
        <v>1792</v>
      </c>
      <c r="H676" s="122" t="s">
        <v>1428</v>
      </c>
      <c r="I676" s="123">
        <v>20.514151999999999</v>
      </c>
      <c r="J676" s="123">
        <v>-100.823305</v>
      </c>
      <c r="K676" s="122"/>
      <c r="L676" s="125" t="str">
        <f t="shared" si="30"/>
        <v>Ver en Google Maps</v>
      </c>
      <c r="M676" s="122">
        <v>2</v>
      </c>
      <c r="N676" s="130"/>
      <c r="O676" s="109"/>
      <c r="P676" s="109"/>
      <c r="Q676" s="109"/>
      <c r="R676" s="109"/>
      <c r="S676" s="109"/>
      <c r="T676" s="109"/>
      <c r="U676" s="109"/>
      <c r="V676" s="109"/>
      <c r="W676" s="109"/>
      <c r="X676" s="109"/>
      <c r="Y676" s="109"/>
      <c r="Z676" s="109"/>
      <c r="AA676" s="109"/>
      <c r="AB676" s="109"/>
      <c r="AC676" s="110"/>
      <c r="AD676" s="110"/>
      <c r="AE676" s="109"/>
      <c r="AF676" s="151"/>
    </row>
    <row r="677" spans="1:32" x14ac:dyDescent="0.2">
      <c r="A677" s="112">
        <v>934</v>
      </c>
      <c r="B677" s="113" t="s">
        <v>1204</v>
      </c>
      <c r="C677" s="114" t="s">
        <v>429</v>
      </c>
      <c r="D677" s="114" t="s">
        <v>336</v>
      </c>
      <c r="E677" s="115" t="s">
        <v>1724</v>
      </c>
      <c r="F677" s="115" t="s">
        <v>1725</v>
      </c>
      <c r="G677" s="115" t="s">
        <v>1887</v>
      </c>
      <c r="H677" s="113" t="s">
        <v>1428</v>
      </c>
      <c r="I677" s="114">
        <v>20.537030000000001</v>
      </c>
      <c r="J677" s="114">
        <v>-100.80907000000001</v>
      </c>
      <c r="K677" s="113"/>
      <c r="L677" s="116" t="str">
        <f t="shared" si="30"/>
        <v>Ver en Google Maps</v>
      </c>
      <c r="M677" s="113">
        <v>3</v>
      </c>
      <c r="N677" s="129"/>
      <c r="O677" s="118"/>
      <c r="P677" s="118"/>
      <c r="Q677" s="118"/>
      <c r="R677" s="118"/>
      <c r="S677" s="118"/>
      <c r="T677" s="118"/>
      <c r="U677" s="118"/>
      <c r="V677" s="118"/>
      <c r="W677" s="118"/>
      <c r="X677" s="118"/>
      <c r="Y677" s="118"/>
      <c r="Z677" s="118"/>
      <c r="AA677" s="118"/>
      <c r="AB677" s="118"/>
      <c r="AC677" s="119"/>
      <c r="AD677" s="119"/>
      <c r="AE677" s="118"/>
      <c r="AF677" s="152"/>
    </row>
    <row r="678" spans="1:32" x14ac:dyDescent="0.2">
      <c r="A678" s="121">
        <v>941</v>
      </c>
      <c r="B678" s="122" t="s">
        <v>1204</v>
      </c>
      <c r="C678" s="123" t="s">
        <v>429</v>
      </c>
      <c r="D678" s="123" t="s">
        <v>132</v>
      </c>
      <c r="E678" s="124" t="s">
        <v>1726</v>
      </c>
      <c r="F678" s="124" t="s">
        <v>1727</v>
      </c>
      <c r="G678" s="124" t="s">
        <v>1842</v>
      </c>
      <c r="H678" s="122" t="s">
        <v>1428</v>
      </c>
      <c r="I678" s="123">
        <v>20.506502999999999</v>
      </c>
      <c r="J678" s="123">
        <v>-100.77705</v>
      </c>
      <c r="K678" s="122"/>
      <c r="L678" s="125" t="str">
        <f t="shared" si="30"/>
        <v>Ver en Google Maps</v>
      </c>
      <c r="M678" s="122">
        <v>2</v>
      </c>
      <c r="N678" s="130"/>
      <c r="O678" s="109"/>
      <c r="P678" s="109"/>
      <c r="Q678" s="109"/>
      <c r="R678" s="109"/>
      <c r="S678" s="109"/>
      <c r="T678" s="109"/>
      <c r="U678" s="109"/>
      <c r="V678" s="109"/>
      <c r="W678" s="109"/>
      <c r="X678" s="109"/>
      <c r="Y678" s="109"/>
      <c r="Z678" s="109"/>
      <c r="AA678" s="109"/>
      <c r="AB678" s="109"/>
      <c r="AC678" s="110"/>
      <c r="AD678" s="110"/>
      <c r="AE678" s="109"/>
      <c r="AF678" s="151"/>
    </row>
    <row r="679" spans="1:32" x14ac:dyDescent="0.2">
      <c r="A679" s="112">
        <v>942</v>
      </c>
      <c r="B679" s="113" t="s">
        <v>1204</v>
      </c>
      <c r="C679" s="114" t="s">
        <v>429</v>
      </c>
      <c r="D679" s="114" t="s">
        <v>132</v>
      </c>
      <c r="E679" s="115" t="s">
        <v>1728</v>
      </c>
      <c r="F679" s="115" t="s">
        <v>1729</v>
      </c>
      <c r="G679" s="115" t="s">
        <v>1793</v>
      </c>
      <c r="H679" s="113" t="s">
        <v>1428</v>
      </c>
      <c r="I679" s="114">
        <v>20.492418000000001</v>
      </c>
      <c r="J679" s="114">
        <v>-100.827743</v>
      </c>
      <c r="K679" s="113"/>
      <c r="L679" s="116" t="str">
        <f t="shared" si="30"/>
        <v>Ver en Google Maps</v>
      </c>
      <c r="M679" s="113">
        <v>2</v>
      </c>
      <c r="N679" s="129"/>
      <c r="O679" s="118"/>
      <c r="P679" s="118"/>
      <c r="Q679" s="118"/>
      <c r="R679" s="118"/>
      <c r="S679" s="118"/>
      <c r="T679" s="118"/>
      <c r="U679" s="118"/>
      <c r="V679" s="118"/>
      <c r="W679" s="118"/>
      <c r="X679" s="118"/>
      <c r="Y679" s="118"/>
      <c r="Z679" s="118"/>
      <c r="AA679" s="118"/>
      <c r="AB679" s="118"/>
      <c r="AC679" s="119"/>
      <c r="AD679" s="119"/>
      <c r="AE679" s="118"/>
      <c r="AF679" s="152"/>
    </row>
    <row r="680" spans="1:32" x14ac:dyDescent="0.2">
      <c r="A680" s="121">
        <v>943</v>
      </c>
      <c r="B680" s="122" t="s">
        <v>1204</v>
      </c>
      <c r="C680" s="123" t="s">
        <v>429</v>
      </c>
      <c r="D680" s="123" t="s">
        <v>132</v>
      </c>
      <c r="E680" s="124" t="s">
        <v>1730</v>
      </c>
      <c r="F680" s="124" t="s">
        <v>1731</v>
      </c>
      <c r="G680" s="124" t="s">
        <v>1913</v>
      </c>
      <c r="H680" s="122" t="s">
        <v>1428</v>
      </c>
      <c r="I680" s="123">
        <v>20.561419999999998</v>
      </c>
      <c r="J680" s="123">
        <v>-100.85699</v>
      </c>
      <c r="K680" s="122"/>
      <c r="L680" s="125" t="str">
        <f t="shared" si="30"/>
        <v>Ver en Google Maps</v>
      </c>
      <c r="M680" s="122">
        <v>2</v>
      </c>
      <c r="N680" s="130"/>
      <c r="O680" s="109"/>
      <c r="P680" s="109"/>
      <c r="Q680" s="109"/>
      <c r="R680" s="109"/>
      <c r="S680" s="109"/>
      <c r="T680" s="109"/>
      <c r="U680" s="109"/>
      <c r="V680" s="109"/>
      <c r="W680" s="109"/>
      <c r="X680" s="109"/>
      <c r="Y680" s="109"/>
      <c r="Z680" s="109"/>
      <c r="AA680" s="109"/>
      <c r="AB680" s="109"/>
      <c r="AC680" s="110"/>
      <c r="AD680" s="110"/>
      <c r="AE680" s="109"/>
      <c r="AF680" s="151"/>
    </row>
    <row r="681" spans="1:32" x14ac:dyDescent="0.2">
      <c r="A681" s="112">
        <v>950</v>
      </c>
      <c r="B681" s="113" t="s">
        <v>1204</v>
      </c>
      <c r="C681" s="114" t="s">
        <v>429</v>
      </c>
      <c r="D681" s="114" t="s">
        <v>132</v>
      </c>
      <c r="E681" s="115" t="s">
        <v>1732</v>
      </c>
      <c r="F681" s="115" t="s">
        <v>1733</v>
      </c>
      <c r="G681" s="115" t="s">
        <v>1914</v>
      </c>
      <c r="H681" s="113" t="s">
        <v>1428</v>
      </c>
      <c r="I681" s="114">
        <v>20.551753999999999</v>
      </c>
      <c r="J681" s="114">
        <v>-100.819626</v>
      </c>
      <c r="K681" s="113"/>
      <c r="L681" s="116" t="str">
        <f t="shared" si="30"/>
        <v>Ver en Google Maps</v>
      </c>
      <c r="M681" s="113">
        <v>2</v>
      </c>
      <c r="N681" s="129"/>
      <c r="O681" s="118"/>
      <c r="P681" s="118"/>
      <c r="Q681" s="118"/>
      <c r="R681" s="118"/>
      <c r="S681" s="118"/>
      <c r="T681" s="118"/>
      <c r="U681" s="118"/>
      <c r="V681" s="118"/>
      <c r="W681" s="118"/>
      <c r="X681" s="118"/>
      <c r="Y681" s="118"/>
      <c r="Z681" s="118"/>
      <c r="AA681" s="118"/>
      <c r="AB681" s="118"/>
      <c r="AC681" s="119"/>
      <c r="AD681" s="119"/>
      <c r="AE681" s="118"/>
      <c r="AF681" s="152"/>
    </row>
    <row r="682" spans="1:32" x14ac:dyDescent="0.2">
      <c r="A682" s="121">
        <v>958</v>
      </c>
      <c r="B682" s="122" t="s">
        <v>1204</v>
      </c>
      <c r="C682" s="123" t="s">
        <v>87</v>
      </c>
      <c r="D682" s="123" t="s">
        <v>842</v>
      </c>
      <c r="E682" s="124" t="s">
        <v>1734</v>
      </c>
      <c r="F682" s="124" t="s">
        <v>1735</v>
      </c>
      <c r="G682" s="124" t="s">
        <v>1845</v>
      </c>
      <c r="H682" s="122" t="s">
        <v>1428</v>
      </c>
      <c r="I682" s="123">
        <v>20.525535000000001</v>
      </c>
      <c r="J682" s="123">
        <v>-100.846216</v>
      </c>
      <c r="K682" s="122"/>
      <c r="L682" s="125" t="str">
        <f t="shared" si="30"/>
        <v>Ver en Google Maps</v>
      </c>
      <c r="M682" s="122">
        <v>1</v>
      </c>
      <c r="N682" s="130"/>
      <c r="O682" s="109"/>
      <c r="P682" s="109"/>
      <c r="Q682" s="109"/>
      <c r="R682" s="109"/>
      <c r="S682" s="109"/>
      <c r="T682" s="109"/>
      <c r="U682" s="109"/>
      <c r="V682" s="109"/>
      <c r="W682" s="109"/>
      <c r="X682" s="109"/>
      <c r="Y682" s="109"/>
      <c r="Z682" s="109"/>
      <c r="AA682" s="109"/>
      <c r="AB682" s="109"/>
      <c r="AC682" s="110"/>
      <c r="AD682" s="110"/>
      <c r="AE682" s="109"/>
      <c r="AF682" s="151"/>
    </row>
    <row r="683" spans="1:32" x14ac:dyDescent="0.2">
      <c r="A683" s="112">
        <v>959</v>
      </c>
      <c r="B683" s="113" t="s">
        <v>1204</v>
      </c>
      <c r="C683" s="114" t="s">
        <v>87</v>
      </c>
      <c r="D683" s="114" t="s">
        <v>805</v>
      </c>
      <c r="E683" s="115" t="s">
        <v>1736</v>
      </c>
      <c r="F683" s="115" t="s">
        <v>1737</v>
      </c>
      <c r="G683" s="115" t="s">
        <v>979</v>
      </c>
      <c r="H683" s="113" t="s">
        <v>1428</v>
      </c>
      <c r="I683" s="114">
        <v>20.529299999999999</v>
      </c>
      <c r="J683" s="114">
        <v>-100.825485</v>
      </c>
      <c r="K683" s="113"/>
      <c r="L683" s="116" t="str">
        <f t="shared" si="30"/>
        <v>Ver en Google Maps</v>
      </c>
      <c r="M683" s="113">
        <v>2</v>
      </c>
      <c r="N683" s="129"/>
      <c r="O683" s="118"/>
      <c r="P683" s="118"/>
      <c r="Q683" s="118"/>
      <c r="R683" s="118"/>
      <c r="S683" s="118"/>
      <c r="T683" s="118"/>
      <c r="U683" s="118"/>
      <c r="V683" s="118"/>
      <c r="W683" s="118"/>
      <c r="X683" s="118"/>
      <c r="Y683" s="118"/>
      <c r="Z683" s="118"/>
      <c r="AA683" s="118"/>
      <c r="AB683" s="118"/>
      <c r="AC683" s="119"/>
      <c r="AD683" s="119"/>
      <c r="AE683" s="118"/>
      <c r="AF683" s="152"/>
    </row>
    <row r="684" spans="1:32" x14ac:dyDescent="0.2">
      <c r="A684" s="121">
        <v>1005</v>
      </c>
      <c r="B684" s="122" t="s">
        <v>1204</v>
      </c>
      <c r="C684" s="123" t="s">
        <v>87</v>
      </c>
      <c r="D684" s="123" t="s">
        <v>563</v>
      </c>
      <c r="E684" s="124" t="s">
        <v>1738</v>
      </c>
      <c r="F684" s="124" t="s">
        <v>1739</v>
      </c>
      <c r="G684" s="124" t="s">
        <v>1860</v>
      </c>
      <c r="H684" s="122" t="s">
        <v>1428</v>
      </c>
      <c r="I684" s="123">
        <v>20.54673</v>
      </c>
      <c r="J684" s="123">
        <v>-100.806952</v>
      </c>
      <c r="K684" s="122"/>
      <c r="L684" s="125" t="str">
        <f t="shared" si="30"/>
        <v>Ver en Google Maps</v>
      </c>
      <c r="M684" s="122">
        <v>2</v>
      </c>
      <c r="N684" s="130"/>
      <c r="O684" s="109"/>
      <c r="P684" s="109"/>
      <c r="Q684" s="109"/>
      <c r="R684" s="109"/>
      <c r="S684" s="109"/>
      <c r="T684" s="109"/>
      <c r="U684" s="109"/>
      <c r="V684" s="109"/>
      <c r="W684" s="109"/>
      <c r="X684" s="109"/>
      <c r="Y684" s="109"/>
      <c r="Z684" s="109"/>
      <c r="AA684" s="109"/>
      <c r="AB684" s="109"/>
      <c r="AC684" s="110"/>
      <c r="AD684" s="110"/>
      <c r="AE684" s="109"/>
      <c r="AF684" s="151"/>
    </row>
    <row r="685" spans="1:32" x14ac:dyDescent="0.2">
      <c r="A685" s="112">
        <v>1006</v>
      </c>
      <c r="B685" s="113" t="s">
        <v>1204</v>
      </c>
      <c r="C685" s="114" t="s">
        <v>87</v>
      </c>
      <c r="D685" s="114" t="s">
        <v>563</v>
      </c>
      <c r="E685" s="115" t="s">
        <v>1740</v>
      </c>
      <c r="F685" s="115" t="s">
        <v>1741</v>
      </c>
      <c r="G685" s="115" t="s">
        <v>1882</v>
      </c>
      <c r="H685" s="113" t="s">
        <v>1428</v>
      </c>
      <c r="I685" s="114">
        <v>20.510221000000001</v>
      </c>
      <c r="J685" s="114">
        <v>-100.835823</v>
      </c>
      <c r="K685" s="113"/>
      <c r="L685" s="116" t="str">
        <f t="shared" si="30"/>
        <v>Ver en Google Maps</v>
      </c>
      <c r="M685" s="113">
        <v>2</v>
      </c>
      <c r="N685" s="129"/>
      <c r="O685" s="118"/>
      <c r="P685" s="118"/>
      <c r="Q685" s="118"/>
      <c r="R685" s="118"/>
      <c r="S685" s="118"/>
      <c r="T685" s="118"/>
      <c r="U685" s="118"/>
      <c r="V685" s="118"/>
      <c r="W685" s="118"/>
      <c r="X685" s="118"/>
      <c r="Y685" s="118"/>
      <c r="Z685" s="118"/>
      <c r="AA685" s="118"/>
      <c r="AB685" s="118"/>
      <c r="AC685" s="119"/>
      <c r="AD685" s="119"/>
      <c r="AE685" s="118"/>
      <c r="AF685" s="152"/>
    </row>
    <row r="686" spans="1:32" x14ac:dyDescent="0.2">
      <c r="A686" s="121">
        <v>1011</v>
      </c>
      <c r="B686" s="122" t="s">
        <v>1204</v>
      </c>
      <c r="C686" s="123" t="s">
        <v>87</v>
      </c>
      <c r="D686" s="123" t="s">
        <v>842</v>
      </c>
      <c r="E686" s="124" t="s">
        <v>1742</v>
      </c>
      <c r="F686" s="124" t="s">
        <v>1743</v>
      </c>
      <c r="G686" s="124" t="s">
        <v>1845</v>
      </c>
      <c r="H686" s="122" t="s">
        <v>1428</v>
      </c>
      <c r="I686" s="123">
        <v>20.5261</v>
      </c>
      <c r="J686" s="123">
        <v>-100.846</v>
      </c>
      <c r="K686" s="122"/>
      <c r="L686" s="125" t="str">
        <f t="shared" si="30"/>
        <v>Ver en Google Maps</v>
      </c>
      <c r="M686" s="122">
        <v>1</v>
      </c>
      <c r="N686" s="130"/>
      <c r="O686" s="109"/>
      <c r="P686" s="109"/>
      <c r="Q686" s="109"/>
      <c r="R686" s="109"/>
      <c r="S686" s="109"/>
      <c r="T686" s="109"/>
      <c r="U686" s="109"/>
      <c r="V686" s="109"/>
      <c r="W686" s="109"/>
      <c r="X686" s="109"/>
      <c r="Y686" s="109"/>
      <c r="Z686" s="109"/>
      <c r="AA686" s="109"/>
      <c r="AB686" s="109"/>
      <c r="AC686" s="110"/>
      <c r="AD686" s="110"/>
      <c r="AE686" s="109"/>
      <c r="AF686" s="151"/>
    </row>
    <row r="687" spans="1:32" x14ac:dyDescent="0.2">
      <c r="A687" s="112">
        <v>1012</v>
      </c>
      <c r="B687" s="113" t="s">
        <v>1204</v>
      </c>
      <c r="C687" s="114" t="s">
        <v>87</v>
      </c>
      <c r="D687" s="114" t="s">
        <v>782</v>
      </c>
      <c r="E687" s="115" t="s">
        <v>1744</v>
      </c>
      <c r="F687" s="115" t="s">
        <v>1745</v>
      </c>
      <c r="G687" s="115" t="s">
        <v>1845</v>
      </c>
      <c r="H687" s="113" t="s">
        <v>1428</v>
      </c>
      <c r="I687" s="114">
        <v>20.526199999999999</v>
      </c>
      <c r="J687" s="114">
        <v>-100.846</v>
      </c>
      <c r="K687" s="113"/>
      <c r="L687" s="116" t="str">
        <f t="shared" si="30"/>
        <v>Ver en Google Maps</v>
      </c>
      <c r="M687" s="113">
        <v>4</v>
      </c>
      <c r="N687" s="129"/>
      <c r="O687" s="118"/>
      <c r="P687" s="118"/>
      <c r="Q687" s="118"/>
      <c r="R687" s="118"/>
      <c r="S687" s="118"/>
      <c r="T687" s="118"/>
      <c r="U687" s="118"/>
      <c r="V687" s="118"/>
      <c r="W687" s="118"/>
      <c r="X687" s="118"/>
      <c r="Y687" s="118"/>
      <c r="Z687" s="118"/>
      <c r="AA687" s="118"/>
      <c r="AB687" s="118"/>
      <c r="AC687" s="119"/>
      <c r="AD687" s="119"/>
      <c r="AE687" s="118"/>
      <c r="AF687" s="152"/>
    </row>
    <row r="688" spans="1:32" x14ac:dyDescent="0.2">
      <c r="A688" s="121">
        <v>1013</v>
      </c>
      <c r="B688" s="122" t="s">
        <v>1204</v>
      </c>
      <c r="C688" s="123" t="s">
        <v>87</v>
      </c>
      <c r="D688" s="123" t="s">
        <v>1746</v>
      </c>
      <c r="E688" s="124" t="s">
        <v>1747</v>
      </c>
      <c r="F688" s="124" t="s">
        <v>1745</v>
      </c>
      <c r="G688" s="124" t="s">
        <v>1845</v>
      </c>
      <c r="H688" s="122" t="s">
        <v>1428</v>
      </c>
      <c r="I688" s="123">
        <v>20.526199999999999</v>
      </c>
      <c r="J688" s="123">
        <v>-100.846</v>
      </c>
      <c r="K688" s="122"/>
      <c r="L688" s="125" t="str">
        <f t="shared" si="30"/>
        <v>Ver en Google Maps</v>
      </c>
      <c r="M688" s="122">
        <v>1</v>
      </c>
      <c r="N688" s="130"/>
      <c r="O688" s="109"/>
      <c r="P688" s="109"/>
      <c r="Q688" s="109"/>
      <c r="R688" s="109"/>
      <c r="S688" s="109"/>
      <c r="T688" s="109"/>
      <c r="U688" s="109"/>
      <c r="V688" s="109"/>
      <c r="W688" s="109"/>
      <c r="X688" s="109"/>
      <c r="Y688" s="109"/>
      <c r="Z688" s="109"/>
      <c r="AA688" s="109"/>
      <c r="AB688" s="109"/>
      <c r="AC688" s="110"/>
      <c r="AD688" s="110"/>
      <c r="AE688" s="109"/>
      <c r="AF688" s="151"/>
    </row>
    <row r="689" spans="1:32" x14ac:dyDescent="0.2">
      <c r="A689" s="112">
        <v>1021</v>
      </c>
      <c r="B689" s="113" t="s">
        <v>1204</v>
      </c>
      <c r="C689" s="114" t="s">
        <v>87</v>
      </c>
      <c r="D689" s="114" t="s">
        <v>563</v>
      </c>
      <c r="E689" s="115" t="s">
        <v>1748</v>
      </c>
      <c r="F689" s="115" t="s">
        <v>1749</v>
      </c>
      <c r="G689" s="115" t="s">
        <v>1886</v>
      </c>
      <c r="H689" s="113" t="s">
        <v>1428</v>
      </c>
      <c r="I689" s="114">
        <v>20.505694999999999</v>
      </c>
      <c r="J689" s="114">
        <v>-100.79061400000001</v>
      </c>
      <c r="K689" s="113"/>
      <c r="L689" s="116" t="str">
        <f t="shared" si="30"/>
        <v>Ver en Google Maps</v>
      </c>
      <c r="M689" s="113">
        <v>2</v>
      </c>
      <c r="N689" s="129"/>
      <c r="O689" s="118"/>
      <c r="P689" s="118"/>
      <c r="Q689" s="118"/>
      <c r="R689" s="118"/>
      <c r="S689" s="118"/>
      <c r="T689" s="118"/>
      <c r="U689" s="118"/>
      <c r="V689" s="118"/>
      <c r="W689" s="118"/>
      <c r="X689" s="118"/>
      <c r="Y689" s="118"/>
      <c r="Z689" s="118"/>
      <c r="AA689" s="118"/>
      <c r="AB689" s="118"/>
      <c r="AC689" s="119"/>
      <c r="AD689" s="119"/>
      <c r="AE689" s="118"/>
      <c r="AF689" s="152"/>
    </row>
    <row r="690" spans="1:32" x14ac:dyDescent="0.2">
      <c r="A690" s="121">
        <v>1023</v>
      </c>
      <c r="B690" s="122" t="s">
        <v>1204</v>
      </c>
      <c r="C690" s="123" t="s">
        <v>87</v>
      </c>
      <c r="D690" s="123" t="s">
        <v>782</v>
      </c>
      <c r="E690" s="124" t="s">
        <v>1750</v>
      </c>
      <c r="F690" s="124" t="s">
        <v>1751</v>
      </c>
      <c r="G690" s="124" t="s">
        <v>1794</v>
      </c>
      <c r="H690" s="122" t="s">
        <v>1428</v>
      </c>
      <c r="I690" s="123">
        <v>20.491707000000002</v>
      </c>
      <c r="J690" s="123">
        <v>-100.83602</v>
      </c>
      <c r="K690" s="122"/>
      <c r="L690" s="125" t="str">
        <f t="shared" si="30"/>
        <v>Ver en Google Maps</v>
      </c>
      <c r="M690" s="122">
        <v>3</v>
      </c>
      <c r="N690" s="130"/>
      <c r="O690" s="109"/>
      <c r="P690" s="109"/>
      <c r="Q690" s="109"/>
      <c r="R690" s="109"/>
      <c r="S690" s="109"/>
      <c r="T690" s="109"/>
      <c r="U690" s="109"/>
      <c r="V690" s="109"/>
      <c r="W690" s="109"/>
      <c r="X690" s="109"/>
      <c r="Y690" s="109"/>
      <c r="Z690" s="109"/>
      <c r="AA690" s="109"/>
      <c r="AB690" s="109"/>
      <c r="AC690" s="110"/>
      <c r="AD690" s="110"/>
      <c r="AE690" s="109"/>
      <c r="AF690" s="151"/>
    </row>
    <row r="691" spans="1:32" x14ac:dyDescent="0.2">
      <c r="A691" s="112">
        <v>1029</v>
      </c>
      <c r="B691" s="113" t="s">
        <v>1204</v>
      </c>
      <c r="C691" s="114" t="s">
        <v>87</v>
      </c>
      <c r="D691" s="114" t="s">
        <v>805</v>
      </c>
      <c r="E691" s="115" t="s">
        <v>1752</v>
      </c>
      <c r="F691" s="115" t="s">
        <v>1753</v>
      </c>
      <c r="G691" s="115" t="s">
        <v>1915</v>
      </c>
      <c r="H691" s="113" t="s">
        <v>1428</v>
      </c>
      <c r="I691" s="114">
        <v>20.545776</v>
      </c>
      <c r="J691" s="114">
        <v>-100.85337699999999</v>
      </c>
      <c r="K691" s="113"/>
      <c r="L691" s="116" t="str">
        <f t="shared" si="30"/>
        <v>Ver en Google Maps</v>
      </c>
      <c r="M691" s="113">
        <v>2</v>
      </c>
      <c r="N691" s="129"/>
      <c r="O691" s="118"/>
      <c r="P691" s="118"/>
      <c r="Q691" s="118"/>
      <c r="R691" s="118"/>
      <c r="S691" s="118"/>
      <c r="T691" s="118"/>
      <c r="U691" s="118"/>
      <c r="V691" s="118"/>
      <c r="W691" s="118"/>
      <c r="X691" s="118"/>
      <c r="Y691" s="118"/>
      <c r="Z691" s="118"/>
      <c r="AA691" s="118"/>
      <c r="AB691" s="118"/>
      <c r="AC691" s="119"/>
      <c r="AD691" s="119"/>
      <c r="AE691" s="118"/>
      <c r="AF691" s="152"/>
    </row>
    <row r="692" spans="1:32" x14ac:dyDescent="0.2">
      <c r="A692" s="121">
        <v>1045</v>
      </c>
      <c r="B692" s="122" t="s">
        <v>1204</v>
      </c>
      <c r="C692" s="123" t="s">
        <v>87</v>
      </c>
      <c r="D692" s="123" t="s">
        <v>805</v>
      </c>
      <c r="E692" s="124" t="s">
        <v>1754</v>
      </c>
      <c r="F692" s="124" t="s">
        <v>1755</v>
      </c>
      <c r="G692" s="124" t="s">
        <v>1916</v>
      </c>
      <c r="H692" s="122" t="s">
        <v>1428</v>
      </c>
      <c r="I692" s="123">
        <v>20.551490000000001</v>
      </c>
      <c r="J692" s="123">
        <v>-100.782714</v>
      </c>
      <c r="K692" s="122"/>
      <c r="L692" s="125" t="str">
        <f t="shared" si="30"/>
        <v>Ver en Google Maps</v>
      </c>
      <c r="M692" s="122">
        <v>2</v>
      </c>
      <c r="N692" s="130"/>
      <c r="O692" s="109"/>
      <c r="P692" s="109"/>
      <c r="Q692" s="109"/>
      <c r="R692" s="109"/>
      <c r="S692" s="109"/>
      <c r="T692" s="109"/>
      <c r="U692" s="109"/>
      <c r="V692" s="109"/>
      <c r="W692" s="109"/>
      <c r="X692" s="109"/>
      <c r="Y692" s="109"/>
      <c r="Z692" s="109"/>
      <c r="AA692" s="109"/>
      <c r="AB692" s="109"/>
      <c r="AC692" s="110"/>
      <c r="AD692" s="110"/>
      <c r="AE692" s="109"/>
      <c r="AF692" s="151"/>
    </row>
    <row r="693" spans="1:32" x14ac:dyDescent="0.2">
      <c r="A693" s="112">
        <v>1058</v>
      </c>
      <c r="B693" s="113" t="s">
        <v>1204</v>
      </c>
      <c r="C693" s="114" t="s">
        <v>14</v>
      </c>
      <c r="D693" s="114" t="s">
        <v>735</v>
      </c>
      <c r="E693" s="115" t="s">
        <v>1756</v>
      </c>
      <c r="F693" s="115" t="s">
        <v>1757</v>
      </c>
      <c r="G693" s="115" t="s">
        <v>1917</v>
      </c>
      <c r="H693" s="113" t="s">
        <v>1428</v>
      </c>
      <c r="I693" s="114">
        <v>20.560148000000002</v>
      </c>
      <c r="J693" s="114">
        <v>-100.864902</v>
      </c>
      <c r="K693" s="113"/>
      <c r="L693" s="116" t="str">
        <f t="shared" si="30"/>
        <v>Ver en Google Maps</v>
      </c>
      <c r="M693" s="113">
        <v>2</v>
      </c>
      <c r="N693" s="129"/>
      <c r="O693" s="118"/>
      <c r="P693" s="118"/>
      <c r="Q693" s="118"/>
      <c r="R693" s="118"/>
      <c r="S693" s="118"/>
      <c r="T693" s="118"/>
      <c r="U693" s="118"/>
      <c r="V693" s="118"/>
      <c r="W693" s="118"/>
      <c r="X693" s="118"/>
      <c r="Y693" s="118"/>
      <c r="Z693" s="118"/>
      <c r="AA693" s="118"/>
      <c r="AB693" s="118"/>
      <c r="AC693" s="119"/>
      <c r="AD693" s="119"/>
      <c r="AE693" s="118"/>
      <c r="AF693" s="152"/>
    </row>
    <row r="694" spans="1:32" x14ac:dyDescent="0.2">
      <c r="A694" s="121">
        <v>1063</v>
      </c>
      <c r="B694" s="122" t="s">
        <v>1204</v>
      </c>
      <c r="C694" s="123" t="s">
        <v>14</v>
      </c>
      <c r="D694" s="123" t="s">
        <v>735</v>
      </c>
      <c r="E694" s="124" t="s">
        <v>1758</v>
      </c>
      <c r="F694" s="124" t="s">
        <v>1759</v>
      </c>
      <c r="G694" s="124" t="s">
        <v>1780</v>
      </c>
      <c r="H694" s="122" t="s">
        <v>1428</v>
      </c>
      <c r="I694" s="123">
        <v>20.534421999999999</v>
      </c>
      <c r="J694" s="123">
        <v>-100.82099700000001</v>
      </c>
      <c r="K694" s="122"/>
      <c r="L694" s="125" t="str">
        <f t="shared" si="30"/>
        <v>Ver en Google Maps</v>
      </c>
      <c r="M694" s="122">
        <v>2</v>
      </c>
      <c r="N694" s="130"/>
      <c r="O694" s="109"/>
      <c r="P694" s="109"/>
      <c r="Q694" s="109"/>
      <c r="R694" s="109"/>
      <c r="S694" s="109"/>
      <c r="T694" s="109"/>
      <c r="U694" s="109"/>
      <c r="V694" s="109"/>
      <c r="W694" s="109"/>
      <c r="X694" s="109"/>
      <c r="Y694" s="109"/>
      <c r="Z694" s="109"/>
      <c r="AA694" s="109"/>
      <c r="AB694" s="109"/>
      <c r="AC694" s="110"/>
      <c r="AD694" s="110"/>
      <c r="AE694" s="109"/>
      <c r="AF694" s="151"/>
    </row>
    <row r="695" spans="1:32" x14ac:dyDescent="0.2">
      <c r="A695" s="112">
        <v>1069</v>
      </c>
      <c r="B695" s="113" t="s">
        <v>1204</v>
      </c>
      <c r="C695" s="114" t="s">
        <v>429</v>
      </c>
      <c r="D695" s="114" t="s">
        <v>132</v>
      </c>
      <c r="E695" s="115" t="s">
        <v>1760</v>
      </c>
      <c r="F695" s="115" t="s">
        <v>1761</v>
      </c>
      <c r="G695" s="115" t="s">
        <v>1852</v>
      </c>
      <c r="H695" s="113" t="s">
        <v>1428</v>
      </c>
      <c r="I695" s="114">
        <v>20.539380000000001</v>
      </c>
      <c r="J695" s="114">
        <v>-100.84034</v>
      </c>
      <c r="K695" s="113"/>
      <c r="L695" s="116" t="str">
        <f t="shared" si="30"/>
        <v>Ver en Google Maps</v>
      </c>
      <c r="M695" s="113">
        <v>2</v>
      </c>
      <c r="N695" s="129"/>
      <c r="O695" s="118"/>
      <c r="P695" s="118"/>
      <c r="Q695" s="118"/>
      <c r="R695" s="118"/>
      <c r="S695" s="118"/>
      <c r="T695" s="118"/>
      <c r="U695" s="118"/>
      <c r="V695" s="118"/>
      <c r="W695" s="118"/>
      <c r="X695" s="118"/>
      <c r="Y695" s="118"/>
      <c r="Z695" s="118"/>
      <c r="AA695" s="118"/>
      <c r="AB695" s="118"/>
      <c r="AC695" s="119"/>
      <c r="AD695" s="119"/>
      <c r="AE695" s="118"/>
      <c r="AF695" s="152"/>
    </row>
    <row r="696" spans="1:32" x14ac:dyDescent="0.2">
      <c r="A696" s="121">
        <v>1070</v>
      </c>
      <c r="B696" s="122" t="s">
        <v>1204</v>
      </c>
      <c r="C696" s="123" t="s">
        <v>429</v>
      </c>
      <c r="D696" s="123" t="s">
        <v>336</v>
      </c>
      <c r="E696" s="124" t="s">
        <v>1762</v>
      </c>
      <c r="F696" s="124" t="s">
        <v>1763</v>
      </c>
      <c r="G696" s="124" t="s">
        <v>1795</v>
      </c>
      <c r="H696" s="122" t="s">
        <v>1428</v>
      </c>
      <c r="I696" s="123">
        <v>20.54486</v>
      </c>
      <c r="J696" s="123">
        <v>-100.81638</v>
      </c>
      <c r="K696" s="122"/>
      <c r="L696" s="125" t="str">
        <f t="shared" si="30"/>
        <v>Ver en Google Maps</v>
      </c>
      <c r="M696" s="122">
        <v>2</v>
      </c>
      <c r="N696" s="130"/>
      <c r="O696" s="109"/>
      <c r="P696" s="109"/>
      <c r="Q696" s="109"/>
      <c r="R696" s="109"/>
      <c r="S696" s="109"/>
      <c r="T696" s="109"/>
      <c r="U696" s="109"/>
      <c r="V696" s="109"/>
      <c r="W696" s="109"/>
      <c r="X696" s="109"/>
      <c r="Y696" s="109"/>
      <c r="Z696" s="109"/>
      <c r="AA696" s="109"/>
      <c r="AB696" s="109"/>
      <c r="AC696" s="110"/>
      <c r="AD696" s="110"/>
      <c r="AE696" s="109"/>
      <c r="AF696" s="151"/>
    </row>
    <row r="697" spans="1:32" x14ac:dyDescent="0.2">
      <c r="A697" s="112">
        <v>1074</v>
      </c>
      <c r="B697" s="113" t="s">
        <v>1204</v>
      </c>
      <c r="C697" s="114" t="s">
        <v>429</v>
      </c>
      <c r="D697" s="114" t="s">
        <v>132</v>
      </c>
      <c r="E697" s="115" t="s">
        <v>1764</v>
      </c>
      <c r="F697" s="115" t="s">
        <v>1765</v>
      </c>
      <c r="G697" s="115" t="s">
        <v>1796</v>
      </c>
      <c r="H697" s="113" t="s">
        <v>1428</v>
      </c>
      <c r="I697" s="114">
        <v>20.530991</v>
      </c>
      <c r="J697" s="114">
        <v>-100.791319</v>
      </c>
      <c r="K697" s="113"/>
      <c r="L697" s="116" t="str">
        <f t="shared" si="30"/>
        <v>Ver en Google Maps</v>
      </c>
      <c r="M697" s="113">
        <v>2</v>
      </c>
      <c r="N697" s="129"/>
      <c r="O697" s="118"/>
      <c r="P697" s="118"/>
      <c r="Q697" s="118"/>
      <c r="R697" s="118"/>
      <c r="S697" s="118"/>
      <c r="T697" s="118"/>
      <c r="U697" s="118"/>
      <c r="V697" s="118"/>
      <c r="W697" s="118"/>
      <c r="X697" s="118"/>
      <c r="Y697" s="118"/>
      <c r="Z697" s="118"/>
      <c r="AA697" s="118"/>
      <c r="AB697" s="118"/>
      <c r="AC697" s="119"/>
      <c r="AD697" s="119"/>
      <c r="AE697" s="118"/>
      <c r="AF697" s="152"/>
    </row>
    <row r="698" spans="1:32" x14ac:dyDescent="0.2">
      <c r="A698" s="121">
        <v>1081</v>
      </c>
      <c r="B698" s="122" t="s">
        <v>1204</v>
      </c>
      <c r="C698" s="123" t="s">
        <v>14</v>
      </c>
      <c r="D698" s="123" t="s">
        <v>404</v>
      </c>
      <c r="E698" s="124" t="s">
        <v>1766</v>
      </c>
      <c r="F698" s="124" t="s">
        <v>1767</v>
      </c>
      <c r="G698" s="124" t="s">
        <v>1918</v>
      </c>
      <c r="H698" s="122" t="s">
        <v>1428</v>
      </c>
      <c r="I698" s="123">
        <v>20.536840000000002</v>
      </c>
      <c r="J698" s="123">
        <v>-100.81469</v>
      </c>
      <c r="K698" s="122"/>
      <c r="L698" s="125" t="str">
        <f t="shared" si="30"/>
        <v>Ver en Google Maps</v>
      </c>
      <c r="M698" s="122">
        <v>2</v>
      </c>
      <c r="N698" s="130"/>
      <c r="O698" s="109"/>
      <c r="P698" s="109"/>
      <c r="Q698" s="109"/>
      <c r="R698" s="109"/>
      <c r="S698" s="109"/>
      <c r="T698" s="109"/>
      <c r="U698" s="109"/>
      <c r="V698" s="109"/>
      <c r="W698" s="109"/>
      <c r="X698" s="109"/>
      <c r="Y698" s="109"/>
      <c r="Z698" s="109"/>
      <c r="AA698" s="109"/>
      <c r="AB698" s="109"/>
      <c r="AC698" s="110"/>
      <c r="AD698" s="110"/>
      <c r="AE698" s="109"/>
      <c r="AF698" s="151"/>
    </row>
    <row r="699" spans="1:32" x14ac:dyDescent="0.2">
      <c r="A699" s="112">
        <v>1089</v>
      </c>
      <c r="B699" s="113" t="s">
        <v>1204</v>
      </c>
      <c r="C699" s="114" t="s">
        <v>426</v>
      </c>
      <c r="D699" s="114" t="s">
        <v>404</v>
      </c>
      <c r="E699" s="115" t="s">
        <v>1768</v>
      </c>
      <c r="F699" s="115" t="s">
        <v>1769</v>
      </c>
      <c r="G699" s="115" t="s">
        <v>360</v>
      </c>
      <c r="H699" s="113" t="s">
        <v>1428</v>
      </c>
      <c r="I699" s="114">
        <v>20.521619999999999</v>
      </c>
      <c r="J699" s="114">
        <v>-100.81350500000001</v>
      </c>
      <c r="K699" s="113" t="s">
        <v>139</v>
      </c>
      <c r="L699" s="116" t="str">
        <f t="shared" si="30"/>
        <v>Ver en Google Maps</v>
      </c>
      <c r="M699" s="113">
        <v>2</v>
      </c>
      <c r="N699" s="117">
        <v>45941</v>
      </c>
      <c r="O699" s="118">
        <f>DAY('BD1'!$N699)</f>
        <v>11</v>
      </c>
      <c r="P699" s="118">
        <f>MONTH('BD1'!$N699)</f>
        <v>10</v>
      </c>
      <c r="Q699" s="118">
        <f>YEAR('BD1'!$N699)</f>
        <v>2025</v>
      </c>
      <c r="R699" s="118">
        <v>1</v>
      </c>
      <c r="S699" s="118" t="s">
        <v>138</v>
      </c>
      <c r="T699" s="118" t="s">
        <v>138</v>
      </c>
      <c r="U699" s="118" t="s">
        <v>138</v>
      </c>
      <c r="V699" s="118" t="s">
        <v>138</v>
      </c>
      <c r="W699" s="118" t="s">
        <v>138</v>
      </c>
      <c r="X699" s="118" t="s">
        <v>138</v>
      </c>
      <c r="Y699" s="118" t="s">
        <v>138</v>
      </c>
      <c r="Z699" s="118" t="s">
        <v>138</v>
      </c>
      <c r="AA699" s="118">
        <v>86.9</v>
      </c>
      <c r="AB699" s="118">
        <v>65.099999999999994</v>
      </c>
      <c r="AC699" s="119" t="s">
        <v>967</v>
      </c>
      <c r="AD699" s="119" t="s">
        <v>1403</v>
      </c>
      <c r="AE699" s="118">
        <f t="shared" si="31"/>
        <v>8</v>
      </c>
      <c r="AF699" s="152" t="str">
        <f t="shared" si="32"/>
        <v>Estable</v>
      </c>
    </row>
    <row r="700" spans="1:32" x14ac:dyDescent="0.2">
      <c r="A700" s="121">
        <v>1092</v>
      </c>
      <c r="B700" s="122" t="s">
        <v>1204</v>
      </c>
      <c r="C700" s="123" t="s">
        <v>14</v>
      </c>
      <c r="D700" s="123" t="s">
        <v>404</v>
      </c>
      <c r="E700" s="124" t="s">
        <v>1770</v>
      </c>
      <c r="F700" s="124" t="s">
        <v>1771</v>
      </c>
      <c r="G700" s="124" t="s">
        <v>360</v>
      </c>
      <c r="H700" s="122" t="s">
        <v>1428</v>
      </c>
      <c r="I700" s="123">
        <v>20.523202999999999</v>
      </c>
      <c r="J700" s="123">
        <v>-100.815538</v>
      </c>
      <c r="K700" s="122"/>
      <c r="L700" s="125" t="str">
        <f t="shared" si="30"/>
        <v>Ver en Google Maps</v>
      </c>
      <c r="M700" s="122">
        <v>1</v>
      </c>
      <c r="N700" s="130"/>
      <c r="O700" s="109"/>
      <c r="P700" s="109"/>
      <c r="Q700" s="109"/>
      <c r="R700" s="109"/>
      <c r="S700" s="109"/>
      <c r="T700" s="109"/>
      <c r="U700" s="109"/>
      <c r="V700" s="109"/>
      <c r="W700" s="109"/>
      <c r="X700" s="109"/>
      <c r="Y700" s="109"/>
      <c r="Z700" s="109"/>
      <c r="AA700" s="109"/>
      <c r="AB700" s="109"/>
      <c r="AC700" s="110"/>
      <c r="AD700" s="110"/>
      <c r="AE700" s="109"/>
      <c r="AF700" s="151"/>
    </row>
    <row r="701" spans="1:32" x14ac:dyDescent="0.2">
      <c r="A701" s="112">
        <v>1099</v>
      </c>
      <c r="B701" s="113" t="s">
        <v>1204</v>
      </c>
      <c r="C701" s="114" t="s">
        <v>87</v>
      </c>
      <c r="D701" s="114" t="s">
        <v>1772</v>
      </c>
      <c r="E701" s="115" t="s">
        <v>1773</v>
      </c>
      <c r="F701" s="115" t="s">
        <v>1745</v>
      </c>
      <c r="G701" s="115" t="s">
        <v>1845</v>
      </c>
      <c r="H701" s="113" t="s">
        <v>1428</v>
      </c>
      <c r="I701" s="114">
        <v>20.52486</v>
      </c>
      <c r="J701" s="114">
        <v>-100.84587999999999</v>
      </c>
      <c r="K701" s="113"/>
      <c r="L701" s="116" t="str">
        <f t="shared" si="30"/>
        <v>Ver en Google Maps</v>
      </c>
      <c r="M701" s="113">
        <v>1</v>
      </c>
      <c r="N701" s="129"/>
      <c r="O701" s="118"/>
      <c r="P701" s="118"/>
      <c r="Q701" s="118"/>
      <c r="R701" s="118"/>
      <c r="S701" s="118"/>
      <c r="T701" s="118"/>
      <c r="U701" s="118"/>
      <c r="V701" s="118"/>
      <c r="W701" s="118"/>
      <c r="X701" s="118"/>
      <c r="Y701" s="118"/>
      <c r="Z701" s="118"/>
      <c r="AA701" s="118"/>
      <c r="AB701" s="118"/>
      <c r="AC701" s="119"/>
      <c r="AD701" s="119"/>
      <c r="AE701" s="118"/>
      <c r="AF701" s="152"/>
    </row>
    <row r="702" spans="1:32" x14ac:dyDescent="0.2">
      <c r="A702" s="121">
        <v>1100</v>
      </c>
      <c r="B702" s="122" t="s">
        <v>1204</v>
      </c>
      <c r="C702" s="123" t="s">
        <v>14</v>
      </c>
      <c r="D702" s="123" t="s">
        <v>404</v>
      </c>
      <c r="E702" s="124" t="s">
        <v>1774</v>
      </c>
      <c r="F702" s="124" t="s">
        <v>1775</v>
      </c>
      <c r="G702" s="124" t="s">
        <v>1105</v>
      </c>
      <c r="H702" s="122" t="s">
        <v>1428</v>
      </c>
      <c r="I702" s="123">
        <v>20.51801</v>
      </c>
      <c r="J702" s="123">
        <v>-100.81641999999999</v>
      </c>
      <c r="K702" s="122" t="s">
        <v>139</v>
      </c>
      <c r="L702" s="125" t="str">
        <f t="shared" si="30"/>
        <v>Ver en Google Maps</v>
      </c>
      <c r="M702" s="122">
        <v>1</v>
      </c>
      <c r="N702" s="108">
        <v>45941</v>
      </c>
      <c r="O702" s="109">
        <f>DAY('BD1'!$N702)</f>
        <v>11</v>
      </c>
      <c r="P702" s="109">
        <f>MONTH('BD1'!$N702)</f>
        <v>10</v>
      </c>
      <c r="Q702" s="109">
        <f>YEAR('BD1'!$N702)</f>
        <v>2025</v>
      </c>
      <c r="R702" s="109">
        <v>1</v>
      </c>
      <c r="S702" s="109" t="s">
        <v>138</v>
      </c>
      <c r="T702" s="109" t="s">
        <v>138</v>
      </c>
      <c r="U702" s="109" t="s">
        <v>138</v>
      </c>
      <c r="V702" s="109" t="s">
        <v>138</v>
      </c>
      <c r="W702" s="109" t="s">
        <v>138</v>
      </c>
      <c r="X702" s="109" t="s">
        <v>138</v>
      </c>
      <c r="Y702" s="109" t="s">
        <v>138</v>
      </c>
      <c r="Z702" s="109" t="s">
        <v>138</v>
      </c>
      <c r="AA702" s="109">
        <v>92.6</v>
      </c>
      <c r="AB702" s="109">
        <v>93.7</v>
      </c>
      <c r="AC702" s="110" t="s">
        <v>967</v>
      </c>
      <c r="AD702" s="110" t="s">
        <v>1403</v>
      </c>
      <c r="AE702" s="109">
        <f t="shared" si="31"/>
        <v>8</v>
      </c>
      <c r="AF702" s="151" t="str">
        <f t="shared" si="32"/>
        <v>Estable</v>
      </c>
    </row>
    <row r="703" spans="1:32" x14ac:dyDescent="0.2">
      <c r="A703" s="112">
        <v>1101</v>
      </c>
      <c r="B703" s="113" t="s">
        <v>1204</v>
      </c>
      <c r="C703" s="114" t="s">
        <v>429</v>
      </c>
      <c r="D703" s="114" t="s">
        <v>132</v>
      </c>
      <c r="E703" s="115" t="s">
        <v>1776</v>
      </c>
      <c r="F703" s="115" t="s">
        <v>1777</v>
      </c>
      <c r="G703" s="115" t="s">
        <v>1919</v>
      </c>
      <c r="H703" s="113" t="s">
        <v>1428</v>
      </c>
      <c r="I703" s="114">
        <v>20.546765000000001</v>
      </c>
      <c r="J703" s="114">
        <v>-100.816829</v>
      </c>
      <c r="K703" s="113"/>
      <c r="L703" s="116" t="str">
        <f t="shared" si="30"/>
        <v>Ver en Google Maps</v>
      </c>
      <c r="M703" s="113">
        <v>2</v>
      </c>
      <c r="N703" s="129"/>
      <c r="O703" s="118"/>
      <c r="P703" s="118"/>
      <c r="Q703" s="118"/>
      <c r="R703" s="118"/>
      <c r="S703" s="118"/>
      <c r="T703" s="118"/>
      <c r="U703" s="118"/>
      <c r="V703" s="118"/>
      <c r="W703" s="118"/>
      <c r="X703" s="118"/>
      <c r="Y703" s="118"/>
      <c r="Z703" s="118"/>
      <c r="AA703" s="118"/>
      <c r="AB703" s="118"/>
      <c r="AC703" s="119"/>
      <c r="AD703" s="119"/>
      <c r="AE703" s="118"/>
      <c r="AF703" s="152"/>
    </row>
    <row r="704" spans="1:32" ht="12.75" thickBot="1" x14ac:dyDescent="0.25">
      <c r="A704" s="121">
        <v>1120</v>
      </c>
      <c r="B704" s="122" t="s">
        <v>1204</v>
      </c>
      <c r="C704" s="123" t="s">
        <v>14</v>
      </c>
      <c r="D704" s="123" t="s">
        <v>404</v>
      </c>
      <c r="E704" s="124" t="s">
        <v>1778</v>
      </c>
      <c r="F704" s="124" t="s">
        <v>1779</v>
      </c>
      <c r="G704" s="124" t="s">
        <v>1143</v>
      </c>
      <c r="H704" s="122" t="s">
        <v>1428</v>
      </c>
      <c r="I704" s="123">
        <v>20.539860000000001</v>
      </c>
      <c r="J704" s="123">
        <v>-100.842017</v>
      </c>
      <c r="K704" s="122"/>
      <c r="L704" s="125" t="str">
        <f t="shared" si="30"/>
        <v>Ver en Google Maps</v>
      </c>
      <c r="M704" s="122">
        <v>1</v>
      </c>
      <c r="N704" s="130"/>
      <c r="O704" s="109"/>
      <c r="P704" s="109"/>
      <c r="Q704" s="109"/>
      <c r="R704" s="109"/>
      <c r="S704" s="109"/>
      <c r="T704" s="109"/>
      <c r="U704" s="109"/>
      <c r="V704" s="109"/>
      <c r="W704" s="109"/>
      <c r="X704" s="109"/>
      <c r="Y704" s="109"/>
      <c r="Z704" s="109"/>
      <c r="AA704" s="109"/>
      <c r="AB704" s="109"/>
      <c r="AC704" s="110"/>
      <c r="AD704" s="110"/>
      <c r="AE704" s="109"/>
      <c r="AF704" s="151"/>
    </row>
    <row r="705" spans="1:32" x14ac:dyDescent="0.2">
      <c r="A705" s="132">
        <v>54</v>
      </c>
      <c r="B705" s="133" t="s">
        <v>1204</v>
      </c>
      <c r="C705" s="134" t="s">
        <v>7</v>
      </c>
      <c r="D705" s="134" t="s">
        <v>404</v>
      </c>
      <c r="E705" s="135" t="s">
        <v>1920</v>
      </c>
      <c r="F705" s="135" t="s">
        <v>1921</v>
      </c>
      <c r="G705" s="135" t="s">
        <v>2325</v>
      </c>
      <c r="H705" s="133" t="s">
        <v>1922</v>
      </c>
      <c r="I705" s="134">
        <v>20.685507999999999</v>
      </c>
      <c r="J705" s="134">
        <v>-101.35755399999999</v>
      </c>
      <c r="K705" s="133" t="s">
        <v>139</v>
      </c>
      <c r="L705" s="136" t="str">
        <f t="shared" si="30"/>
        <v>Ver en Google Maps</v>
      </c>
      <c r="M705" s="133">
        <v>2</v>
      </c>
      <c r="N705" s="117">
        <v>45942</v>
      </c>
      <c r="O705" s="118">
        <f>DAY('BD1'!$N705)</f>
        <v>12</v>
      </c>
      <c r="P705" s="118">
        <f>MONTH('BD1'!$N705)</f>
        <v>10</v>
      </c>
      <c r="Q705" s="118">
        <f>YEAR('BD1'!$N705)</f>
        <v>2025</v>
      </c>
      <c r="R705" s="118">
        <v>1</v>
      </c>
      <c r="S705" s="118" t="s">
        <v>138</v>
      </c>
      <c r="T705" s="118" t="s">
        <v>138</v>
      </c>
      <c r="U705" s="118" t="s">
        <v>138</v>
      </c>
      <c r="V705" s="118" t="s">
        <v>138</v>
      </c>
      <c r="W705" s="118" t="s">
        <v>138</v>
      </c>
      <c r="X705" s="118" t="s">
        <v>138</v>
      </c>
      <c r="Y705" s="118" t="s">
        <v>138</v>
      </c>
      <c r="Z705" s="118" t="s">
        <v>138</v>
      </c>
      <c r="AA705" s="118">
        <v>47.2</v>
      </c>
      <c r="AB705" s="118">
        <v>41.6</v>
      </c>
      <c r="AC705" s="119" t="s">
        <v>967</v>
      </c>
      <c r="AD705" s="119" t="s">
        <v>2436</v>
      </c>
      <c r="AE705" s="118">
        <f t="shared" si="31"/>
        <v>8</v>
      </c>
      <c r="AF705" s="152" t="str">
        <f t="shared" si="32"/>
        <v>Estable</v>
      </c>
    </row>
    <row r="706" spans="1:32" x14ac:dyDescent="0.2">
      <c r="A706" s="121">
        <v>55</v>
      </c>
      <c r="B706" s="122" t="s">
        <v>1204</v>
      </c>
      <c r="C706" s="123" t="s">
        <v>7</v>
      </c>
      <c r="D706" s="123" t="s">
        <v>404</v>
      </c>
      <c r="E706" s="124" t="s">
        <v>1923</v>
      </c>
      <c r="F706" s="124" t="s">
        <v>1924</v>
      </c>
      <c r="G706" s="124" t="s">
        <v>360</v>
      </c>
      <c r="H706" s="122" t="s">
        <v>1922</v>
      </c>
      <c r="I706" s="123">
        <v>20.675224</v>
      </c>
      <c r="J706" s="123">
        <v>-101.346512</v>
      </c>
      <c r="K706" s="122" t="s">
        <v>139</v>
      </c>
      <c r="L706" s="125" t="str">
        <f t="shared" si="30"/>
        <v>Ver en Google Maps</v>
      </c>
      <c r="M706" s="122">
        <v>1</v>
      </c>
      <c r="N706" s="108">
        <v>45942</v>
      </c>
      <c r="O706" s="109">
        <f>DAY('BD1'!$N706)</f>
        <v>12</v>
      </c>
      <c r="P706" s="109">
        <f>MONTH('BD1'!$N706)</f>
        <v>10</v>
      </c>
      <c r="Q706" s="109">
        <f>YEAR('BD1'!$N706)</f>
        <v>2025</v>
      </c>
      <c r="R706" s="109">
        <v>1</v>
      </c>
      <c r="S706" s="109" t="s">
        <v>138</v>
      </c>
      <c r="T706" s="109" t="s">
        <v>138</v>
      </c>
      <c r="U706" s="109" t="s">
        <v>138</v>
      </c>
      <c r="V706" s="109" t="s">
        <v>138</v>
      </c>
      <c r="W706" s="109" t="s">
        <v>138</v>
      </c>
      <c r="X706" s="109" t="s">
        <v>138</v>
      </c>
      <c r="Y706" s="109" t="s">
        <v>138</v>
      </c>
      <c r="Z706" s="109" t="s">
        <v>934</v>
      </c>
      <c r="AA706" s="109">
        <v>3.62</v>
      </c>
      <c r="AB706" s="109">
        <v>0.03</v>
      </c>
      <c r="AC706" s="110" t="s">
        <v>2439</v>
      </c>
      <c r="AD706" s="110" t="s">
        <v>2436</v>
      </c>
      <c r="AE706" s="109">
        <f t="shared" si="31"/>
        <v>7</v>
      </c>
      <c r="AF706" s="151" t="str">
        <f t="shared" ref="AF706:AF769" si="33">IF(AE706=8,"Estable",(IF(AE706=7,"Funcional con observaciones", (IF(AE706=6,"Funcional con observaciones",(IF(AE706=5,"Rendimiento bajo",(IF(AE706=4,"Parcialmente funcional",(IF(AE706=3,"Parcialmente funcional",(IF(AE706=2,"Inoperativo",(IF(AE706=1,"Inoperativo","Crítico")))))))))))))))</f>
        <v>Funcional con observaciones</v>
      </c>
    </row>
    <row r="707" spans="1:32" x14ac:dyDescent="0.2">
      <c r="A707" s="112">
        <v>56</v>
      </c>
      <c r="B707" s="113" t="s">
        <v>1204</v>
      </c>
      <c r="C707" s="114" t="s">
        <v>7</v>
      </c>
      <c r="D707" s="114" t="s">
        <v>404</v>
      </c>
      <c r="E707" s="115" t="s">
        <v>1925</v>
      </c>
      <c r="F707" s="115" t="s">
        <v>1926</v>
      </c>
      <c r="G707" s="115" t="s">
        <v>2326</v>
      </c>
      <c r="H707" s="113" t="s">
        <v>1922</v>
      </c>
      <c r="I707" s="114">
        <v>20.70205</v>
      </c>
      <c r="J707" s="114">
        <v>-101.367593</v>
      </c>
      <c r="K707" s="113" t="s">
        <v>139</v>
      </c>
      <c r="L707" s="116" t="str">
        <f t="shared" si="30"/>
        <v>Ver en Google Maps</v>
      </c>
      <c r="M707" s="113">
        <v>1</v>
      </c>
      <c r="N707" s="117">
        <v>45942</v>
      </c>
      <c r="O707" s="118">
        <f>DAY('BD1'!$N707)</f>
        <v>12</v>
      </c>
      <c r="P707" s="118">
        <f>MONTH('BD1'!$N707)</f>
        <v>10</v>
      </c>
      <c r="Q707" s="118">
        <f>YEAR('BD1'!$N707)</f>
        <v>2025</v>
      </c>
      <c r="R707" s="118">
        <v>1</v>
      </c>
      <c r="S707" s="118" t="s">
        <v>138</v>
      </c>
      <c r="T707" s="118" t="s">
        <v>138</v>
      </c>
      <c r="U707" s="118" t="s">
        <v>138</v>
      </c>
      <c r="V707" s="118" t="s">
        <v>138</v>
      </c>
      <c r="W707" s="118" t="s">
        <v>138</v>
      </c>
      <c r="X707" s="118" t="s">
        <v>138</v>
      </c>
      <c r="Y707" s="118" t="s">
        <v>138</v>
      </c>
      <c r="Z707" s="118" t="s">
        <v>138</v>
      </c>
      <c r="AA707" s="118">
        <v>120</v>
      </c>
      <c r="AB707" s="118">
        <v>24.9</v>
      </c>
      <c r="AC707" s="119" t="s">
        <v>967</v>
      </c>
      <c r="AD707" s="119" t="s">
        <v>2436</v>
      </c>
      <c r="AE707" s="118">
        <f t="shared" si="31"/>
        <v>8</v>
      </c>
      <c r="AF707" s="152" t="str">
        <f t="shared" si="33"/>
        <v>Estable</v>
      </c>
    </row>
    <row r="708" spans="1:32" x14ac:dyDescent="0.2">
      <c r="A708" s="121">
        <v>57</v>
      </c>
      <c r="B708" s="122" t="s">
        <v>1204</v>
      </c>
      <c r="C708" s="123" t="s">
        <v>7</v>
      </c>
      <c r="D708" s="123" t="s">
        <v>404</v>
      </c>
      <c r="E708" s="124" t="s">
        <v>1927</v>
      </c>
      <c r="F708" s="124" t="s">
        <v>1928</v>
      </c>
      <c r="G708" s="124" t="s">
        <v>360</v>
      </c>
      <c r="H708" s="122" t="s">
        <v>1922</v>
      </c>
      <c r="I708" s="123">
        <v>20.674284</v>
      </c>
      <c r="J708" s="123">
        <v>-101.347072</v>
      </c>
      <c r="K708" s="122" t="s">
        <v>139</v>
      </c>
      <c r="L708" s="125" t="str">
        <f t="shared" si="30"/>
        <v>Ver en Google Maps</v>
      </c>
      <c r="M708" s="122">
        <v>1</v>
      </c>
      <c r="N708" s="108">
        <v>45942</v>
      </c>
      <c r="O708" s="109">
        <f>DAY('BD1'!$N708)</f>
        <v>12</v>
      </c>
      <c r="P708" s="109">
        <f>MONTH('BD1'!$N708)</f>
        <v>10</v>
      </c>
      <c r="Q708" s="109">
        <f>YEAR('BD1'!$N708)</f>
        <v>2025</v>
      </c>
      <c r="R708" s="109">
        <v>1</v>
      </c>
      <c r="S708" s="109" t="s">
        <v>138</v>
      </c>
      <c r="T708" s="109" t="s">
        <v>138</v>
      </c>
      <c r="U708" s="109" t="s">
        <v>138</v>
      </c>
      <c r="V708" s="109" t="s">
        <v>138</v>
      </c>
      <c r="W708" s="109" t="s">
        <v>138</v>
      </c>
      <c r="X708" s="109" t="s">
        <v>138</v>
      </c>
      <c r="Y708" s="109" t="s">
        <v>138</v>
      </c>
      <c r="Z708" s="109" t="s">
        <v>138</v>
      </c>
      <c r="AA708" s="109">
        <v>71.8</v>
      </c>
      <c r="AB708" s="109">
        <v>18.600000000000001</v>
      </c>
      <c r="AC708" s="110" t="s">
        <v>967</v>
      </c>
      <c r="AD708" s="110" t="s">
        <v>2436</v>
      </c>
      <c r="AE708" s="109">
        <f t="shared" si="31"/>
        <v>8</v>
      </c>
      <c r="AF708" s="151" t="str">
        <f t="shared" si="33"/>
        <v>Estable</v>
      </c>
    </row>
    <row r="709" spans="1:32" x14ac:dyDescent="0.2">
      <c r="A709" s="112">
        <v>58</v>
      </c>
      <c r="B709" s="113" t="s">
        <v>1204</v>
      </c>
      <c r="C709" s="114" t="s">
        <v>7</v>
      </c>
      <c r="D709" s="114" t="s">
        <v>404</v>
      </c>
      <c r="E709" s="115" t="s">
        <v>1929</v>
      </c>
      <c r="F709" s="115" t="s">
        <v>1930</v>
      </c>
      <c r="G709" s="115" t="s">
        <v>360</v>
      </c>
      <c r="H709" s="113" t="s">
        <v>1922</v>
      </c>
      <c r="I709" s="114">
        <v>20.674472000000002</v>
      </c>
      <c r="J709" s="114">
        <v>-101.348111</v>
      </c>
      <c r="K709" s="113" t="s">
        <v>139</v>
      </c>
      <c r="L709" s="116" t="str">
        <f t="shared" si="30"/>
        <v>Ver en Google Maps</v>
      </c>
      <c r="M709" s="113">
        <v>1</v>
      </c>
      <c r="N709" s="117">
        <v>45942</v>
      </c>
      <c r="O709" s="118">
        <f>DAY('BD1'!$N709)</f>
        <v>12</v>
      </c>
      <c r="P709" s="118">
        <f>MONTH('BD1'!$N709)</f>
        <v>10</v>
      </c>
      <c r="Q709" s="118">
        <f>YEAR('BD1'!$N709)</f>
        <v>2025</v>
      </c>
      <c r="R709" s="118">
        <v>1</v>
      </c>
      <c r="S709" s="118" t="s">
        <v>138</v>
      </c>
      <c r="T709" s="118" t="s">
        <v>138</v>
      </c>
      <c r="U709" s="118" t="s">
        <v>138</v>
      </c>
      <c r="V709" s="118" t="s">
        <v>138</v>
      </c>
      <c r="W709" s="118" t="s">
        <v>138</v>
      </c>
      <c r="X709" s="118" t="s">
        <v>138</v>
      </c>
      <c r="Y709" s="118" t="s">
        <v>934</v>
      </c>
      <c r="Z709" s="118" t="s">
        <v>934</v>
      </c>
      <c r="AA709" s="118">
        <v>1.72</v>
      </c>
      <c r="AB709" s="118">
        <v>0</v>
      </c>
      <c r="AC709" s="119" t="s">
        <v>3026</v>
      </c>
      <c r="AD709" s="119" t="s">
        <v>2436</v>
      </c>
      <c r="AE709" s="118">
        <f t="shared" si="31"/>
        <v>6</v>
      </c>
      <c r="AF709" s="152" t="str">
        <f t="shared" si="33"/>
        <v>Funcional con observaciones</v>
      </c>
    </row>
    <row r="710" spans="1:32" x14ac:dyDescent="0.2">
      <c r="A710" s="121">
        <v>59</v>
      </c>
      <c r="B710" s="122" t="s">
        <v>1204</v>
      </c>
      <c r="C710" s="123" t="s">
        <v>7</v>
      </c>
      <c r="D710" s="123" t="s">
        <v>404</v>
      </c>
      <c r="E710" s="124" t="s">
        <v>1931</v>
      </c>
      <c r="F710" s="124" t="s">
        <v>1932</v>
      </c>
      <c r="G710" s="124" t="s">
        <v>360</v>
      </c>
      <c r="H710" s="122" t="s">
        <v>1922</v>
      </c>
      <c r="I710" s="123">
        <v>20.673721</v>
      </c>
      <c r="J710" s="123">
        <v>-101.348703</v>
      </c>
      <c r="K710" s="122" t="s">
        <v>139</v>
      </c>
      <c r="L710" s="125" t="str">
        <f t="shared" si="30"/>
        <v>Ver en Google Maps</v>
      </c>
      <c r="M710" s="122">
        <v>1</v>
      </c>
      <c r="N710" s="108">
        <v>45942</v>
      </c>
      <c r="O710" s="109">
        <f>DAY('BD1'!$N710)</f>
        <v>12</v>
      </c>
      <c r="P710" s="109">
        <f>MONTH('BD1'!$N710)</f>
        <v>10</v>
      </c>
      <c r="Q710" s="109">
        <f>YEAR('BD1'!$N710)</f>
        <v>2025</v>
      </c>
      <c r="R710" s="109">
        <v>1</v>
      </c>
      <c r="S710" s="109" t="s">
        <v>138</v>
      </c>
      <c r="T710" s="109" t="s">
        <v>138</v>
      </c>
      <c r="U710" s="109" t="s">
        <v>138</v>
      </c>
      <c r="V710" s="109" t="s">
        <v>138</v>
      </c>
      <c r="W710" s="109" t="s">
        <v>138</v>
      </c>
      <c r="X710" s="109" t="s">
        <v>138</v>
      </c>
      <c r="Y710" s="109" t="s">
        <v>138</v>
      </c>
      <c r="Z710" s="109" t="s">
        <v>138</v>
      </c>
      <c r="AA710" s="109">
        <v>76.3</v>
      </c>
      <c r="AB710" s="109">
        <v>9.67</v>
      </c>
      <c r="AC710" s="110" t="s">
        <v>2438</v>
      </c>
      <c r="AD710" s="110" t="s">
        <v>2436</v>
      </c>
      <c r="AE710" s="109">
        <f t="shared" ref="AE710:AE767" si="34">COUNTIF(S710:Z710, "si")</f>
        <v>8</v>
      </c>
      <c r="AF710" s="151" t="str">
        <f t="shared" si="33"/>
        <v>Estable</v>
      </c>
    </row>
    <row r="711" spans="1:32" x14ac:dyDescent="0.2">
      <c r="A711" s="112">
        <v>60</v>
      </c>
      <c r="B711" s="113" t="s">
        <v>1204</v>
      </c>
      <c r="C711" s="114" t="s">
        <v>7</v>
      </c>
      <c r="D711" s="114" t="s">
        <v>404</v>
      </c>
      <c r="E711" s="115" t="s">
        <v>1933</v>
      </c>
      <c r="F711" s="115" t="s">
        <v>1934</v>
      </c>
      <c r="G711" s="115" t="s">
        <v>2327</v>
      </c>
      <c r="H711" s="113" t="s">
        <v>1922</v>
      </c>
      <c r="I711" s="114">
        <v>20.674233999999998</v>
      </c>
      <c r="J711" s="114">
        <v>-101.375902</v>
      </c>
      <c r="K711" s="113" t="s">
        <v>139</v>
      </c>
      <c r="L711" s="116" t="str">
        <f t="shared" si="30"/>
        <v>Ver en Google Maps</v>
      </c>
      <c r="M711" s="113">
        <v>1</v>
      </c>
      <c r="N711" s="117">
        <v>45942</v>
      </c>
      <c r="O711" s="118">
        <f>DAY('BD1'!$N711)</f>
        <v>12</v>
      </c>
      <c r="P711" s="118">
        <f>MONTH('BD1'!$N711)</f>
        <v>10</v>
      </c>
      <c r="Q711" s="118">
        <f>YEAR('BD1'!$N711)</f>
        <v>2025</v>
      </c>
      <c r="R711" s="118">
        <v>1</v>
      </c>
      <c r="S711" s="118" t="s">
        <v>138</v>
      </c>
      <c r="T711" s="118" t="s">
        <v>138</v>
      </c>
      <c r="U711" s="118" t="s">
        <v>138</v>
      </c>
      <c r="V711" s="118" t="s">
        <v>138</v>
      </c>
      <c r="W711" s="118" t="s">
        <v>138</v>
      </c>
      <c r="X711" s="118" t="s">
        <v>138</v>
      </c>
      <c r="Y711" s="118" t="s">
        <v>138</v>
      </c>
      <c r="Z711" s="118" t="s">
        <v>138</v>
      </c>
      <c r="AA711" s="118">
        <v>59.9</v>
      </c>
      <c r="AB711" s="118">
        <v>44.3</v>
      </c>
      <c r="AC711" s="119" t="s">
        <v>967</v>
      </c>
      <c r="AD711" s="119" t="s">
        <v>2436</v>
      </c>
      <c r="AE711" s="118">
        <f t="shared" si="34"/>
        <v>8</v>
      </c>
      <c r="AF711" s="152" t="str">
        <f t="shared" si="33"/>
        <v>Estable</v>
      </c>
    </row>
    <row r="712" spans="1:32" x14ac:dyDescent="0.2">
      <c r="A712" s="121">
        <v>61</v>
      </c>
      <c r="B712" s="122" t="s">
        <v>1204</v>
      </c>
      <c r="C712" s="123" t="s">
        <v>7</v>
      </c>
      <c r="D712" s="123" t="s">
        <v>404</v>
      </c>
      <c r="E712" s="124" t="s">
        <v>1935</v>
      </c>
      <c r="F712" s="124" t="s">
        <v>1936</v>
      </c>
      <c r="G712" s="124" t="s">
        <v>360</v>
      </c>
      <c r="H712" s="122" t="s">
        <v>1922</v>
      </c>
      <c r="I712" s="123">
        <v>20.678899000000001</v>
      </c>
      <c r="J712" s="123">
        <v>-101.345006</v>
      </c>
      <c r="K712" s="122" t="s">
        <v>139</v>
      </c>
      <c r="L712" s="125" t="str">
        <f t="shared" si="30"/>
        <v>Ver en Google Maps</v>
      </c>
      <c r="M712" s="122">
        <v>1</v>
      </c>
      <c r="N712" s="108">
        <v>45942</v>
      </c>
      <c r="O712" s="109">
        <f>DAY('BD1'!$N712)</f>
        <v>12</v>
      </c>
      <c r="P712" s="109">
        <f>MONTH('BD1'!$N712)</f>
        <v>10</v>
      </c>
      <c r="Q712" s="109">
        <f>YEAR('BD1'!$N712)</f>
        <v>2025</v>
      </c>
      <c r="R712" s="109">
        <v>1</v>
      </c>
      <c r="S712" s="109" t="s">
        <v>138</v>
      </c>
      <c r="T712" s="109" t="s">
        <v>138</v>
      </c>
      <c r="U712" s="109" t="s">
        <v>138</v>
      </c>
      <c r="V712" s="109" t="s">
        <v>138</v>
      </c>
      <c r="W712" s="109" t="s">
        <v>138</v>
      </c>
      <c r="X712" s="109" t="s">
        <v>138</v>
      </c>
      <c r="Y712" s="109" t="s">
        <v>138</v>
      </c>
      <c r="Z712" s="109" t="s">
        <v>138</v>
      </c>
      <c r="AA712" s="109">
        <v>28.7</v>
      </c>
      <c r="AB712" s="109">
        <v>7.61</v>
      </c>
      <c r="AC712" s="110" t="s">
        <v>3066</v>
      </c>
      <c r="AD712" s="110" t="s">
        <v>2436</v>
      </c>
      <c r="AE712" s="109">
        <f t="shared" si="34"/>
        <v>8</v>
      </c>
      <c r="AF712" s="151" t="str">
        <f t="shared" si="33"/>
        <v>Estable</v>
      </c>
    </row>
    <row r="713" spans="1:32" x14ac:dyDescent="0.2">
      <c r="A713" s="112">
        <v>62</v>
      </c>
      <c r="B713" s="113" t="s">
        <v>1204</v>
      </c>
      <c r="C713" s="114" t="s">
        <v>7</v>
      </c>
      <c r="D713" s="114" t="s">
        <v>404</v>
      </c>
      <c r="E713" s="115" t="s">
        <v>1937</v>
      </c>
      <c r="F713" s="115" t="s">
        <v>1938</v>
      </c>
      <c r="G713" s="115" t="s">
        <v>1897</v>
      </c>
      <c r="H713" s="113" t="s">
        <v>1922</v>
      </c>
      <c r="I713" s="114">
        <v>20.678062000000001</v>
      </c>
      <c r="J713" s="114">
        <v>-101.34539599999999</v>
      </c>
      <c r="K713" s="113" t="s">
        <v>139</v>
      </c>
      <c r="L713" s="116" t="str">
        <f t="shared" si="30"/>
        <v>Ver en Google Maps</v>
      </c>
      <c r="M713" s="113">
        <v>1</v>
      </c>
      <c r="N713" s="117">
        <v>45942</v>
      </c>
      <c r="O713" s="118">
        <f>DAY('BD1'!$N713)</f>
        <v>12</v>
      </c>
      <c r="P713" s="118">
        <f>MONTH('BD1'!$N713)</f>
        <v>10</v>
      </c>
      <c r="Q713" s="118">
        <f>YEAR('BD1'!$N713)</f>
        <v>2025</v>
      </c>
      <c r="R713" s="118">
        <v>1</v>
      </c>
      <c r="S713" s="118" t="s">
        <v>138</v>
      </c>
      <c r="T713" s="118" t="s">
        <v>138</v>
      </c>
      <c r="U713" s="118" t="s">
        <v>138</v>
      </c>
      <c r="V713" s="118" t="s">
        <v>934</v>
      </c>
      <c r="W713" s="118" t="s">
        <v>138</v>
      </c>
      <c r="X713" s="118" t="s">
        <v>138</v>
      </c>
      <c r="Y713" s="118" t="s">
        <v>138</v>
      </c>
      <c r="Z713" s="118" t="s">
        <v>138</v>
      </c>
      <c r="AA713" s="118">
        <v>32.299999999999997</v>
      </c>
      <c r="AB713" s="118">
        <v>3.4</v>
      </c>
      <c r="AC713" s="119" t="s">
        <v>967</v>
      </c>
      <c r="AD713" s="119" t="s">
        <v>2436</v>
      </c>
      <c r="AE713" s="118">
        <f t="shared" si="34"/>
        <v>7</v>
      </c>
      <c r="AF713" s="152" t="str">
        <f t="shared" si="33"/>
        <v>Funcional con observaciones</v>
      </c>
    </row>
    <row r="714" spans="1:32" x14ac:dyDescent="0.2">
      <c r="A714" s="121" t="s">
        <v>2430</v>
      </c>
      <c r="B714" s="122" t="s">
        <v>1204</v>
      </c>
      <c r="C714" s="123" t="s">
        <v>11</v>
      </c>
      <c r="D714" s="123" t="s">
        <v>404</v>
      </c>
      <c r="E714" s="124" t="s">
        <v>1939</v>
      </c>
      <c r="F714" s="124" t="s">
        <v>1940</v>
      </c>
      <c r="G714" s="124" t="s">
        <v>2299</v>
      </c>
      <c r="H714" s="122" t="s">
        <v>1922</v>
      </c>
      <c r="I714" s="123">
        <v>20.696579</v>
      </c>
      <c r="J714" s="123">
        <v>-101.375434</v>
      </c>
      <c r="K714" s="122" t="s">
        <v>139</v>
      </c>
      <c r="L714" s="125" t="str">
        <f t="shared" ref="L714:L782" si="35">HYPERLINK("https://www.google.com/maps?q=" &amp; I714 &amp; "," &amp; J714, "Ver en Google Maps")</f>
        <v>Ver en Google Maps</v>
      </c>
      <c r="M714" s="122">
        <v>2</v>
      </c>
      <c r="N714" s="108">
        <v>45942</v>
      </c>
      <c r="O714" s="109">
        <f>DAY('BD1'!$N714)</f>
        <v>12</v>
      </c>
      <c r="P714" s="109">
        <f>MONTH('BD1'!$N714)</f>
        <v>10</v>
      </c>
      <c r="Q714" s="109">
        <f>YEAR('BD1'!$N714)</f>
        <v>2025</v>
      </c>
      <c r="R714" s="109">
        <v>1</v>
      </c>
      <c r="S714" s="109" t="s">
        <v>138</v>
      </c>
      <c r="T714" s="109" t="s">
        <v>138</v>
      </c>
      <c r="U714" s="109" t="s">
        <v>138</v>
      </c>
      <c r="V714" s="109" t="s">
        <v>138</v>
      </c>
      <c r="W714" s="109" t="s">
        <v>138</v>
      </c>
      <c r="X714" s="109" t="s">
        <v>138</v>
      </c>
      <c r="Y714" s="109" t="s">
        <v>138</v>
      </c>
      <c r="Z714" s="109" t="s">
        <v>138</v>
      </c>
      <c r="AA714" s="109">
        <v>49.2</v>
      </c>
      <c r="AB714" s="109">
        <v>60.7</v>
      </c>
      <c r="AC714" s="110" t="s">
        <v>967</v>
      </c>
      <c r="AD714" s="110" t="s">
        <v>2436</v>
      </c>
      <c r="AE714" s="109">
        <f t="shared" si="34"/>
        <v>8</v>
      </c>
      <c r="AF714" s="151" t="str">
        <f t="shared" si="33"/>
        <v>Estable</v>
      </c>
    </row>
    <row r="715" spans="1:32" x14ac:dyDescent="0.2">
      <c r="A715" s="112" t="s">
        <v>2431</v>
      </c>
      <c r="B715" s="113" t="s">
        <v>1204</v>
      </c>
      <c r="C715" s="114" t="s">
        <v>11</v>
      </c>
      <c r="D715" s="114" t="s">
        <v>404</v>
      </c>
      <c r="E715" s="115" t="s">
        <v>1939</v>
      </c>
      <c r="F715" s="115" t="s">
        <v>1940</v>
      </c>
      <c r="G715" s="115" t="s">
        <v>2299</v>
      </c>
      <c r="H715" s="113" t="s">
        <v>1922</v>
      </c>
      <c r="I715" s="114">
        <v>20.696579</v>
      </c>
      <c r="J715" s="114">
        <v>-101.375434</v>
      </c>
      <c r="K715" s="113" t="s">
        <v>139</v>
      </c>
      <c r="L715" s="116" t="str">
        <f t="shared" si="35"/>
        <v>Ver en Google Maps</v>
      </c>
      <c r="M715" s="113">
        <v>2</v>
      </c>
      <c r="N715" s="117">
        <v>45942</v>
      </c>
      <c r="O715" s="118">
        <f>DAY('BD1'!$N715)</f>
        <v>12</v>
      </c>
      <c r="P715" s="118">
        <f>MONTH('BD1'!$N715)</f>
        <v>10</v>
      </c>
      <c r="Q715" s="118">
        <f>YEAR('BD1'!$N715)</f>
        <v>2025</v>
      </c>
      <c r="R715" s="118">
        <v>1</v>
      </c>
      <c r="S715" s="118" t="s">
        <v>138</v>
      </c>
      <c r="T715" s="118" t="s">
        <v>138</v>
      </c>
      <c r="U715" s="118" t="s">
        <v>138</v>
      </c>
      <c r="V715" s="118" t="s">
        <v>138</v>
      </c>
      <c r="W715" s="118" t="s">
        <v>138</v>
      </c>
      <c r="X715" s="118" t="s">
        <v>138</v>
      </c>
      <c r="Y715" s="118" t="s">
        <v>138</v>
      </c>
      <c r="Z715" s="118" t="s">
        <v>138</v>
      </c>
      <c r="AA715" s="118">
        <v>89.6</v>
      </c>
      <c r="AB715" s="118">
        <v>25.4</v>
      </c>
      <c r="AC715" s="119" t="s">
        <v>967</v>
      </c>
      <c r="AD715" s="119" t="s">
        <v>2436</v>
      </c>
      <c r="AE715" s="118">
        <f t="shared" si="34"/>
        <v>8</v>
      </c>
      <c r="AF715" s="152" t="str">
        <f t="shared" si="33"/>
        <v>Estable</v>
      </c>
    </row>
    <row r="716" spans="1:32" x14ac:dyDescent="0.2">
      <c r="A716" s="121">
        <v>64</v>
      </c>
      <c r="B716" s="122" t="s">
        <v>1204</v>
      </c>
      <c r="C716" s="123" t="s">
        <v>7</v>
      </c>
      <c r="D716" s="123" t="s">
        <v>404</v>
      </c>
      <c r="E716" s="124" t="s">
        <v>1941</v>
      </c>
      <c r="F716" s="124" t="s">
        <v>1942</v>
      </c>
      <c r="G716" s="124" t="s">
        <v>360</v>
      </c>
      <c r="H716" s="122" t="s">
        <v>1922</v>
      </c>
      <c r="I716" s="123">
        <v>20.6724</v>
      </c>
      <c r="J716" s="123">
        <v>-101.346075</v>
      </c>
      <c r="K716" s="122" t="s">
        <v>139</v>
      </c>
      <c r="L716" s="125" t="str">
        <f t="shared" si="35"/>
        <v>Ver en Google Maps</v>
      </c>
      <c r="M716" s="122">
        <v>1</v>
      </c>
      <c r="N716" s="108">
        <v>45942</v>
      </c>
      <c r="O716" s="109">
        <f>DAY('BD1'!$N716)</f>
        <v>12</v>
      </c>
      <c r="P716" s="109">
        <f>MONTH('BD1'!$N716)</f>
        <v>10</v>
      </c>
      <c r="Q716" s="109">
        <f>YEAR('BD1'!$N716)</f>
        <v>2025</v>
      </c>
      <c r="R716" s="109">
        <v>1</v>
      </c>
      <c r="S716" s="109" t="s">
        <v>138</v>
      </c>
      <c r="T716" s="109" t="s">
        <v>138</v>
      </c>
      <c r="U716" s="109" t="s">
        <v>138</v>
      </c>
      <c r="V716" s="109" t="s">
        <v>138</v>
      </c>
      <c r="W716" s="109" t="s">
        <v>138</v>
      </c>
      <c r="X716" s="109" t="s">
        <v>138</v>
      </c>
      <c r="Y716" s="109" t="s">
        <v>138</v>
      </c>
      <c r="Z716" s="109" t="s">
        <v>138</v>
      </c>
      <c r="AA716" s="109">
        <v>58.8</v>
      </c>
      <c r="AB716" s="109">
        <v>26.4</v>
      </c>
      <c r="AC716" s="110" t="s">
        <v>967</v>
      </c>
      <c r="AD716" s="110" t="s">
        <v>2436</v>
      </c>
      <c r="AE716" s="109">
        <f t="shared" si="34"/>
        <v>8</v>
      </c>
      <c r="AF716" s="151" t="str">
        <f t="shared" si="33"/>
        <v>Estable</v>
      </c>
    </row>
    <row r="717" spans="1:32" x14ac:dyDescent="0.2">
      <c r="A717" s="112" t="s">
        <v>2416</v>
      </c>
      <c r="B717" s="113" t="s">
        <v>1204</v>
      </c>
      <c r="C717" s="114" t="s">
        <v>7</v>
      </c>
      <c r="D717" s="114" t="s">
        <v>404</v>
      </c>
      <c r="E717" s="115" t="s">
        <v>1943</v>
      </c>
      <c r="F717" s="115" t="s">
        <v>1944</v>
      </c>
      <c r="G717" s="115" t="s">
        <v>2328</v>
      </c>
      <c r="H717" s="113" t="s">
        <v>1922</v>
      </c>
      <c r="I717" s="114">
        <v>20.646258</v>
      </c>
      <c r="J717" s="114">
        <v>-101.341145</v>
      </c>
      <c r="K717" s="113" t="s">
        <v>139</v>
      </c>
      <c r="L717" s="116" t="str">
        <f t="shared" si="35"/>
        <v>Ver en Google Maps</v>
      </c>
      <c r="M717" s="113">
        <v>1</v>
      </c>
      <c r="N717" s="117">
        <v>45941</v>
      </c>
      <c r="O717" s="118">
        <f>DAY('BD1'!$N717)</f>
        <v>11</v>
      </c>
      <c r="P717" s="118">
        <f>MONTH('BD1'!$N717)</f>
        <v>10</v>
      </c>
      <c r="Q717" s="118">
        <f>YEAR('BD1'!$N717)</f>
        <v>2025</v>
      </c>
      <c r="R717" s="118">
        <v>1</v>
      </c>
      <c r="S717" s="118" t="s">
        <v>138</v>
      </c>
      <c r="T717" s="118" t="s">
        <v>138</v>
      </c>
      <c r="U717" s="118" t="s">
        <v>138</v>
      </c>
      <c r="V717" s="118" t="s">
        <v>138</v>
      </c>
      <c r="W717" s="118" t="s">
        <v>138</v>
      </c>
      <c r="X717" s="118" t="s">
        <v>138</v>
      </c>
      <c r="Y717" s="118" t="s">
        <v>138</v>
      </c>
      <c r="Z717" s="118" t="s">
        <v>138</v>
      </c>
      <c r="AA717" s="118">
        <v>44.1</v>
      </c>
      <c r="AB717" s="118">
        <v>42.4</v>
      </c>
      <c r="AC717" s="119" t="s">
        <v>967</v>
      </c>
      <c r="AD717" s="119" t="s">
        <v>2436</v>
      </c>
      <c r="AE717" s="118">
        <f t="shared" si="34"/>
        <v>8</v>
      </c>
      <c r="AF717" s="152" t="str">
        <f t="shared" si="33"/>
        <v>Estable</v>
      </c>
    </row>
    <row r="718" spans="1:32" x14ac:dyDescent="0.2">
      <c r="A718" s="121" t="s">
        <v>2417</v>
      </c>
      <c r="B718" s="122" t="s">
        <v>1204</v>
      </c>
      <c r="C718" s="123" t="s">
        <v>7</v>
      </c>
      <c r="D718" s="123" t="s">
        <v>404</v>
      </c>
      <c r="E718" s="124" t="s">
        <v>1943</v>
      </c>
      <c r="F718" s="124" t="s">
        <v>1944</v>
      </c>
      <c r="G718" s="124" t="s">
        <v>2328</v>
      </c>
      <c r="H718" s="122" t="s">
        <v>1922</v>
      </c>
      <c r="I718" s="123">
        <v>20.646258</v>
      </c>
      <c r="J718" s="123">
        <v>-101.341145</v>
      </c>
      <c r="K718" s="122" t="s">
        <v>139</v>
      </c>
      <c r="L718" s="125" t="str">
        <f t="shared" si="35"/>
        <v>Ver en Google Maps</v>
      </c>
      <c r="M718" s="122">
        <v>1</v>
      </c>
      <c r="N718" s="108">
        <v>45941</v>
      </c>
      <c r="O718" s="109">
        <f>DAY('BD1'!$N718)</f>
        <v>11</v>
      </c>
      <c r="P718" s="109">
        <f>MONTH('BD1'!$N718)</f>
        <v>10</v>
      </c>
      <c r="Q718" s="109">
        <f>YEAR('BD1'!$N718)</f>
        <v>2025</v>
      </c>
      <c r="R718" s="109">
        <v>1</v>
      </c>
      <c r="S718" s="109" t="s">
        <v>138</v>
      </c>
      <c r="T718" s="109" t="s">
        <v>138</v>
      </c>
      <c r="U718" s="109" t="s">
        <v>138</v>
      </c>
      <c r="V718" s="109" t="s">
        <v>138</v>
      </c>
      <c r="W718" s="109" t="s">
        <v>138</v>
      </c>
      <c r="X718" s="109" t="s">
        <v>138</v>
      </c>
      <c r="Y718" s="109" t="s">
        <v>138</v>
      </c>
      <c r="Z718" s="109" t="s">
        <v>138</v>
      </c>
      <c r="AA718" s="109">
        <v>104</v>
      </c>
      <c r="AB718" s="109">
        <v>134</v>
      </c>
      <c r="AC718" s="110" t="s">
        <v>967</v>
      </c>
      <c r="AD718" s="110" t="s">
        <v>2436</v>
      </c>
      <c r="AE718" s="109">
        <f t="shared" si="34"/>
        <v>8</v>
      </c>
      <c r="AF718" s="151" t="str">
        <f t="shared" si="33"/>
        <v>Estable</v>
      </c>
    </row>
    <row r="719" spans="1:32" x14ac:dyDescent="0.2">
      <c r="A719" s="112">
        <v>66</v>
      </c>
      <c r="B719" s="113" t="s">
        <v>1204</v>
      </c>
      <c r="C719" s="114" t="s">
        <v>7</v>
      </c>
      <c r="D719" s="114" t="s">
        <v>404</v>
      </c>
      <c r="E719" s="115" t="s">
        <v>1945</v>
      </c>
      <c r="F719" s="115" t="s">
        <v>1946</v>
      </c>
      <c r="G719" s="115" t="s">
        <v>2329</v>
      </c>
      <c r="H719" s="113" t="s">
        <v>1922</v>
      </c>
      <c r="I719" s="114">
        <v>20.670667000000002</v>
      </c>
      <c r="J719" s="114">
        <v>-101.347886</v>
      </c>
      <c r="K719" s="113" t="s">
        <v>139</v>
      </c>
      <c r="L719" s="116" t="str">
        <f t="shared" si="35"/>
        <v>Ver en Google Maps</v>
      </c>
      <c r="M719" s="113">
        <v>1</v>
      </c>
      <c r="N719" s="117">
        <v>45942</v>
      </c>
      <c r="O719" s="118">
        <f>DAY('BD1'!$N719)</f>
        <v>12</v>
      </c>
      <c r="P719" s="118">
        <f>MONTH('BD1'!$N719)</f>
        <v>10</v>
      </c>
      <c r="Q719" s="118">
        <f>YEAR('BD1'!$N719)</f>
        <v>2025</v>
      </c>
      <c r="R719" s="118">
        <v>1</v>
      </c>
      <c r="S719" s="118" t="s">
        <v>138</v>
      </c>
      <c r="T719" s="118" t="s">
        <v>138</v>
      </c>
      <c r="U719" s="118" t="s">
        <v>138</v>
      </c>
      <c r="V719" s="118" t="s">
        <v>138</v>
      </c>
      <c r="W719" s="118" t="s">
        <v>138</v>
      </c>
      <c r="X719" s="118" t="s">
        <v>138</v>
      </c>
      <c r="Y719" s="118" t="s">
        <v>138</v>
      </c>
      <c r="Z719" s="118" t="s">
        <v>138</v>
      </c>
      <c r="AA719" s="118">
        <v>102</v>
      </c>
      <c r="AB719" s="118">
        <v>9.81</v>
      </c>
      <c r="AC719" s="119" t="s">
        <v>967</v>
      </c>
      <c r="AD719" s="119" t="s">
        <v>2436</v>
      </c>
      <c r="AE719" s="118">
        <f t="shared" si="34"/>
        <v>8</v>
      </c>
      <c r="AF719" s="152" t="str">
        <f t="shared" si="33"/>
        <v>Estable</v>
      </c>
    </row>
    <row r="720" spans="1:32" x14ac:dyDescent="0.2">
      <c r="A720" s="121">
        <v>67</v>
      </c>
      <c r="B720" s="122" t="s">
        <v>1204</v>
      </c>
      <c r="C720" s="123" t="s">
        <v>7</v>
      </c>
      <c r="D720" s="123" t="s">
        <v>404</v>
      </c>
      <c r="E720" s="124" t="s">
        <v>1947</v>
      </c>
      <c r="F720" s="124" t="s">
        <v>1948</v>
      </c>
      <c r="G720" s="124" t="s">
        <v>2330</v>
      </c>
      <c r="H720" s="122" t="s">
        <v>1922</v>
      </c>
      <c r="I720" s="123">
        <v>20.673235999999999</v>
      </c>
      <c r="J720" s="123">
        <v>-101.36540100000001</v>
      </c>
      <c r="K720" s="122" t="s">
        <v>139</v>
      </c>
      <c r="L720" s="125" t="str">
        <f t="shared" si="35"/>
        <v>Ver en Google Maps</v>
      </c>
      <c r="M720" s="122">
        <v>1</v>
      </c>
      <c r="N720" s="108">
        <v>45942</v>
      </c>
      <c r="O720" s="109">
        <f>DAY('BD1'!$N720)</f>
        <v>12</v>
      </c>
      <c r="P720" s="109">
        <f>MONTH('BD1'!$N720)</f>
        <v>10</v>
      </c>
      <c r="Q720" s="109">
        <f>YEAR('BD1'!$N720)</f>
        <v>2025</v>
      </c>
      <c r="R720" s="109">
        <v>1</v>
      </c>
      <c r="S720" s="109" t="s">
        <v>138</v>
      </c>
      <c r="T720" s="109" t="s">
        <v>138</v>
      </c>
      <c r="U720" s="109" t="s">
        <v>138</v>
      </c>
      <c r="V720" s="109" t="s">
        <v>138</v>
      </c>
      <c r="W720" s="109" t="s">
        <v>138</v>
      </c>
      <c r="X720" s="109" t="s">
        <v>138</v>
      </c>
      <c r="Y720" s="109" t="s">
        <v>138</v>
      </c>
      <c r="Z720" s="109" t="s">
        <v>138</v>
      </c>
      <c r="AA720" s="109">
        <v>3.01</v>
      </c>
      <c r="AB720" s="109">
        <v>4.03</v>
      </c>
      <c r="AC720" s="110" t="s">
        <v>2440</v>
      </c>
      <c r="AD720" s="110" t="s">
        <v>2436</v>
      </c>
      <c r="AE720" s="109">
        <f t="shared" si="34"/>
        <v>8</v>
      </c>
      <c r="AF720" s="151" t="str">
        <f t="shared" si="33"/>
        <v>Estable</v>
      </c>
    </row>
    <row r="721" spans="1:32" x14ac:dyDescent="0.2">
      <c r="A721" s="112" t="s">
        <v>2428</v>
      </c>
      <c r="B721" s="113" t="s">
        <v>1204</v>
      </c>
      <c r="C721" s="114" t="s">
        <v>11</v>
      </c>
      <c r="D721" s="114" t="s">
        <v>404</v>
      </c>
      <c r="E721" s="115" t="s">
        <v>1949</v>
      </c>
      <c r="F721" s="115" t="s">
        <v>1950</v>
      </c>
      <c r="G721" s="115" t="s">
        <v>2300</v>
      </c>
      <c r="H721" s="113" t="s">
        <v>1922</v>
      </c>
      <c r="I721" s="114">
        <v>20.655003000000001</v>
      </c>
      <c r="J721" s="114">
        <v>-101.353555</v>
      </c>
      <c r="K721" s="113" t="s">
        <v>139</v>
      </c>
      <c r="L721" s="116" t="str">
        <f t="shared" si="35"/>
        <v>Ver en Google Maps</v>
      </c>
      <c r="M721" s="113">
        <v>2</v>
      </c>
      <c r="N721" s="117">
        <v>45942</v>
      </c>
      <c r="O721" s="118">
        <f>DAY('BD1'!$N721)</f>
        <v>12</v>
      </c>
      <c r="P721" s="118">
        <f>MONTH('BD1'!$N721)</f>
        <v>10</v>
      </c>
      <c r="Q721" s="118">
        <f>YEAR('BD1'!$N721)</f>
        <v>2025</v>
      </c>
      <c r="R721" s="118">
        <v>1</v>
      </c>
      <c r="S721" s="118" t="s">
        <v>138</v>
      </c>
      <c r="T721" s="118" t="s">
        <v>138</v>
      </c>
      <c r="U721" s="118" t="s">
        <v>138</v>
      </c>
      <c r="V721" s="118" t="s">
        <v>138</v>
      </c>
      <c r="W721" s="118" t="s">
        <v>138</v>
      </c>
      <c r="X721" s="118" t="s">
        <v>138</v>
      </c>
      <c r="Y721" s="118" t="s">
        <v>138</v>
      </c>
      <c r="Z721" s="118" t="s">
        <v>138</v>
      </c>
      <c r="AA721" s="118">
        <v>142</v>
      </c>
      <c r="AB721" s="118">
        <v>217</v>
      </c>
      <c r="AC721" s="119" t="s">
        <v>967</v>
      </c>
      <c r="AD721" s="119" t="s">
        <v>2436</v>
      </c>
      <c r="AE721" s="118">
        <f t="shared" si="34"/>
        <v>8</v>
      </c>
      <c r="AF721" s="152" t="str">
        <f t="shared" si="33"/>
        <v>Estable</v>
      </c>
    </row>
    <row r="722" spans="1:32" x14ac:dyDescent="0.2">
      <c r="A722" s="121" t="s">
        <v>2429</v>
      </c>
      <c r="B722" s="122" t="s">
        <v>1204</v>
      </c>
      <c r="C722" s="123" t="s">
        <v>11</v>
      </c>
      <c r="D722" s="123" t="s">
        <v>404</v>
      </c>
      <c r="E722" s="124" t="s">
        <v>1949</v>
      </c>
      <c r="F722" s="124" t="s">
        <v>1950</v>
      </c>
      <c r="G722" s="124" t="s">
        <v>2300</v>
      </c>
      <c r="H722" s="122" t="s">
        <v>1922</v>
      </c>
      <c r="I722" s="123">
        <v>20.655003000000001</v>
      </c>
      <c r="J722" s="123">
        <v>-101.353555</v>
      </c>
      <c r="K722" s="122" t="s">
        <v>139</v>
      </c>
      <c r="L722" s="125" t="str">
        <f t="shared" si="35"/>
        <v>Ver en Google Maps</v>
      </c>
      <c r="M722" s="122">
        <v>2</v>
      </c>
      <c r="N722" s="108">
        <v>45942</v>
      </c>
      <c r="O722" s="109">
        <f>DAY('BD1'!$N722)</f>
        <v>12</v>
      </c>
      <c r="P722" s="109">
        <f>MONTH('BD1'!$N722)</f>
        <v>10</v>
      </c>
      <c r="Q722" s="109">
        <f>YEAR('BD1'!$N722)</f>
        <v>2025</v>
      </c>
      <c r="R722" s="109">
        <v>1</v>
      </c>
      <c r="S722" s="109" t="s">
        <v>138</v>
      </c>
      <c r="T722" s="109" t="s">
        <v>138</v>
      </c>
      <c r="U722" s="109" t="s">
        <v>138</v>
      </c>
      <c r="V722" s="109" t="s">
        <v>138</v>
      </c>
      <c r="W722" s="109" t="s">
        <v>138</v>
      </c>
      <c r="X722" s="109" t="s">
        <v>138</v>
      </c>
      <c r="Y722" s="109" t="s">
        <v>138</v>
      </c>
      <c r="Z722" s="109" t="s">
        <v>138</v>
      </c>
      <c r="AA722" s="109">
        <v>42.7</v>
      </c>
      <c r="AB722" s="109">
        <v>21.2</v>
      </c>
      <c r="AC722" s="110" t="s">
        <v>967</v>
      </c>
      <c r="AD722" s="110" t="s">
        <v>2436</v>
      </c>
      <c r="AE722" s="109">
        <f t="shared" si="34"/>
        <v>8</v>
      </c>
      <c r="AF722" s="151" t="str">
        <f t="shared" si="33"/>
        <v>Estable</v>
      </c>
    </row>
    <row r="723" spans="1:32" x14ac:dyDescent="0.2">
      <c r="A723" s="112">
        <v>69</v>
      </c>
      <c r="B723" s="113" t="s">
        <v>1204</v>
      </c>
      <c r="C723" s="114" t="s">
        <v>11</v>
      </c>
      <c r="D723" s="114" t="s">
        <v>404</v>
      </c>
      <c r="E723" s="115" t="s">
        <v>1951</v>
      </c>
      <c r="F723" s="115" t="s">
        <v>1952</v>
      </c>
      <c r="G723" s="115" t="s">
        <v>2301</v>
      </c>
      <c r="H723" s="113" t="s">
        <v>1922</v>
      </c>
      <c r="I723" s="114">
        <v>20.751035999999999</v>
      </c>
      <c r="J723" s="114">
        <v>-101.33521500000001</v>
      </c>
      <c r="K723" s="113" t="s">
        <v>139</v>
      </c>
      <c r="L723" s="116" t="str">
        <f t="shared" si="35"/>
        <v>Ver en Google Maps</v>
      </c>
      <c r="M723" s="113">
        <v>1</v>
      </c>
      <c r="N723" s="117">
        <v>45942</v>
      </c>
      <c r="O723" s="118">
        <f>DAY('BD1'!$N723)</f>
        <v>12</v>
      </c>
      <c r="P723" s="118">
        <f>MONTH('BD1'!$N723)</f>
        <v>10</v>
      </c>
      <c r="Q723" s="118">
        <f>YEAR('BD1'!$N723)</f>
        <v>2025</v>
      </c>
      <c r="R723" s="118">
        <v>1</v>
      </c>
      <c r="S723" s="118" t="s">
        <v>138</v>
      </c>
      <c r="T723" s="118" t="s">
        <v>138</v>
      </c>
      <c r="U723" s="118" t="s">
        <v>138</v>
      </c>
      <c r="V723" s="118" t="s">
        <v>138</v>
      </c>
      <c r="W723" s="118" t="s">
        <v>138</v>
      </c>
      <c r="X723" s="118" t="s">
        <v>138</v>
      </c>
      <c r="Y723" s="118" t="s">
        <v>138</v>
      </c>
      <c r="Z723" s="118" t="s">
        <v>138</v>
      </c>
      <c r="AA723" s="118">
        <v>188</v>
      </c>
      <c r="AB723" s="118">
        <v>324</v>
      </c>
      <c r="AC723" s="119" t="s">
        <v>967</v>
      </c>
      <c r="AD723" s="119" t="s">
        <v>2436</v>
      </c>
      <c r="AE723" s="118">
        <f t="shared" si="34"/>
        <v>8</v>
      </c>
      <c r="AF723" s="152" t="str">
        <f t="shared" si="33"/>
        <v>Estable</v>
      </c>
    </row>
    <row r="724" spans="1:32" x14ac:dyDescent="0.2">
      <c r="A724" s="121" t="s">
        <v>2434</v>
      </c>
      <c r="B724" s="122" t="s">
        <v>1204</v>
      </c>
      <c r="C724" s="123" t="s">
        <v>7</v>
      </c>
      <c r="D724" s="123" t="s">
        <v>404</v>
      </c>
      <c r="E724" s="124" t="s">
        <v>1953</v>
      </c>
      <c r="F724" s="124" t="s">
        <v>1954</v>
      </c>
      <c r="G724" s="124" t="s">
        <v>2331</v>
      </c>
      <c r="H724" s="122" t="s">
        <v>1922</v>
      </c>
      <c r="I724" s="123">
        <v>20.704373</v>
      </c>
      <c r="J724" s="123">
        <v>-101.37708600000001</v>
      </c>
      <c r="K724" s="122" t="s">
        <v>139</v>
      </c>
      <c r="L724" s="125" t="str">
        <f t="shared" si="35"/>
        <v>Ver en Google Maps</v>
      </c>
      <c r="M724" s="122">
        <v>1</v>
      </c>
      <c r="N724" s="108">
        <v>45942</v>
      </c>
      <c r="O724" s="109">
        <f>DAY('BD1'!$N724)</f>
        <v>12</v>
      </c>
      <c r="P724" s="109">
        <f>MONTH('BD1'!$N724)</f>
        <v>10</v>
      </c>
      <c r="Q724" s="109">
        <f>YEAR('BD1'!$N724)</f>
        <v>2025</v>
      </c>
      <c r="R724" s="109">
        <v>1</v>
      </c>
      <c r="S724" s="109" t="s">
        <v>138</v>
      </c>
      <c r="T724" s="109" t="s">
        <v>138</v>
      </c>
      <c r="U724" s="109" t="s">
        <v>138</v>
      </c>
      <c r="V724" s="109" t="s">
        <v>138</v>
      </c>
      <c r="W724" s="109" t="s">
        <v>138</v>
      </c>
      <c r="X724" s="109" t="s">
        <v>138</v>
      </c>
      <c r="Y724" s="109" t="s">
        <v>138</v>
      </c>
      <c r="Z724" s="109" t="s">
        <v>138</v>
      </c>
      <c r="AA724" s="109">
        <v>121</v>
      </c>
      <c r="AB724" s="109">
        <v>48.3</v>
      </c>
      <c r="AC724" s="110" t="s">
        <v>967</v>
      </c>
      <c r="AD724" s="110" t="s">
        <v>2436</v>
      </c>
      <c r="AE724" s="109">
        <f t="shared" si="34"/>
        <v>8</v>
      </c>
      <c r="AF724" s="151" t="str">
        <f t="shared" si="33"/>
        <v>Estable</v>
      </c>
    </row>
    <row r="725" spans="1:32" x14ac:dyDescent="0.2">
      <c r="A725" s="112" t="s">
        <v>2435</v>
      </c>
      <c r="B725" s="113" t="s">
        <v>1204</v>
      </c>
      <c r="C725" s="114" t="s">
        <v>7</v>
      </c>
      <c r="D725" s="114" t="s">
        <v>404</v>
      </c>
      <c r="E725" s="115" t="s">
        <v>1953</v>
      </c>
      <c r="F725" s="115" t="s">
        <v>1954</v>
      </c>
      <c r="G725" s="115" t="s">
        <v>2331</v>
      </c>
      <c r="H725" s="113" t="s">
        <v>1922</v>
      </c>
      <c r="I725" s="114">
        <v>20.704373</v>
      </c>
      <c r="J725" s="114">
        <v>-101.37708600000001</v>
      </c>
      <c r="K725" s="113" t="s">
        <v>139</v>
      </c>
      <c r="L725" s="116" t="str">
        <f t="shared" si="35"/>
        <v>Ver en Google Maps</v>
      </c>
      <c r="M725" s="113">
        <v>1</v>
      </c>
      <c r="N725" s="117">
        <v>45942</v>
      </c>
      <c r="O725" s="118">
        <f>DAY('BD1'!$N725)</f>
        <v>12</v>
      </c>
      <c r="P725" s="118">
        <f>MONTH('BD1'!$N725)</f>
        <v>10</v>
      </c>
      <c r="Q725" s="118">
        <f>YEAR('BD1'!$N725)</f>
        <v>2025</v>
      </c>
      <c r="R725" s="118">
        <v>1</v>
      </c>
      <c r="S725" s="118" t="s">
        <v>138</v>
      </c>
      <c r="T725" s="118" t="s">
        <v>138</v>
      </c>
      <c r="U725" s="118" t="s">
        <v>138</v>
      </c>
      <c r="V725" s="118" t="s">
        <v>138</v>
      </c>
      <c r="W725" s="118" t="s">
        <v>138</v>
      </c>
      <c r="X725" s="118" t="s">
        <v>138</v>
      </c>
      <c r="Y725" s="118" t="s">
        <v>138</v>
      </c>
      <c r="Z725" s="118" t="s">
        <v>138</v>
      </c>
      <c r="AA725" s="118">
        <v>109</v>
      </c>
      <c r="AB725" s="118">
        <v>38.1</v>
      </c>
      <c r="AC725" s="119" t="s">
        <v>967</v>
      </c>
      <c r="AD725" s="119" t="s">
        <v>2436</v>
      </c>
      <c r="AE725" s="118">
        <f t="shared" si="34"/>
        <v>8</v>
      </c>
      <c r="AF725" s="152" t="str">
        <f t="shared" si="33"/>
        <v>Estable</v>
      </c>
    </row>
    <row r="726" spans="1:32" x14ac:dyDescent="0.2">
      <c r="A726" s="121" t="s">
        <v>2414</v>
      </c>
      <c r="B726" s="122" t="s">
        <v>1204</v>
      </c>
      <c r="C726" s="123" t="s">
        <v>7</v>
      </c>
      <c r="D726" s="123" t="s">
        <v>404</v>
      </c>
      <c r="E726" s="124" t="s">
        <v>1955</v>
      </c>
      <c r="F726" s="124" t="s">
        <v>1956</v>
      </c>
      <c r="G726" s="124" t="s">
        <v>1022</v>
      </c>
      <c r="H726" s="122" t="s">
        <v>1922</v>
      </c>
      <c r="I726" s="123">
        <v>20.656288</v>
      </c>
      <c r="J726" s="123">
        <v>-101.33118399999999</v>
      </c>
      <c r="K726" s="122" t="s">
        <v>139</v>
      </c>
      <c r="L726" s="125" t="str">
        <f t="shared" si="35"/>
        <v>Ver en Google Maps</v>
      </c>
      <c r="M726" s="122">
        <v>2</v>
      </c>
      <c r="N726" s="108">
        <v>45941</v>
      </c>
      <c r="O726" s="109">
        <f>DAY('BD1'!$N726)</f>
        <v>11</v>
      </c>
      <c r="P726" s="109">
        <f>MONTH('BD1'!$N726)</f>
        <v>10</v>
      </c>
      <c r="Q726" s="109">
        <f>YEAR('BD1'!$N726)</f>
        <v>2025</v>
      </c>
      <c r="R726" s="109">
        <v>1</v>
      </c>
      <c r="S726" s="109" t="s">
        <v>138</v>
      </c>
      <c r="T726" s="109" t="s">
        <v>138</v>
      </c>
      <c r="U726" s="109" t="s">
        <v>138</v>
      </c>
      <c r="V726" s="109" t="s">
        <v>138</v>
      </c>
      <c r="W726" s="109" t="s">
        <v>138</v>
      </c>
      <c r="X726" s="109" t="s">
        <v>138</v>
      </c>
      <c r="Y726" s="109" t="s">
        <v>138</v>
      </c>
      <c r="Z726" s="109" t="s">
        <v>138</v>
      </c>
      <c r="AA726" s="109">
        <v>61.5</v>
      </c>
      <c r="AB726" s="109">
        <v>58.2</v>
      </c>
      <c r="AC726" s="110" t="s">
        <v>967</v>
      </c>
      <c r="AD726" s="110" t="s">
        <v>2436</v>
      </c>
      <c r="AE726" s="109">
        <f t="shared" si="34"/>
        <v>8</v>
      </c>
      <c r="AF726" s="151" t="str">
        <f t="shared" si="33"/>
        <v>Estable</v>
      </c>
    </row>
    <row r="727" spans="1:32" x14ac:dyDescent="0.2">
      <c r="A727" s="112" t="s">
        <v>2415</v>
      </c>
      <c r="B727" s="113" t="s">
        <v>1204</v>
      </c>
      <c r="C727" s="114" t="s">
        <v>7</v>
      </c>
      <c r="D727" s="114" t="s">
        <v>404</v>
      </c>
      <c r="E727" s="115" t="s">
        <v>1955</v>
      </c>
      <c r="F727" s="115" t="s">
        <v>1956</v>
      </c>
      <c r="G727" s="115" t="s">
        <v>1022</v>
      </c>
      <c r="H727" s="113" t="s">
        <v>1922</v>
      </c>
      <c r="I727" s="114">
        <v>20.656288</v>
      </c>
      <c r="J727" s="114">
        <v>-101.33118399999999</v>
      </c>
      <c r="K727" s="113" t="s">
        <v>139</v>
      </c>
      <c r="L727" s="116" t="str">
        <f t="shared" si="35"/>
        <v>Ver en Google Maps</v>
      </c>
      <c r="M727" s="113">
        <v>2</v>
      </c>
      <c r="N727" s="117">
        <v>45941</v>
      </c>
      <c r="O727" s="118">
        <f>DAY('BD1'!$N727)</f>
        <v>11</v>
      </c>
      <c r="P727" s="118">
        <f>MONTH('BD1'!$N727)</f>
        <v>10</v>
      </c>
      <c r="Q727" s="118">
        <f>YEAR('BD1'!$N727)</f>
        <v>2025</v>
      </c>
      <c r="R727" s="118">
        <v>1</v>
      </c>
      <c r="S727" s="118" t="s">
        <v>138</v>
      </c>
      <c r="T727" s="118" t="s">
        <v>138</v>
      </c>
      <c r="U727" s="118" t="s">
        <v>138</v>
      </c>
      <c r="V727" s="118" t="s">
        <v>138</v>
      </c>
      <c r="W727" s="118" t="s">
        <v>138</v>
      </c>
      <c r="X727" s="118" t="s">
        <v>138</v>
      </c>
      <c r="Y727" s="118" t="s">
        <v>138</v>
      </c>
      <c r="Z727" s="118" t="s">
        <v>138</v>
      </c>
      <c r="AA727" s="118">
        <v>38.9</v>
      </c>
      <c r="AB727" s="118">
        <v>23.4</v>
      </c>
      <c r="AC727" s="119" t="s">
        <v>967</v>
      </c>
      <c r="AD727" s="119" t="s">
        <v>2436</v>
      </c>
      <c r="AE727" s="118">
        <f t="shared" si="34"/>
        <v>8</v>
      </c>
      <c r="AF727" s="152" t="str">
        <f t="shared" si="33"/>
        <v>Estable</v>
      </c>
    </row>
    <row r="728" spans="1:32" x14ac:dyDescent="0.2">
      <c r="A728" s="121">
        <v>72</v>
      </c>
      <c r="B728" s="122" t="s">
        <v>1204</v>
      </c>
      <c r="C728" s="123" t="s">
        <v>7</v>
      </c>
      <c r="D728" s="123" t="s">
        <v>404</v>
      </c>
      <c r="E728" s="124" t="s">
        <v>1957</v>
      </c>
      <c r="F728" s="124" t="s">
        <v>1958</v>
      </c>
      <c r="G728" s="124" t="s">
        <v>1022</v>
      </c>
      <c r="H728" s="122" t="s">
        <v>1922</v>
      </c>
      <c r="I728" s="123">
        <v>20.654115999999998</v>
      </c>
      <c r="J728" s="123">
        <v>-101.331604</v>
      </c>
      <c r="K728" s="122" t="s">
        <v>139</v>
      </c>
      <c r="L728" s="125" t="str">
        <f t="shared" si="35"/>
        <v>Ver en Google Maps</v>
      </c>
      <c r="M728" s="122">
        <v>2</v>
      </c>
      <c r="N728" s="108">
        <v>45941</v>
      </c>
      <c r="O728" s="109">
        <f>DAY('BD1'!$N728)</f>
        <v>11</v>
      </c>
      <c r="P728" s="109">
        <f>MONTH('BD1'!$N728)</f>
        <v>10</v>
      </c>
      <c r="Q728" s="109">
        <f>YEAR('BD1'!$N728)</f>
        <v>2025</v>
      </c>
      <c r="R728" s="109">
        <v>1</v>
      </c>
      <c r="S728" s="109" t="s">
        <v>138</v>
      </c>
      <c r="T728" s="109" t="s">
        <v>138</v>
      </c>
      <c r="U728" s="109" t="s">
        <v>138</v>
      </c>
      <c r="V728" s="109" t="s">
        <v>138</v>
      </c>
      <c r="W728" s="109" t="s">
        <v>138</v>
      </c>
      <c r="X728" s="109" t="s">
        <v>138</v>
      </c>
      <c r="Y728" s="109" t="s">
        <v>138</v>
      </c>
      <c r="Z728" s="109" t="s">
        <v>138</v>
      </c>
      <c r="AA728" s="109">
        <v>130</v>
      </c>
      <c r="AB728" s="109">
        <v>156</v>
      </c>
      <c r="AC728" s="110" t="s">
        <v>967</v>
      </c>
      <c r="AD728" s="110" t="s">
        <v>2436</v>
      </c>
      <c r="AE728" s="109">
        <f t="shared" si="34"/>
        <v>8</v>
      </c>
      <c r="AF728" s="151" t="str">
        <f t="shared" si="33"/>
        <v>Estable</v>
      </c>
    </row>
    <row r="729" spans="1:32" x14ac:dyDescent="0.2">
      <c r="A729" s="112">
        <v>73</v>
      </c>
      <c r="B729" s="113" t="s">
        <v>1204</v>
      </c>
      <c r="C729" s="114" t="s">
        <v>7</v>
      </c>
      <c r="D729" s="114" t="s">
        <v>404</v>
      </c>
      <c r="E729" s="115" t="s">
        <v>1959</v>
      </c>
      <c r="F729" s="115" t="s">
        <v>1960</v>
      </c>
      <c r="G729" s="115" t="s">
        <v>2302</v>
      </c>
      <c r="H729" s="113" t="s">
        <v>1922</v>
      </c>
      <c r="I729" s="114">
        <v>20.683992</v>
      </c>
      <c r="J729" s="114">
        <v>-101.387502</v>
      </c>
      <c r="K729" s="113" t="s">
        <v>139</v>
      </c>
      <c r="L729" s="116" t="str">
        <f t="shared" si="35"/>
        <v>Ver en Google Maps</v>
      </c>
      <c r="M729" s="113">
        <v>1</v>
      </c>
      <c r="N729" s="117">
        <v>45942</v>
      </c>
      <c r="O729" s="118">
        <f>DAY('BD1'!$N729)</f>
        <v>12</v>
      </c>
      <c r="P729" s="118">
        <f>MONTH('BD1'!$N729)</f>
        <v>10</v>
      </c>
      <c r="Q729" s="118">
        <f>YEAR('BD1'!$N729)</f>
        <v>2025</v>
      </c>
      <c r="R729" s="118">
        <v>1</v>
      </c>
      <c r="S729" s="118" t="s">
        <v>138</v>
      </c>
      <c r="T729" s="118" t="s">
        <v>138</v>
      </c>
      <c r="U729" s="118" t="s">
        <v>138</v>
      </c>
      <c r="V729" s="118" t="s">
        <v>138</v>
      </c>
      <c r="W729" s="118" t="s">
        <v>138</v>
      </c>
      <c r="X729" s="118" t="s">
        <v>138</v>
      </c>
      <c r="Y729" s="118" t="s">
        <v>138</v>
      </c>
      <c r="Z729" s="118" t="s">
        <v>138</v>
      </c>
      <c r="AA729" s="118">
        <v>29.6</v>
      </c>
      <c r="AB729" s="118">
        <v>15.3</v>
      </c>
      <c r="AC729" s="119" t="s">
        <v>967</v>
      </c>
      <c r="AD729" s="119" t="s">
        <v>2436</v>
      </c>
      <c r="AE729" s="118">
        <f t="shared" si="34"/>
        <v>8</v>
      </c>
      <c r="AF729" s="152" t="str">
        <f t="shared" si="33"/>
        <v>Estable</v>
      </c>
    </row>
    <row r="730" spans="1:32" x14ac:dyDescent="0.2">
      <c r="A730" s="121">
        <v>74</v>
      </c>
      <c r="B730" s="122" t="s">
        <v>1204</v>
      </c>
      <c r="C730" s="123" t="s">
        <v>7</v>
      </c>
      <c r="D730" s="123" t="s">
        <v>404</v>
      </c>
      <c r="E730" s="124" t="s">
        <v>1961</v>
      </c>
      <c r="F730" s="124" t="s">
        <v>1962</v>
      </c>
      <c r="G730" s="124" t="s">
        <v>2332</v>
      </c>
      <c r="H730" s="122" t="s">
        <v>1922</v>
      </c>
      <c r="I730" s="123">
        <v>20.719676</v>
      </c>
      <c r="J730" s="123">
        <v>-101.33681199999999</v>
      </c>
      <c r="K730" s="122" t="s">
        <v>139</v>
      </c>
      <c r="L730" s="125" t="str">
        <f t="shared" si="35"/>
        <v>Ver en Google Maps</v>
      </c>
      <c r="M730" s="122">
        <v>1</v>
      </c>
      <c r="N730" s="108">
        <v>45942</v>
      </c>
      <c r="O730" s="109">
        <f>DAY('BD1'!$N730)</f>
        <v>12</v>
      </c>
      <c r="P730" s="109">
        <f>MONTH('BD1'!$N730)</f>
        <v>10</v>
      </c>
      <c r="Q730" s="109">
        <f>YEAR('BD1'!$N730)</f>
        <v>2025</v>
      </c>
      <c r="R730" s="109">
        <v>1</v>
      </c>
      <c r="S730" s="109" t="s">
        <v>138</v>
      </c>
      <c r="T730" s="109" t="s">
        <v>138</v>
      </c>
      <c r="U730" s="109" t="s">
        <v>138</v>
      </c>
      <c r="V730" s="109" t="s">
        <v>138</v>
      </c>
      <c r="W730" s="109" t="s">
        <v>138</v>
      </c>
      <c r="X730" s="109" t="s">
        <v>138</v>
      </c>
      <c r="Y730" s="109" t="s">
        <v>138</v>
      </c>
      <c r="Z730" s="109" t="s">
        <v>138</v>
      </c>
      <c r="AA730" s="109">
        <v>102</v>
      </c>
      <c r="AB730" s="109">
        <v>62</v>
      </c>
      <c r="AC730" s="110" t="s">
        <v>967</v>
      </c>
      <c r="AD730" s="110" t="s">
        <v>2436</v>
      </c>
      <c r="AE730" s="109">
        <f t="shared" si="34"/>
        <v>8</v>
      </c>
      <c r="AF730" s="151" t="str">
        <f t="shared" si="33"/>
        <v>Estable</v>
      </c>
    </row>
    <row r="731" spans="1:32" x14ac:dyDescent="0.2">
      <c r="A731" s="112">
        <v>75</v>
      </c>
      <c r="B731" s="113" t="s">
        <v>1204</v>
      </c>
      <c r="C731" s="114" t="s">
        <v>14</v>
      </c>
      <c r="D731" s="114" t="s">
        <v>404</v>
      </c>
      <c r="E731" s="115" t="s">
        <v>1963</v>
      </c>
      <c r="F731" s="115" t="s">
        <v>1964</v>
      </c>
      <c r="G731" s="115" t="s">
        <v>2333</v>
      </c>
      <c r="H731" s="113" t="s">
        <v>1922</v>
      </c>
      <c r="I731" s="114">
        <v>20.691654</v>
      </c>
      <c r="J731" s="114">
        <v>-101.337124</v>
      </c>
      <c r="K731" s="113"/>
      <c r="L731" s="116" t="str">
        <f t="shared" si="35"/>
        <v>Ver en Google Maps</v>
      </c>
      <c r="M731" s="113">
        <v>1</v>
      </c>
      <c r="N731" s="129"/>
      <c r="O731" s="118"/>
      <c r="P731" s="118"/>
      <c r="Q731" s="118"/>
      <c r="R731" s="118"/>
      <c r="S731" s="118"/>
      <c r="T731" s="118"/>
      <c r="U731" s="118"/>
      <c r="V731" s="118"/>
      <c r="W731" s="118"/>
      <c r="X731" s="118"/>
      <c r="Y731" s="118"/>
      <c r="Z731" s="118"/>
      <c r="AA731" s="118"/>
      <c r="AB731" s="118"/>
      <c r="AC731" s="119"/>
      <c r="AD731" s="119"/>
      <c r="AE731" s="118"/>
      <c r="AF731" s="152"/>
    </row>
    <row r="732" spans="1:32" x14ac:dyDescent="0.2">
      <c r="A732" s="121">
        <v>78</v>
      </c>
      <c r="B732" s="122" t="s">
        <v>1204</v>
      </c>
      <c r="C732" s="123" t="s">
        <v>1449</v>
      </c>
      <c r="D732" s="123" t="s">
        <v>404</v>
      </c>
      <c r="E732" s="124" t="s">
        <v>1965</v>
      </c>
      <c r="F732" s="124" t="s">
        <v>1966</v>
      </c>
      <c r="G732" s="124" t="s">
        <v>360</v>
      </c>
      <c r="H732" s="122" t="s">
        <v>1922</v>
      </c>
      <c r="I732" s="123">
        <v>20.67381</v>
      </c>
      <c r="J732" s="123">
        <v>-101.34509</v>
      </c>
      <c r="K732" s="122"/>
      <c r="L732" s="125" t="str">
        <f t="shared" si="35"/>
        <v>Ver en Google Maps</v>
      </c>
      <c r="M732" s="122">
        <v>2</v>
      </c>
      <c r="N732" s="130"/>
      <c r="O732" s="109"/>
      <c r="P732" s="109"/>
      <c r="Q732" s="109"/>
      <c r="R732" s="109"/>
      <c r="S732" s="109"/>
      <c r="T732" s="109"/>
      <c r="U732" s="109"/>
      <c r="V732" s="109"/>
      <c r="W732" s="109"/>
      <c r="X732" s="109"/>
      <c r="Y732" s="109"/>
      <c r="Z732" s="109"/>
      <c r="AA732" s="109"/>
      <c r="AB732" s="109"/>
      <c r="AC732" s="110"/>
      <c r="AD732" s="110"/>
      <c r="AE732" s="109"/>
      <c r="AF732" s="151"/>
    </row>
    <row r="733" spans="1:32" x14ac:dyDescent="0.2">
      <c r="A733" s="112">
        <v>94</v>
      </c>
      <c r="B733" s="113" t="s">
        <v>1204</v>
      </c>
      <c r="C733" s="114" t="s">
        <v>429</v>
      </c>
      <c r="D733" s="114" t="s">
        <v>17</v>
      </c>
      <c r="E733" s="115" t="s">
        <v>1967</v>
      </c>
      <c r="F733" s="115" t="s">
        <v>1968</v>
      </c>
      <c r="G733" s="115" t="s">
        <v>2303</v>
      </c>
      <c r="H733" s="113" t="s">
        <v>1922</v>
      </c>
      <c r="I733" s="114">
        <v>20.696138999999999</v>
      </c>
      <c r="J733" s="114">
        <v>-101.338139</v>
      </c>
      <c r="K733" s="113"/>
      <c r="L733" s="116" t="str">
        <f t="shared" si="35"/>
        <v>Ver en Google Maps</v>
      </c>
      <c r="M733" s="113">
        <v>1</v>
      </c>
      <c r="N733" s="129"/>
      <c r="O733" s="118"/>
      <c r="P733" s="118"/>
      <c r="Q733" s="118"/>
      <c r="R733" s="118"/>
      <c r="S733" s="118"/>
      <c r="T733" s="118"/>
      <c r="U733" s="118"/>
      <c r="V733" s="118"/>
      <c r="W733" s="118"/>
      <c r="X733" s="118"/>
      <c r="Y733" s="118"/>
      <c r="Z733" s="118"/>
      <c r="AA733" s="118"/>
      <c r="AB733" s="118"/>
      <c r="AC733" s="119"/>
      <c r="AD733" s="119"/>
      <c r="AE733" s="118"/>
      <c r="AF733" s="152"/>
    </row>
    <row r="734" spans="1:32" x14ac:dyDescent="0.2">
      <c r="A734" s="121">
        <v>100</v>
      </c>
      <c r="B734" s="122" t="s">
        <v>1204</v>
      </c>
      <c r="C734" s="123" t="s">
        <v>429</v>
      </c>
      <c r="D734" s="123" t="s">
        <v>15</v>
      </c>
      <c r="E734" s="124" t="s">
        <v>1969</v>
      </c>
      <c r="F734" s="124" t="s">
        <v>1970</v>
      </c>
      <c r="G734" s="124" t="s">
        <v>2304</v>
      </c>
      <c r="H734" s="122" t="s">
        <v>1922</v>
      </c>
      <c r="I734" s="123">
        <v>20.662015</v>
      </c>
      <c r="J734" s="123">
        <v>-101.338684</v>
      </c>
      <c r="K734" s="122"/>
      <c r="L734" s="125" t="str">
        <f t="shared" si="35"/>
        <v>Ver en Google Maps</v>
      </c>
      <c r="M734" s="122">
        <v>2</v>
      </c>
      <c r="N734" s="130"/>
      <c r="O734" s="109"/>
      <c r="P734" s="109"/>
      <c r="Q734" s="109"/>
      <c r="R734" s="109"/>
      <c r="S734" s="109"/>
      <c r="T734" s="109"/>
      <c r="U734" s="109"/>
      <c r="V734" s="109"/>
      <c r="W734" s="109"/>
      <c r="X734" s="109"/>
      <c r="Y734" s="109"/>
      <c r="Z734" s="109"/>
      <c r="AA734" s="109"/>
      <c r="AB734" s="109"/>
      <c r="AC734" s="110"/>
      <c r="AD734" s="110"/>
      <c r="AE734" s="109"/>
      <c r="AF734" s="151"/>
    </row>
    <row r="735" spans="1:32" x14ac:dyDescent="0.2">
      <c r="A735" s="112">
        <v>103</v>
      </c>
      <c r="B735" s="113" t="s">
        <v>1204</v>
      </c>
      <c r="C735" s="114" t="s">
        <v>429</v>
      </c>
      <c r="D735" s="114" t="s">
        <v>15</v>
      </c>
      <c r="E735" s="115" t="s">
        <v>1971</v>
      </c>
      <c r="F735" s="115" t="s">
        <v>1972</v>
      </c>
      <c r="G735" s="115" t="s">
        <v>2334</v>
      </c>
      <c r="H735" s="113" t="s">
        <v>1922</v>
      </c>
      <c r="I735" s="114">
        <v>20.683682999999998</v>
      </c>
      <c r="J735" s="114">
        <v>-101.396224</v>
      </c>
      <c r="K735" s="113"/>
      <c r="L735" s="116" t="str">
        <f t="shared" si="35"/>
        <v>Ver en Google Maps</v>
      </c>
      <c r="M735" s="113">
        <v>2</v>
      </c>
      <c r="N735" s="129"/>
      <c r="O735" s="118"/>
      <c r="P735" s="118"/>
      <c r="Q735" s="118"/>
      <c r="R735" s="118"/>
      <c r="S735" s="118"/>
      <c r="T735" s="118"/>
      <c r="U735" s="118"/>
      <c r="V735" s="118"/>
      <c r="W735" s="118"/>
      <c r="X735" s="118"/>
      <c r="Y735" s="118"/>
      <c r="Z735" s="118"/>
      <c r="AA735" s="118"/>
      <c r="AB735" s="118"/>
      <c r="AC735" s="119"/>
      <c r="AD735" s="119"/>
      <c r="AE735" s="118"/>
      <c r="AF735" s="152"/>
    </row>
    <row r="736" spans="1:32" x14ac:dyDescent="0.2">
      <c r="A736" s="121">
        <v>105</v>
      </c>
      <c r="B736" s="122" t="s">
        <v>1204</v>
      </c>
      <c r="C736" s="123" t="s">
        <v>429</v>
      </c>
      <c r="D736" s="123" t="s">
        <v>15</v>
      </c>
      <c r="E736" s="124" t="s">
        <v>1973</v>
      </c>
      <c r="F736" s="124" t="s">
        <v>1974</v>
      </c>
      <c r="G736" s="124" t="s">
        <v>2335</v>
      </c>
      <c r="H736" s="122" t="s">
        <v>1922</v>
      </c>
      <c r="I736" s="123">
        <v>20.695644999999999</v>
      </c>
      <c r="J736" s="123">
        <v>-101.345337</v>
      </c>
      <c r="K736" s="122"/>
      <c r="L736" s="125" t="str">
        <f t="shared" si="35"/>
        <v>Ver en Google Maps</v>
      </c>
      <c r="M736" s="122">
        <v>2</v>
      </c>
      <c r="N736" s="130"/>
      <c r="O736" s="109"/>
      <c r="P736" s="109"/>
      <c r="Q736" s="109"/>
      <c r="R736" s="109"/>
      <c r="S736" s="109"/>
      <c r="T736" s="109"/>
      <c r="U736" s="109"/>
      <c r="V736" s="109"/>
      <c r="W736" s="109"/>
      <c r="X736" s="109"/>
      <c r="Y736" s="109"/>
      <c r="Z736" s="109"/>
      <c r="AA736" s="109"/>
      <c r="AB736" s="109"/>
      <c r="AC736" s="110"/>
      <c r="AD736" s="110"/>
      <c r="AE736" s="109"/>
      <c r="AF736" s="151"/>
    </row>
    <row r="737" spans="1:32" x14ac:dyDescent="0.2">
      <c r="A737" s="112">
        <v>111</v>
      </c>
      <c r="B737" s="113" t="s">
        <v>1204</v>
      </c>
      <c r="C737" s="114" t="s">
        <v>429</v>
      </c>
      <c r="D737" s="114" t="s">
        <v>15</v>
      </c>
      <c r="E737" s="115" t="s">
        <v>1975</v>
      </c>
      <c r="F737" s="115" t="s">
        <v>1976</v>
      </c>
      <c r="G737" s="115" t="s">
        <v>2336</v>
      </c>
      <c r="H737" s="113" t="s">
        <v>1922</v>
      </c>
      <c r="I737" s="114">
        <v>20.700389999999999</v>
      </c>
      <c r="J737" s="114">
        <v>-101.36711</v>
      </c>
      <c r="K737" s="113"/>
      <c r="L737" s="116" t="str">
        <f t="shared" si="35"/>
        <v>Ver en Google Maps</v>
      </c>
      <c r="M737" s="113">
        <v>2</v>
      </c>
      <c r="N737" s="129"/>
      <c r="O737" s="118"/>
      <c r="P737" s="118"/>
      <c r="Q737" s="118"/>
      <c r="R737" s="118"/>
      <c r="S737" s="118"/>
      <c r="T737" s="118"/>
      <c r="U737" s="118"/>
      <c r="V737" s="118"/>
      <c r="W737" s="118"/>
      <c r="X737" s="118"/>
      <c r="Y737" s="118"/>
      <c r="Z737" s="118"/>
      <c r="AA737" s="118"/>
      <c r="AB737" s="118"/>
      <c r="AC737" s="119"/>
      <c r="AD737" s="119"/>
      <c r="AE737" s="118"/>
      <c r="AF737" s="152"/>
    </row>
    <row r="738" spans="1:32" x14ac:dyDescent="0.2">
      <c r="A738" s="121">
        <v>125</v>
      </c>
      <c r="B738" s="122" t="s">
        <v>1204</v>
      </c>
      <c r="C738" s="123" t="s">
        <v>429</v>
      </c>
      <c r="D738" s="123" t="s">
        <v>17</v>
      </c>
      <c r="E738" s="124" t="s">
        <v>1977</v>
      </c>
      <c r="F738" s="124" t="s">
        <v>1978</v>
      </c>
      <c r="G738" s="124" t="s">
        <v>2337</v>
      </c>
      <c r="H738" s="122" t="s">
        <v>1922</v>
      </c>
      <c r="I738" s="123">
        <v>20.658940000000001</v>
      </c>
      <c r="J738" s="123">
        <v>-101.34289</v>
      </c>
      <c r="K738" s="122"/>
      <c r="L738" s="125" t="str">
        <f t="shared" si="35"/>
        <v>Ver en Google Maps</v>
      </c>
      <c r="M738" s="122">
        <v>1</v>
      </c>
      <c r="N738" s="130"/>
      <c r="O738" s="109"/>
      <c r="P738" s="109"/>
      <c r="Q738" s="109"/>
      <c r="R738" s="109"/>
      <c r="S738" s="109"/>
      <c r="T738" s="109"/>
      <c r="U738" s="109"/>
      <c r="V738" s="109"/>
      <c r="W738" s="109"/>
      <c r="X738" s="109"/>
      <c r="Y738" s="109"/>
      <c r="Z738" s="109"/>
      <c r="AA738" s="109"/>
      <c r="AB738" s="109"/>
      <c r="AC738" s="110"/>
      <c r="AD738" s="110"/>
      <c r="AE738" s="109"/>
      <c r="AF738" s="151"/>
    </row>
    <row r="739" spans="1:32" x14ac:dyDescent="0.2">
      <c r="A739" s="112">
        <v>130</v>
      </c>
      <c r="B739" s="113" t="s">
        <v>1204</v>
      </c>
      <c r="C739" s="114" t="s">
        <v>14</v>
      </c>
      <c r="D739" s="114" t="s">
        <v>404</v>
      </c>
      <c r="E739" s="115" t="s">
        <v>1979</v>
      </c>
      <c r="F739" s="115" t="s">
        <v>1980</v>
      </c>
      <c r="G739" s="115" t="s">
        <v>1022</v>
      </c>
      <c r="H739" s="113" t="s">
        <v>1922</v>
      </c>
      <c r="I739" s="114">
        <v>20.655767000000001</v>
      </c>
      <c r="J739" s="114">
        <v>-101.33041799999999</v>
      </c>
      <c r="K739" s="113" t="s">
        <v>139</v>
      </c>
      <c r="L739" s="116" t="str">
        <f t="shared" si="35"/>
        <v>Ver en Google Maps</v>
      </c>
      <c r="M739" s="113">
        <v>1</v>
      </c>
      <c r="N739" s="117">
        <v>45941</v>
      </c>
      <c r="O739" s="118">
        <f>DAY('BD1'!$N739)</f>
        <v>11</v>
      </c>
      <c r="P739" s="118">
        <f>MONTH('BD1'!$N739)</f>
        <v>10</v>
      </c>
      <c r="Q739" s="118">
        <f>YEAR('BD1'!$N739)</f>
        <v>2025</v>
      </c>
      <c r="R739" s="118">
        <v>1</v>
      </c>
      <c r="S739" s="118" t="s">
        <v>934</v>
      </c>
      <c r="T739" s="118" t="s">
        <v>934</v>
      </c>
      <c r="U739" s="118" t="s">
        <v>934</v>
      </c>
      <c r="V739" s="118" t="s">
        <v>934</v>
      </c>
      <c r="W739" s="118" t="s">
        <v>934</v>
      </c>
      <c r="X739" s="118" t="s">
        <v>934</v>
      </c>
      <c r="Y739" s="118" t="s">
        <v>934</v>
      </c>
      <c r="Z739" s="118" t="s">
        <v>934</v>
      </c>
      <c r="AA739" s="118">
        <v>0</v>
      </c>
      <c r="AB739" s="118">
        <v>0</v>
      </c>
      <c r="AC739" s="119" t="s">
        <v>3115</v>
      </c>
      <c r="AD739" s="119" t="s">
        <v>2436</v>
      </c>
      <c r="AE739" s="118">
        <f t="shared" si="34"/>
        <v>0</v>
      </c>
      <c r="AF739" s="152" t="str">
        <f t="shared" si="33"/>
        <v>Crítico</v>
      </c>
    </row>
    <row r="740" spans="1:32" x14ac:dyDescent="0.2">
      <c r="A740" s="121">
        <v>135</v>
      </c>
      <c r="B740" s="122" t="s">
        <v>1204</v>
      </c>
      <c r="C740" s="123" t="s">
        <v>429</v>
      </c>
      <c r="D740" s="123" t="s">
        <v>17</v>
      </c>
      <c r="E740" s="124" t="s">
        <v>1981</v>
      </c>
      <c r="F740" s="124" t="s">
        <v>1982</v>
      </c>
      <c r="G740" s="124" t="s">
        <v>2338</v>
      </c>
      <c r="H740" s="122" t="s">
        <v>1922</v>
      </c>
      <c r="I740" s="123">
        <v>20.69914</v>
      </c>
      <c r="J740" s="123">
        <v>-101.34802999999999</v>
      </c>
      <c r="K740" s="122"/>
      <c r="L740" s="125" t="str">
        <f t="shared" si="35"/>
        <v>Ver en Google Maps</v>
      </c>
      <c r="M740" s="122">
        <v>1</v>
      </c>
      <c r="N740" s="130"/>
      <c r="O740" s="109"/>
      <c r="P740" s="109"/>
      <c r="Q740" s="109"/>
      <c r="R740" s="109"/>
      <c r="S740" s="109"/>
      <c r="T740" s="109"/>
      <c r="U740" s="109"/>
      <c r="V740" s="109"/>
      <c r="W740" s="109"/>
      <c r="X740" s="109"/>
      <c r="Y740" s="109"/>
      <c r="Z740" s="109"/>
      <c r="AA740" s="109"/>
      <c r="AB740" s="109"/>
      <c r="AC740" s="110"/>
      <c r="AD740" s="110"/>
      <c r="AE740" s="109"/>
      <c r="AF740" s="151"/>
    </row>
    <row r="741" spans="1:32" x14ac:dyDescent="0.2">
      <c r="A741" s="112">
        <v>137</v>
      </c>
      <c r="B741" s="113" t="s">
        <v>1204</v>
      </c>
      <c r="C741" s="114" t="s">
        <v>429</v>
      </c>
      <c r="D741" s="114" t="s">
        <v>17</v>
      </c>
      <c r="E741" s="115" t="s">
        <v>1983</v>
      </c>
      <c r="F741" s="115" t="s">
        <v>1984</v>
      </c>
      <c r="G741" s="115" t="s">
        <v>2299</v>
      </c>
      <c r="H741" s="113" t="s">
        <v>1922</v>
      </c>
      <c r="I741" s="114">
        <v>20.695167000000001</v>
      </c>
      <c r="J741" s="114">
        <v>-101.37064700000001</v>
      </c>
      <c r="K741" s="113"/>
      <c r="L741" s="116" t="str">
        <f t="shared" si="35"/>
        <v>Ver en Google Maps</v>
      </c>
      <c r="M741" s="113">
        <v>1</v>
      </c>
      <c r="N741" s="129"/>
      <c r="O741" s="118"/>
      <c r="P741" s="118"/>
      <c r="Q741" s="118"/>
      <c r="R741" s="118"/>
      <c r="S741" s="118"/>
      <c r="T741" s="118"/>
      <c r="U741" s="118"/>
      <c r="V741" s="118"/>
      <c r="W741" s="118"/>
      <c r="X741" s="118"/>
      <c r="Y741" s="118"/>
      <c r="Z741" s="118"/>
      <c r="AA741" s="118"/>
      <c r="AB741" s="118"/>
      <c r="AC741" s="119"/>
      <c r="AD741" s="119"/>
      <c r="AE741" s="118"/>
      <c r="AF741" s="152"/>
    </row>
    <row r="742" spans="1:32" x14ac:dyDescent="0.2">
      <c r="A742" s="121">
        <v>138</v>
      </c>
      <c r="B742" s="122" t="s">
        <v>1204</v>
      </c>
      <c r="C742" s="123" t="s">
        <v>429</v>
      </c>
      <c r="D742" s="123" t="s">
        <v>17</v>
      </c>
      <c r="E742" s="124" t="s">
        <v>1985</v>
      </c>
      <c r="F742" s="124" t="s">
        <v>1986</v>
      </c>
      <c r="G742" s="124" t="s">
        <v>2339</v>
      </c>
      <c r="H742" s="122" t="s">
        <v>1922</v>
      </c>
      <c r="I742" s="123">
        <v>20.661280000000001</v>
      </c>
      <c r="J742" s="123">
        <v>-101.3535</v>
      </c>
      <c r="K742" s="122"/>
      <c r="L742" s="125" t="str">
        <f t="shared" si="35"/>
        <v>Ver en Google Maps</v>
      </c>
      <c r="M742" s="122">
        <v>1</v>
      </c>
      <c r="N742" s="130"/>
      <c r="O742" s="109"/>
      <c r="P742" s="109"/>
      <c r="Q742" s="109"/>
      <c r="R742" s="109"/>
      <c r="S742" s="109"/>
      <c r="T742" s="109"/>
      <c r="U742" s="109"/>
      <c r="V742" s="109"/>
      <c r="W742" s="109"/>
      <c r="X742" s="109"/>
      <c r="Y742" s="109"/>
      <c r="Z742" s="109"/>
      <c r="AA742" s="109"/>
      <c r="AB742" s="109"/>
      <c r="AC742" s="110"/>
      <c r="AD742" s="110"/>
      <c r="AE742" s="109"/>
      <c r="AF742" s="151"/>
    </row>
    <row r="743" spans="1:32" x14ac:dyDescent="0.2">
      <c r="A743" s="112">
        <v>143</v>
      </c>
      <c r="B743" s="113" t="s">
        <v>1204</v>
      </c>
      <c r="C743" s="114" t="s">
        <v>429</v>
      </c>
      <c r="D743" s="114" t="s">
        <v>17</v>
      </c>
      <c r="E743" s="115" t="s">
        <v>1987</v>
      </c>
      <c r="F743" s="115" t="s">
        <v>1988</v>
      </c>
      <c r="G743" s="115" t="s">
        <v>2327</v>
      </c>
      <c r="H743" s="113" t="s">
        <v>1922</v>
      </c>
      <c r="I743" s="114">
        <v>20.671970000000002</v>
      </c>
      <c r="J743" s="114">
        <v>-101.37739000000001</v>
      </c>
      <c r="K743" s="113" t="s">
        <v>139</v>
      </c>
      <c r="L743" s="116" t="str">
        <f t="shared" si="35"/>
        <v>Ver en Google Maps</v>
      </c>
      <c r="M743" s="113">
        <v>1</v>
      </c>
      <c r="N743" s="117">
        <v>45942</v>
      </c>
      <c r="O743" s="118">
        <f>DAY('BD1'!$N743)</f>
        <v>12</v>
      </c>
      <c r="P743" s="118">
        <f>MONTH('BD1'!$N743)</f>
        <v>10</v>
      </c>
      <c r="Q743" s="118">
        <f>YEAR('BD1'!$N743)</f>
        <v>2025</v>
      </c>
      <c r="R743" s="118">
        <v>1</v>
      </c>
      <c r="S743" s="118" t="s">
        <v>138</v>
      </c>
      <c r="T743" s="118" t="s">
        <v>138</v>
      </c>
      <c r="U743" s="118" t="s">
        <v>138</v>
      </c>
      <c r="V743" s="118" t="s">
        <v>138</v>
      </c>
      <c r="W743" s="118" t="s">
        <v>138</v>
      </c>
      <c r="X743" s="118" t="s">
        <v>138</v>
      </c>
      <c r="Y743" s="118" t="s">
        <v>138</v>
      </c>
      <c r="Z743" s="118" t="s">
        <v>138</v>
      </c>
      <c r="AA743" s="118">
        <v>36.799999999999997</v>
      </c>
      <c r="AB743" s="118">
        <v>1.78</v>
      </c>
      <c r="AC743" s="119" t="s">
        <v>967</v>
      </c>
      <c r="AD743" s="119" t="s">
        <v>2436</v>
      </c>
      <c r="AE743" s="118">
        <f t="shared" si="34"/>
        <v>8</v>
      </c>
      <c r="AF743" s="152" t="str">
        <f t="shared" si="33"/>
        <v>Estable</v>
      </c>
    </row>
    <row r="744" spans="1:32" x14ac:dyDescent="0.2">
      <c r="A744" s="121">
        <v>145</v>
      </c>
      <c r="B744" s="122" t="s">
        <v>1204</v>
      </c>
      <c r="C744" s="123" t="s">
        <v>429</v>
      </c>
      <c r="D744" s="123" t="s">
        <v>17</v>
      </c>
      <c r="E744" s="124" t="s">
        <v>1989</v>
      </c>
      <c r="F744" s="124" t="s">
        <v>1990</v>
      </c>
      <c r="G744" s="124" t="s">
        <v>1836</v>
      </c>
      <c r="H744" s="122" t="s">
        <v>1922</v>
      </c>
      <c r="I744" s="123">
        <v>20.699359999999999</v>
      </c>
      <c r="J744" s="123">
        <v>-101.363</v>
      </c>
      <c r="K744" s="122"/>
      <c r="L744" s="125" t="str">
        <f t="shared" si="35"/>
        <v>Ver en Google Maps</v>
      </c>
      <c r="M744" s="122">
        <v>1</v>
      </c>
      <c r="N744" s="130"/>
      <c r="O744" s="109"/>
      <c r="P744" s="109"/>
      <c r="Q744" s="109"/>
      <c r="R744" s="109"/>
      <c r="S744" s="109"/>
      <c r="T744" s="109"/>
      <c r="U744" s="109"/>
      <c r="V744" s="109"/>
      <c r="W744" s="109"/>
      <c r="X744" s="109"/>
      <c r="Y744" s="109"/>
      <c r="Z744" s="109"/>
      <c r="AA744" s="109"/>
      <c r="AB744" s="109"/>
      <c r="AC744" s="110"/>
      <c r="AD744" s="110"/>
      <c r="AE744" s="109"/>
      <c r="AF744" s="151"/>
    </row>
    <row r="745" spans="1:32" x14ac:dyDescent="0.2">
      <c r="A745" s="112">
        <v>166</v>
      </c>
      <c r="B745" s="113" t="s">
        <v>1204</v>
      </c>
      <c r="C745" s="114" t="s">
        <v>429</v>
      </c>
      <c r="D745" s="114" t="s">
        <v>17</v>
      </c>
      <c r="E745" s="115" t="s">
        <v>1991</v>
      </c>
      <c r="F745" s="115" t="s">
        <v>1992</v>
      </c>
      <c r="G745" s="115" t="s">
        <v>2340</v>
      </c>
      <c r="H745" s="113" t="s">
        <v>1922</v>
      </c>
      <c r="I745" s="114">
        <v>20.674199999999999</v>
      </c>
      <c r="J745" s="114">
        <v>-101.33714000000001</v>
      </c>
      <c r="K745" s="113"/>
      <c r="L745" s="116" t="str">
        <f t="shared" si="35"/>
        <v>Ver en Google Maps</v>
      </c>
      <c r="M745" s="113">
        <v>1</v>
      </c>
      <c r="N745" s="129"/>
      <c r="O745" s="118"/>
      <c r="P745" s="118"/>
      <c r="Q745" s="118"/>
      <c r="R745" s="118"/>
      <c r="S745" s="118"/>
      <c r="T745" s="118"/>
      <c r="U745" s="118"/>
      <c r="V745" s="118"/>
      <c r="W745" s="118"/>
      <c r="X745" s="118"/>
      <c r="Y745" s="118"/>
      <c r="Z745" s="118"/>
      <c r="AA745" s="118"/>
      <c r="AB745" s="118"/>
      <c r="AC745" s="119"/>
      <c r="AD745" s="119"/>
      <c r="AE745" s="118"/>
      <c r="AF745" s="152"/>
    </row>
    <row r="746" spans="1:32" x14ac:dyDescent="0.2">
      <c r="A746" s="121">
        <v>167</v>
      </c>
      <c r="B746" s="122" t="s">
        <v>1204</v>
      </c>
      <c r="C746" s="123" t="s">
        <v>429</v>
      </c>
      <c r="D746" s="123" t="s">
        <v>17</v>
      </c>
      <c r="E746" s="124" t="s">
        <v>1993</v>
      </c>
      <c r="F746" s="124" t="s">
        <v>1994</v>
      </c>
      <c r="G746" s="124" t="s">
        <v>1022</v>
      </c>
      <c r="H746" s="122" t="s">
        <v>1922</v>
      </c>
      <c r="I746" s="123">
        <v>20.657640000000001</v>
      </c>
      <c r="J746" s="123">
        <v>-101.32867</v>
      </c>
      <c r="K746" s="122"/>
      <c r="L746" s="125" t="str">
        <f t="shared" si="35"/>
        <v>Ver en Google Maps</v>
      </c>
      <c r="M746" s="122">
        <v>1</v>
      </c>
      <c r="N746" s="130"/>
      <c r="O746" s="109"/>
      <c r="P746" s="109"/>
      <c r="Q746" s="109"/>
      <c r="R746" s="109"/>
      <c r="S746" s="109"/>
      <c r="T746" s="109"/>
      <c r="U746" s="109"/>
      <c r="V746" s="109"/>
      <c r="W746" s="109"/>
      <c r="X746" s="109"/>
      <c r="Y746" s="109"/>
      <c r="Z746" s="109"/>
      <c r="AA746" s="109"/>
      <c r="AB746" s="109"/>
      <c r="AC746" s="110"/>
      <c r="AD746" s="110"/>
      <c r="AE746" s="109"/>
      <c r="AF746" s="151"/>
    </row>
    <row r="747" spans="1:32" x14ac:dyDescent="0.2">
      <c r="A747" s="112">
        <v>180</v>
      </c>
      <c r="B747" s="113" t="s">
        <v>1204</v>
      </c>
      <c r="C747" s="114" t="s">
        <v>429</v>
      </c>
      <c r="D747" s="114" t="s">
        <v>17</v>
      </c>
      <c r="E747" s="115" t="s">
        <v>1995</v>
      </c>
      <c r="F747" s="115" t="s">
        <v>1996</v>
      </c>
      <c r="G747" s="115" t="s">
        <v>2341</v>
      </c>
      <c r="H747" s="113" t="s">
        <v>1922</v>
      </c>
      <c r="I747" s="114">
        <v>20.660609999999998</v>
      </c>
      <c r="J747" s="114">
        <v>-101.3635</v>
      </c>
      <c r="K747" s="113"/>
      <c r="L747" s="116" t="str">
        <f t="shared" si="35"/>
        <v>Ver en Google Maps</v>
      </c>
      <c r="M747" s="113">
        <v>1</v>
      </c>
      <c r="N747" s="129"/>
      <c r="O747" s="118"/>
      <c r="P747" s="118"/>
      <c r="Q747" s="118"/>
      <c r="R747" s="118"/>
      <c r="S747" s="118"/>
      <c r="T747" s="118"/>
      <c r="U747" s="118"/>
      <c r="V747" s="118"/>
      <c r="W747" s="118"/>
      <c r="X747" s="118"/>
      <c r="Y747" s="118"/>
      <c r="Z747" s="118"/>
      <c r="AA747" s="118"/>
      <c r="AB747" s="118"/>
      <c r="AC747" s="119"/>
      <c r="AD747" s="119"/>
      <c r="AE747" s="118"/>
      <c r="AF747" s="152"/>
    </row>
    <row r="748" spans="1:32" x14ac:dyDescent="0.2">
      <c r="A748" s="121">
        <v>189</v>
      </c>
      <c r="B748" s="122" t="s">
        <v>1204</v>
      </c>
      <c r="C748" s="123" t="s">
        <v>429</v>
      </c>
      <c r="D748" s="123" t="s">
        <v>17</v>
      </c>
      <c r="E748" s="124" t="s">
        <v>1997</v>
      </c>
      <c r="F748" s="124" t="s">
        <v>1998</v>
      </c>
      <c r="G748" s="124" t="s">
        <v>2342</v>
      </c>
      <c r="H748" s="122" t="s">
        <v>1922</v>
      </c>
      <c r="I748" s="123">
        <v>20.660019999999999</v>
      </c>
      <c r="J748" s="123">
        <v>-101.37206</v>
      </c>
      <c r="K748" s="122" t="s">
        <v>139</v>
      </c>
      <c r="L748" s="125" t="str">
        <f t="shared" si="35"/>
        <v>Ver en Google Maps</v>
      </c>
      <c r="M748" s="122">
        <v>1</v>
      </c>
      <c r="N748" s="108">
        <v>45942</v>
      </c>
      <c r="O748" s="109">
        <f>DAY('BD1'!$N748)</f>
        <v>12</v>
      </c>
      <c r="P748" s="109">
        <f>MONTH('BD1'!$N748)</f>
        <v>10</v>
      </c>
      <c r="Q748" s="109">
        <f>YEAR('BD1'!$N748)</f>
        <v>2025</v>
      </c>
      <c r="R748" s="109">
        <v>1</v>
      </c>
      <c r="S748" s="109" t="s">
        <v>138</v>
      </c>
      <c r="T748" s="109" t="s">
        <v>138</v>
      </c>
      <c r="U748" s="109" t="s">
        <v>138</v>
      </c>
      <c r="V748" s="109" t="s">
        <v>138</v>
      </c>
      <c r="W748" s="109" t="s">
        <v>138</v>
      </c>
      <c r="X748" s="109" t="s">
        <v>138</v>
      </c>
      <c r="Y748" s="109" t="s">
        <v>138</v>
      </c>
      <c r="Z748" s="109" t="s">
        <v>138</v>
      </c>
      <c r="AA748" s="109">
        <v>129</v>
      </c>
      <c r="AB748" s="109">
        <v>140</v>
      </c>
      <c r="AC748" s="110" t="s">
        <v>967</v>
      </c>
      <c r="AD748" s="110" t="s">
        <v>2436</v>
      </c>
      <c r="AE748" s="109">
        <f t="shared" si="34"/>
        <v>8</v>
      </c>
      <c r="AF748" s="151" t="str">
        <f t="shared" si="33"/>
        <v>Estable</v>
      </c>
    </row>
    <row r="749" spans="1:32" x14ac:dyDescent="0.2">
      <c r="A749" s="112">
        <v>194</v>
      </c>
      <c r="B749" s="113" t="s">
        <v>1204</v>
      </c>
      <c r="C749" s="114" t="s">
        <v>429</v>
      </c>
      <c r="D749" s="114" t="s">
        <v>17</v>
      </c>
      <c r="E749" s="115" t="s">
        <v>1999</v>
      </c>
      <c r="F749" s="115" t="s">
        <v>2000</v>
      </c>
      <c r="G749" s="115" t="s">
        <v>2343</v>
      </c>
      <c r="H749" s="113" t="s">
        <v>1922</v>
      </c>
      <c r="I749" s="114">
        <v>20.690719999999999</v>
      </c>
      <c r="J749" s="114">
        <v>-101.36769</v>
      </c>
      <c r="K749" s="113"/>
      <c r="L749" s="116" t="str">
        <f t="shared" si="35"/>
        <v>Ver en Google Maps</v>
      </c>
      <c r="M749" s="113">
        <v>1</v>
      </c>
      <c r="N749" s="129"/>
      <c r="O749" s="118"/>
      <c r="P749" s="118"/>
      <c r="Q749" s="118"/>
      <c r="R749" s="118"/>
      <c r="S749" s="118"/>
      <c r="T749" s="118"/>
      <c r="U749" s="118"/>
      <c r="V749" s="118"/>
      <c r="W749" s="118"/>
      <c r="X749" s="118"/>
      <c r="Y749" s="118"/>
      <c r="Z749" s="118"/>
      <c r="AA749" s="118"/>
      <c r="AB749" s="118"/>
      <c r="AC749" s="119"/>
      <c r="AD749" s="119"/>
      <c r="AE749" s="118"/>
      <c r="AF749" s="152"/>
    </row>
    <row r="750" spans="1:32" x14ac:dyDescent="0.2">
      <c r="A750" s="121">
        <v>195</v>
      </c>
      <c r="B750" s="122" t="s">
        <v>1204</v>
      </c>
      <c r="C750" s="123" t="s">
        <v>429</v>
      </c>
      <c r="D750" s="123" t="s">
        <v>17</v>
      </c>
      <c r="E750" s="124" t="s">
        <v>2001</v>
      </c>
      <c r="F750" s="124" t="s">
        <v>2002</v>
      </c>
      <c r="G750" s="124" t="s">
        <v>2344</v>
      </c>
      <c r="H750" s="122" t="s">
        <v>1922</v>
      </c>
      <c r="I750" s="123">
        <v>20.68656</v>
      </c>
      <c r="J750" s="123">
        <v>-101.34260999999999</v>
      </c>
      <c r="K750" s="122"/>
      <c r="L750" s="125" t="str">
        <f t="shared" si="35"/>
        <v>Ver en Google Maps</v>
      </c>
      <c r="M750" s="122">
        <v>1</v>
      </c>
      <c r="N750" s="130"/>
      <c r="O750" s="109"/>
      <c r="P750" s="109"/>
      <c r="Q750" s="109"/>
      <c r="R750" s="109"/>
      <c r="S750" s="109"/>
      <c r="T750" s="109"/>
      <c r="U750" s="109"/>
      <c r="V750" s="109"/>
      <c r="W750" s="109"/>
      <c r="X750" s="109"/>
      <c r="Y750" s="109"/>
      <c r="Z750" s="109"/>
      <c r="AA750" s="109"/>
      <c r="AB750" s="109"/>
      <c r="AC750" s="110"/>
      <c r="AD750" s="110"/>
      <c r="AE750" s="109"/>
      <c r="AF750" s="151"/>
    </row>
    <row r="751" spans="1:32" x14ac:dyDescent="0.2">
      <c r="A751" s="112">
        <v>196</v>
      </c>
      <c r="B751" s="113" t="s">
        <v>1204</v>
      </c>
      <c r="C751" s="114" t="s">
        <v>429</v>
      </c>
      <c r="D751" s="114" t="s">
        <v>17</v>
      </c>
      <c r="E751" s="115" t="s">
        <v>2003</v>
      </c>
      <c r="F751" s="115" t="s">
        <v>2004</v>
      </c>
      <c r="G751" s="115" t="s">
        <v>1105</v>
      </c>
      <c r="H751" s="113" t="s">
        <v>1922</v>
      </c>
      <c r="I751" s="114">
        <v>20.67353</v>
      </c>
      <c r="J751" s="114">
        <v>-101.35245</v>
      </c>
      <c r="K751" s="113"/>
      <c r="L751" s="116" t="str">
        <f t="shared" si="35"/>
        <v>Ver en Google Maps</v>
      </c>
      <c r="M751" s="113">
        <v>1</v>
      </c>
      <c r="N751" s="129"/>
      <c r="O751" s="118"/>
      <c r="P751" s="118"/>
      <c r="Q751" s="118"/>
      <c r="R751" s="118"/>
      <c r="S751" s="118"/>
      <c r="T751" s="118"/>
      <c r="U751" s="118"/>
      <c r="V751" s="118"/>
      <c r="W751" s="118"/>
      <c r="X751" s="118"/>
      <c r="Y751" s="118"/>
      <c r="Z751" s="118"/>
      <c r="AA751" s="118"/>
      <c r="AB751" s="118"/>
      <c r="AC751" s="119"/>
      <c r="AD751" s="119"/>
      <c r="AE751" s="118"/>
      <c r="AF751" s="152"/>
    </row>
    <row r="752" spans="1:32" x14ac:dyDescent="0.2">
      <c r="A752" s="121">
        <v>197</v>
      </c>
      <c r="B752" s="122" t="s">
        <v>1204</v>
      </c>
      <c r="C752" s="123" t="s">
        <v>429</v>
      </c>
      <c r="D752" s="123" t="s">
        <v>17</v>
      </c>
      <c r="E752" s="124" t="s">
        <v>2005</v>
      </c>
      <c r="F752" s="124" t="s">
        <v>2006</v>
      </c>
      <c r="G752" s="124" t="s">
        <v>2345</v>
      </c>
      <c r="H752" s="122" t="s">
        <v>1922</v>
      </c>
      <c r="I752" s="123">
        <v>20.673670000000001</v>
      </c>
      <c r="J752" s="123">
        <v>-101.39194000000001</v>
      </c>
      <c r="K752" s="122"/>
      <c r="L752" s="125" t="str">
        <f t="shared" si="35"/>
        <v>Ver en Google Maps</v>
      </c>
      <c r="M752" s="122">
        <v>1</v>
      </c>
      <c r="N752" s="130"/>
      <c r="O752" s="109"/>
      <c r="P752" s="109"/>
      <c r="Q752" s="109"/>
      <c r="R752" s="109"/>
      <c r="S752" s="109"/>
      <c r="T752" s="109"/>
      <c r="U752" s="109"/>
      <c r="V752" s="109"/>
      <c r="W752" s="109"/>
      <c r="X752" s="109"/>
      <c r="Y752" s="109"/>
      <c r="Z752" s="109"/>
      <c r="AA752" s="109"/>
      <c r="AB752" s="109"/>
      <c r="AC752" s="110"/>
      <c r="AD752" s="110"/>
      <c r="AE752" s="109"/>
      <c r="AF752" s="151"/>
    </row>
    <row r="753" spans="1:32" x14ac:dyDescent="0.2">
      <c r="A753" s="112">
        <v>219</v>
      </c>
      <c r="B753" s="113" t="s">
        <v>1204</v>
      </c>
      <c r="C753" s="114" t="s">
        <v>429</v>
      </c>
      <c r="D753" s="114" t="s">
        <v>17</v>
      </c>
      <c r="E753" s="115" t="s">
        <v>2007</v>
      </c>
      <c r="F753" s="115" t="s">
        <v>2008</v>
      </c>
      <c r="G753" s="115" t="s">
        <v>2346</v>
      </c>
      <c r="H753" s="113" t="s">
        <v>1922</v>
      </c>
      <c r="I753" s="114">
        <v>20.717946000000001</v>
      </c>
      <c r="J753" s="114">
        <v>-101.36983499999999</v>
      </c>
      <c r="K753" s="113"/>
      <c r="L753" s="116" t="str">
        <f t="shared" si="35"/>
        <v>Ver en Google Maps</v>
      </c>
      <c r="M753" s="113">
        <v>1</v>
      </c>
      <c r="N753" s="129"/>
      <c r="O753" s="118"/>
      <c r="P753" s="118"/>
      <c r="Q753" s="118"/>
      <c r="R753" s="118"/>
      <c r="S753" s="118"/>
      <c r="T753" s="118"/>
      <c r="U753" s="118"/>
      <c r="V753" s="118"/>
      <c r="W753" s="118"/>
      <c r="X753" s="118"/>
      <c r="Y753" s="118"/>
      <c r="Z753" s="118"/>
      <c r="AA753" s="118"/>
      <c r="AB753" s="118"/>
      <c r="AC753" s="119"/>
      <c r="AD753" s="119"/>
      <c r="AE753" s="118"/>
      <c r="AF753" s="152"/>
    </row>
    <row r="754" spans="1:32" x14ac:dyDescent="0.2">
      <c r="A754" s="121">
        <v>220</v>
      </c>
      <c r="B754" s="122" t="s">
        <v>1204</v>
      </c>
      <c r="C754" s="123" t="s">
        <v>429</v>
      </c>
      <c r="D754" s="123" t="s">
        <v>17</v>
      </c>
      <c r="E754" s="124" t="s">
        <v>2009</v>
      </c>
      <c r="F754" s="124" t="s">
        <v>2010</v>
      </c>
      <c r="G754" s="124" t="s">
        <v>2347</v>
      </c>
      <c r="H754" s="122" t="s">
        <v>1922</v>
      </c>
      <c r="I754" s="123">
        <v>20.704529999999998</v>
      </c>
      <c r="J754" s="123">
        <v>-101.36381</v>
      </c>
      <c r="K754" s="122"/>
      <c r="L754" s="125" t="str">
        <f t="shared" si="35"/>
        <v>Ver en Google Maps</v>
      </c>
      <c r="M754" s="122">
        <v>1</v>
      </c>
      <c r="N754" s="130"/>
      <c r="O754" s="109"/>
      <c r="P754" s="109"/>
      <c r="Q754" s="109"/>
      <c r="R754" s="109"/>
      <c r="S754" s="109"/>
      <c r="T754" s="109"/>
      <c r="U754" s="109"/>
      <c r="V754" s="109"/>
      <c r="W754" s="109"/>
      <c r="X754" s="109"/>
      <c r="Y754" s="109"/>
      <c r="Z754" s="109"/>
      <c r="AA754" s="109"/>
      <c r="AB754" s="109"/>
      <c r="AC754" s="110"/>
      <c r="AD754" s="110"/>
      <c r="AE754" s="109"/>
      <c r="AF754" s="151"/>
    </row>
    <row r="755" spans="1:32" x14ac:dyDescent="0.2">
      <c r="A755" s="112">
        <v>221</v>
      </c>
      <c r="B755" s="113" t="s">
        <v>1204</v>
      </c>
      <c r="C755" s="114" t="s">
        <v>429</v>
      </c>
      <c r="D755" s="114" t="s">
        <v>17</v>
      </c>
      <c r="E755" s="115" t="s">
        <v>2011</v>
      </c>
      <c r="F755" s="115" t="s">
        <v>2012</v>
      </c>
      <c r="G755" s="115" t="s">
        <v>2348</v>
      </c>
      <c r="H755" s="113" t="s">
        <v>1922</v>
      </c>
      <c r="I755" s="114">
        <v>20.696359999999999</v>
      </c>
      <c r="J755" s="114">
        <v>-101.36511</v>
      </c>
      <c r="K755" s="113"/>
      <c r="L755" s="116" t="str">
        <f t="shared" si="35"/>
        <v>Ver en Google Maps</v>
      </c>
      <c r="M755" s="113">
        <v>1</v>
      </c>
      <c r="N755" s="129"/>
      <c r="O755" s="118"/>
      <c r="P755" s="118"/>
      <c r="Q755" s="118"/>
      <c r="R755" s="118"/>
      <c r="S755" s="118"/>
      <c r="T755" s="118"/>
      <c r="U755" s="118"/>
      <c r="V755" s="118"/>
      <c r="W755" s="118"/>
      <c r="X755" s="118"/>
      <c r="Y755" s="118"/>
      <c r="Z755" s="118"/>
      <c r="AA755" s="118"/>
      <c r="AB755" s="118"/>
      <c r="AC755" s="119"/>
      <c r="AD755" s="119"/>
      <c r="AE755" s="118"/>
      <c r="AF755" s="152"/>
    </row>
    <row r="756" spans="1:32" x14ac:dyDescent="0.2">
      <c r="A756" s="121">
        <v>223</v>
      </c>
      <c r="B756" s="122" t="s">
        <v>1204</v>
      </c>
      <c r="C756" s="123" t="s">
        <v>429</v>
      </c>
      <c r="D756" s="123" t="s">
        <v>17</v>
      </c>
      <c r="E756" s="124" t="s">
        <v>2013</v>
      </c>
      <c r="F756" s="124" t="s">
        <v>2014</v>
      </c>
      <c r="G756" s="124" t="s">
        <v>2349</v>
      </c>
      <c r="H756" s="122" t="s">
        <v>1922</v>
      </c>
      <c r="I756" s="123">
        <v>20.660637000000001</v>
      </c>
      <c r="J756" s="123">
        <v>-101.36637899999999</v>
      </c>
      <c r="K756" s="122"/>
      <c r="L756" s="125" t="str">
        <f t="shared" si="35"/>
        <v>Ver en Google Maps</v>
      </c>
      <c r="M756" s="122">
        <v>1</v>
      </c>
      <c r="N756" s="130"/>
      <c r="O756" s="109"/>
      <c r="P756" s="109"/>
      <c r="Q756" s="109"/>
      <c r="R756" s="109"/>
      <c r="S756" s="109"/>
      <c r="T756" s="109"/>
      <c r="U756" s="109"/>
      <c r="V756" s="109"/>
      <c r="W756" s="109"/>
      <c r="X756" s="109"/>
      <c r="Y756" s="109"/>
      <c r="Z756" s="109"/>
      <c r="AA756" s="109"/>
      <c r="AB756" s="109"/>
      <c r="AC756" s="110"/>
      <c r="AD756" s="110"/>
      <c r="AE756" s="109"/>
      <c r="AF756" s="151"/>
    </row>
    <row r="757" spans="1:32" x14ac:dyDescent="0.2">
      <c r="A757" s="112">
        <v>226</v>
      </c>
      <c r="B757" s="113" t="s">
        <v>1204</v>
      </c>
      <c r="C757" s="114" t="s">
        <v>429</v>
      </c>
      <c r="D757" s="114" t="s">
        <v>17</v>
      </c>
      <c r="E757" s="115" t="s">
        <v>2015</v>
      </c>
      <c r="F757" s="115" t="s">
        <v>2016</v>
      </c>
      <c r="G757" s="115" t="s">
        <v>2350</v>
      </c>
      <c r="H757" s="113" t="s">
        <v>1922</v>
      </c>
      <c r="I757" s="114">
        <v>20.700500000000002</v>
      </c>
      <c r="J757" s="114">
        <v>-101.34417000000001</v>
      </c>
      <c r="K757" s="113"/>
      <c r="L757" s="116" t="str">
        <f t="shared" si="35"/>
        <v>Ver en Google Maps</v>
      </c>
      <c r="M757" s="113">
        <v>1</v>
      </c>
      <c r="N757" s="129"/>
      <c r="O757" s="118"/>
      <c r="P757" s="118"/>
      <c r="Q757" s="118"/>
      <c r="R757" s="118"/>
      <c r="S757" s="118"/>
      <c r="T757" s="118"/>
      <c r="U757" s="118"/>
      <c r="V757" s="118"/>
      <c r="W757" s="118"/>
      <c r="X757" s="118"/>
      <c r="Y757" s="118"/>
      <c r="Z757" s="118"/>
      <c r="AA757" s="118"/>
      <c r="AB757" s="118"/>
      <c r="AC757" s="119"/>
      <c r="AD757" s="119"/>
      <c r="AE757" s="118"/>
      <c r="AF757" s="152"/>
    </row>
    <row r="758" spans="1:32" x14ac:dyDescent="0.2">
      <c r="A758" s="121">
        <v>227</v>
      </c>
      <c r="B758" s="122" t="s">
        <v>1204</v>
      </c>
      <c r="C758" s="123" t="s">
        <v>429</v>
      </c>
      <c r="D758" s="123" t="s">
        <v>17</v>
      </c>
      <c r="E758" s="124" t="s">
        <v>2017</v>
      </c>
      <c r="F758" s="124" t="s">
        <v>2018</v>
      </c>
      <c r="G758" s="124" t="s">
        <v>2351</v>
      </c>
      <c r="H758" s="122" t="s">
        <v>1922</v>
      </c>
      <c r="I758" s="123">
        <v>20.688469999999999</v>
      </c>
      <c r="J758" s="123">
        <v>-101.37358</v>
      </c>
      <c r="K758" s="122"/>
      <c r="L758" s="125" t="str">
        <f t="shared" si="35"/>
        <v>Ver en Google Maps</v>
      </c>
      <c r="M758" s="122">
        <v>1</v>
      </c>
      <c r="N758" s="130"/>
      <c r="O758" s="109"/>
      <c r="P758" s="109"/>
      <c r="Q758" s="109"/>
      <c r="R758" s="109"/>
      <c r="S758" s="109"/>
      <c r="T758" s="109"/>
      <c r="U758" s="109"/>
      <c r="V758" s="109"/>
      <c r="W758" s="109"/>
      <c r="X758" s="109"/>
      <c r="Y758" s="109"/>
      <c r="Z758" s="109"/>
      <c r="AA758" s="109"/>
      <c r="AB758" s="109"/>
      <c r="AC758" s="110"/>
      <c r="AD758" s="110"/>
      <c r="AE758" s="109"/>
      <c r="AF758" s="151"/>
    </row>
    <row r="759" spans="1:32" x14ac:dyDescent="0.2">
      <c r="A759" s="112">
        <v>228</v>
      </c>
      <c r="B759" s="113" t="s">
        <v>1204</v>
      </c>
      <c r="C759" s="114" t="s">
        <v>429</v>
      </c>
      <c r="D759" s="114" t="s">
        <v>17</v>
      </c>
      <c r="E759" s="115" t="s">
        <v>2019</v>
      </c>
      <c r="F759" s="115" t="s">
        <v>2020</v>
      </c>
      <c r="G759" s="115" t="s">
        <v>2352</v>
      </c>
      <c r="H759" s="113" t="s">
        <v>1922</v>
      </c>
      <c r="I759" s="114">
        <v>20.6538</v>
      </c>
      <c r="J759" s="114">
        <v>-101.34978</v>
      </c>
      <c r="K759" s="113"/>
      <c r="L759" s="116" t="str">
        <f t="shared" si="35"/>
        <v>Ver en Google Maps</v>
      </c>
      <c r="M759" s="113">
        <v>1</v>
      </c>
      <c r="N759" s="129"/>
      <c r="O759" s="118"/>
      <c r="P759" s="118"/>
      <c r="Q759" s="118"/>
      <c r="R759" s="118"/>
      <c r="S759" s="118"/>
      <c r="T759" s="118"/>
      <c r="U759" s="118"/>
      <c r="V759" s="118"/>
      <c r="W759" s="118"/>
      <c r="X759" s="118"/>
      <c r="Y759" s="118"/>
      <c r="Z759" s="118"/>
      <c r="AA759" s="118"/>
      <c r="AB759" s="118"/>
      <c r="AC759" s="119"/>
      <c r="AD759" s="119"/>
      <c r="AE759" s="118"/>
      <c r="AF759" s="152"/>
    </row>
    <row r="760" spans="1:32" x14ac:dyDescent="0.2">
      <c r="A760" s="121">
        <v>229</v>
      </c>
      <c r="B760" s="122" t="s">
        <v>1204</v>
      </c>
      <c r="C760" s="123" t="s">
        <v>429</v>
      </c>
      <c r="D760" s="123" t="s">
        <v>17</v>
      </c>
      <c r="E760" s="124" t="s">
        <v>2021</v>
      </c>
      <c r="F760" s="124" t="s">
        <v>2022</v>
      </c>
      <c r="G760" s="124" t="s">
        <v>2305</v>
      </c>
      <c r="H760" s="122" t="s">
        <v>1922</v>
      </c>
      <c r="I760" s="123">
        <v>20.669280000000001</v>
      </c>
      <c r="J760" s="123">
        <v>-101.33767</v>
      </c>
      <c r="K760" s="122"/>
      <c r="L760" s="125" t="str">
        <f t="shared" si="35"/>
        <v>Ver en Google Maps</v>
      </c>
      <c r="M760" s="122">
        <v>1</v>
      </c>
      <c r="N760" s="130"/>
      <c r="O760" s="109"/>
      <c r="P760" s="109"/>
      <c r="Q760" s="109"/>
      <c r="R760" s="109"/>
      <c r="S760" s="109"/>
      <c r="T760" s="109"/>
      <c r="U760" s="109"/>
      <c r="V760" s="109"/>
      <c r="W760" s="109"/>
      <c r="X760" s="109"/>
      <c r="Y760" s="109"/>
      <c r="Z760" s="109"/>
      <c r="AA760" s="109"/>
      <c r="AB760" s="109"/>
      <c r="AC760" s="110"/>
      <c r="AD760" s="110"/>
      <c r="AE760" s="109"/>
      <c r="AF760" s="151"/>
    </row>
    <row r="761" spans="1:32" x14ac:dyDescent="0.2">
      <c r="A761" s="112">
        <v>240</v>
      </c>
      <c r="B761" s="113" t="s">
        <v>1204</v>
      </c>
      <c r="C761" s="114" t="s">
        <v>429</v>
      </c>
      <c r="D761" s="114" t="s">
        <v>17</v>
      </c>
      <c r="E761" s="115" t="s">
        <v>2023</v>
      </c>
      <c r="F761" s="115" t="s">
        <v>2024</v>
      </c>
      <c r="G761" s="115" t="s">
        <v>2353</v>
      </c>
      <c r="H761" s="113" t="s">
        <v>1922</v>
      </c>
      <c r="I761" s="114">
        <v>20.700530000000001</v>
      </c>
      <c r="J761" s="114">
        <v>-101.36811</v>
      </c>
      <c r="K761" s="113"/>
      <c r="L761" s="116" t="str">
        <f t="shared" si="35"/>
        <v>Ver en Google Maps</v>
      </c>
      <c r="M761" s="113">
        <v>1</v>
      </c>
      <c r="N761" s="129"/>
      <c r="O761" s="118"/>
      <c r="P761" s="118"/>
      <c r="Q761" s="118"/>
      <c r="R761" s="118"/>
      <c r="S761" s="118"/>
      <c r="T761" s="118"/>
      <c r="U761" s="118"/>
      <c r="V761" s="118"/>
      <c r="W761" s="118"/>
      <c r="X761" s="118"/>
      <c r="Y761" s="118"/>
      <c r="Z761" s="118"/>
      <c r="AA761" s="118"/>
      <c r="AB761" s="118"/>
      <c r="AC761" s="119"/>
      <c r="AD761" s="119"/>
      <c r="AE761" s="118"/>
      <c r="AF761" s="152"/>
    </row>
    <row r="762" spans="1:32" x14ac:dyDescent="0.2">
      <c r="A762" s="121">
        <v>253</v>
      </c>
      <c r="B762" s="122" t="s">
        <v>1204</v>
      </c>
      <c r="C762" s="123" t="s">
        <v>429</v>
      </c>
      <c r="D762" s="123" t="s">
        <v>17</v>
      </c>
      <c r="E762" s="124" t="s">
        <v>2025</v>
      </c>
      <c r="F762" s="124" t="s">
        <v>2026</v>
      </c>
      <c r="G762" s="124" t="s">
        <v>2341</v>
      </c>
      <c r="H762" s="122" t="s">
        <v>1922</v>
      </c>
      <c r="I762" s="123">
        <v>20.657865000000001</v>
      </c>
      <c r="J762" s="123">
        <v>-101.362916</v>
      </c>
      <c r="K762" s="122" t="s">
        <v>139</v>
      </c>
      <c r="L762" s="125" t="str">
        <f t="shared" si="35"/>
        <v>Ver en Google Maps</v>
      </c>
      <c r="M762" s="122">
        <v>1</v>
      </c>
      <c r="N762" s="108">
        <v>45942</v>
      </c>
      <c r="O762" s="109">
        <f>DAY('BD1'!$N762)</f>
        <v>12</v>
      </c>
      <c r="P762" s="109">
        <f>MONTH('BD1'!$N762)</f>
        <v>10</v>
      </c>
      <c r="Q762" s="109">
        <f>YEAR('BD1'!$N762)</f>
        <v>2025</v>
      </c>
      <c r="R762" s="109">
        <v>1</v>
      </c>
      <c r="S762" s="109" t="s">
        <v>138</v>
      </c>
      <c r="T762" s="109" t="s">
        <v>138</v>
      </c>
      <c r="U762" s="109" t="s">
        <v>138</v>
      </c>
      <c r="V762" s="109" t="s">
        <v>138</v>
      </c>
      <c r="W762" s="109" t="s">
        <v>138</v>
      </c>
      <c r="X762" s="109" t="s">
        <v>138</v>
      </c>
      <c r="Y762" s="109" t="s">
        <v>138</v>
      </c>
      <c r="Z762" s="109" t="s">
        <v>138</v>
      </c>
      <c r="AA762" s="109">
        <v>83.5</v>
      </c>
      <c r="AB762" s="109">
        <v>41.2</v>
      </c>
      <c r="AC762" s="110" t="s">
        <v>967</v>
      </c>
      <c r="AD762" s="110" t="s">
        <v>2436</v>
      </c>
      <c r="AE762" s="109">
        <f t="shared" si="34"/>
        <v>8</v>
      </c>
      <c r="AF762" s="151" t="str">
        <f t="shared" si="33"/>
        <v>Estable</v>
      </c>
    </row>
    <row r="763" spans="1:32" x14ac:dyDescent="0.2">
      <c r="A763" s="112">
        <v>260</v>
      </c>
      <c r="B763" s="113" t="s">
        <v>1204</v>
      </c>
      <c r="C763" s="114" t="s">
        <v>429</v>
      </c>
      <c r="D763" s="114" t="s">
        <v>17</v>
      </c>
      <c r="E763" s="115" t="s">
        <v>2027</v>
      </c>
      <c r="F763" s="115" t="s">
        <v>2028</v>
      </c>
      <c r="G763" s="115" t="s">
        <v>2354</v>
      </c>
      <c r="H763" s="113" t="s">
        <v>1922</v>
      </c>
      <c r="I763" s="114">
        <v>20.666969999999999</v>
      </c>
      <c r="J763" s="114">
        <v>-101.37375</v>
      </c>
      <c r="K763" s="113" t="s">
        <v>139</v>
      </c>
      <c r="L763" s="116" t="str">
        <f t="shared" si="35"/>
        <v>Ver en Google Maps</v>
      </c>
      <c r="M763" s="113">
        <v>1</v>
      </c>
      <c r="N763" s="117">
        <v>45942</v>
      </c>
      <c r="O763" s="118">
        <f>DAY('BD1'!$N763)</f>
        <v>12</v>
      </c>
      <c r="P763" s="118">
        <f>MONTH('BD1'!$N763)</f>
        <v>10</v>
      </c>
      <c r="Q763" s="118">
        <f>YEAR('BD1'!$N763)</f>
        <v>2025</v>
      </c>
      <c r="R763" s="118">
        <v>1</v>
      </c>
      <c r="S763" s="118" t="s">
        <v>138</v>
      </c>
      <c r="T763" s="118" t="s">
        <v>138</v>
      </c>
      <c r="U763" s="118" t="s">
        <v>138</v>
      </c>
      <c r="V763" s="118" t="s">
        <v>138</v>
      </c>
      <c r="W763" s="118" t="s">
        <v>138</v>
      </c>
      <c r="X763" s="118" t="s">
        <v>138</v>
      </c>
      <c r="Y763" s="118" t="s">
        <v>138</v>
      </c>
      <c r="Z763" s="118" t="s">
        <v>138</v>
      </c>
      <c r="AA763" s="118">
        <v>60.3</v>
      </c>
      <c r="AB763" s="118">
        <v>64</v>
      </c>
      <c r="AC763" s="119" t="s">
        <v>967</v>
      </c>
      <c r="AD763" s="119" t="s">
        <v>2436</v>
      </c>
      <c r="AE763" s="118">
        <f t="shared" si="34"/>
        <v>8</v>
      </c>
      <c r="AF763" s="152" t="str">
        <f t="shared" si="33"/>
        <v>Estable</v>
      </c>
    </row>
    <row r="764" spans="1:32" x14ac:dyDescent="0.2">
      <c r="A764" s="121">
        <v>273</v>
      </c>
      <c r="B764" s="122" t="s">
        <v>1204</v>
      </c>
      <c r="C764" s="123" t="s">
        <v>429</v>
      </c>
      <c r="D764" s="123" t="s">
        <v>17</v>
      </c>
      <c r="E764" s="124" t="s">
        <v>2029</v>
      </c>
      <c r="F764" s="124" t="s">
        <v>2030</v>
      </c>
      <c r="G764" s="124" t="s">
        <v>2306</v>
      </c>
      <c r="H764" s="122" t="s">
        <v>1922</v>
      </c>
      <c r="I764" s="123">
        <v>20.670750000000002</v>
      </c>
      <c r="J764" s="123">
        <v>-101.33136</v>
      </c>
      <c r="K764" s="122"/>
      <c r="L764" s="125" t="str">
        <f t="shared" si="35"/>
        <v>Ver en Google Maps</v>
      </c>
      <c r="M764" s="122">
        <v>1</v>
      </c>
      <c r="N764" s="130"/>
      <c r="O764" s="109"/>
      <c r="P764" s="109"/>
      <c r="Q764" s="109"/>
      <c r="R764" s="109"/>
      <c r="S764" s="109"/>
      <c r="T764" s="109"/>
      <c r="U764" s="109"/>
      <c r="V764" s="109"/>
      <c r="W764" s="109"/>
      <c r="X764" s="109"/>
      <c r="Y764" s="109"/>
      <c r="Z764" s="109"/>
      <c r="AA764" s="109"/>
      <c r="AB764" s="109"/>
      <c r="AC764" s="110"/>
      <c r="AD764" s="110"/>
      <c r="AE764" s="109"/>
      <c r="AF764" s="151"/>
    </row>
    <row r="765" spans="1:32" x14ac:dyDescent="0.2">
      <c r="A765" s="112">
        <v>279</v>
      </c>
      <c r="B765" s="113" t="s">
        <v>1204</v>
      </c>
      <c r="C765" s="114" t="s">
        <v>429</v>
      </c>
      <c r="D765" s="114" t="s">
        <v>17</v>
      </c>
      <c r="E765" s="115" t="s">
        <v>2031</v>
      </c>
      <c r="F765" s="115" t="s">
        <v>2032</v>
      </c>
      <c r="G765" s="115" t="s">
        <v>2355</v>
      </c>
      <c r="H765" s="113" t="s">
        <v>1922</v>
      </c>
      <c r="I765" s="114">
        <v>20.661359999999998</v>
      </c>
      <c r="J765" s="114">
        <v>-101.38478000000001</v>
      </c>
      <c r="K765" s="113"/>
      <c r="L765" s="116" t="str">
        <f t="shared" si="35"/>
        <v>Ver en Google Maps</v>
      </c>
      <c r="M765" s="113">
        <v>2</v>
      </c>
      <c r="N765" s="129"/>
      <c r="O765" s="118"/>
      <c r="P765" s="118"/>
      <c r="Q765" s="118"/>
      <c r="R765" s="118"/>
      <c r="S765" s="118"/>
      <c r="T765" s="118"/>
      <c r="U765" s="118"/>
      <c r="V765" s="118"/>
      <c r="W765" s="118"/>
      <c r="X765" s="118"/>
      <c r="Y765" s="118"/>
      <c r="Z765" s="118"/>
      <c r="AA765" s="118"/>
      <c r="AB765" s="118"/>
      <c r="AC765" s="119"/>
      <c r="AD765" s="119"/>
      <c r="AE765" s="118"/>
      <c r="AF765" s="152"/>
    </row>
    <row r="766" spans="1:32" x14ac:dyDescent="0.2">
      <c r="A766" s="121">
        <v>284</v>
      </c>
      <c r="B766" s="122" t="s">
        <v>1204</v>
      </c>
      <c r="C766" s="123" t="s">
        <v>429</v>
      </c>
      <c r="D766" s="123" t="s">
        <v>17</v>
      </c>
      <c r="E766" s="124" t="s">
        <v>2033</v>
      </c>
      <c r="F766" s="124" t="s">
        <v>2034</v>
      </c>
      <c r="G766" s="124" t="s">
        <v>2356</v>
      </c>
      <c r="H766" s="122" t="s">
        <v>1922</v>
      </c>
      <c r="I766" s="123">
        <v>20.685890000000001</v>
      </c>
      <c r="J766" s="123">
        <v>-101.32355</v>
      </c>
      <c r="K766" s="122"/>
      <c r="L766" s="125" t="str">
        <f t="shared" si="35"/>
        <v>Ver en Google Maps</v>
      </c>
      <c r="M766" s="122">
        <v>1</v>
      </c>
      <c r="N766" s="130"/>
      <c r="O766" s="109"/>
      <c r="P766" s="109"/>
      <c r="Q766" s="109"/>
      <c r="R766" s="109"/>
      <c r="S766" s="109"/>
      <c r="T766" s="109"/>
      <c r="U766" s="109"/>
      <c r="V766" s="109"/>
      <c r="W766" s="109"/>
      <c r="X766" s="109"/>
      <c r="Y766" s="109"/>
      <c r="Z766" s="109"/>
      <c r="AA766" s="109"/>
      <c r="AB766" s="109"/>
      <c r="AC766" s="110"/>
      <c r="AD766" s="110"/>
      <c r="AE766" s="109"/>
      <c r="AF766" s="151"/>
    </row>
    <row r="767" spans="1:32" x14ac:dyDescent="0.2">
      <c r="A767" s="112">
        <v>291</v>
      </c>
      <c r="B767" s="113" t="s">
        <v>1204</v>
      </c>
      <c r="C767" s="114" t="s">
        <v>429</v>
      </c>
      <c r="D767" s="114" t="s">
        <v>16</v>
      </c>
      <c r="E767" s="115" t="s">
        <v>2035</v>
      </c>
      <c r="F767" s="115" t="s">
        <v>2036</v>
      </c>
      <c r="G767" s="115" t="s">
        <v>2357</v>
      </c>
      <c r="H767" s="113" t="s">
        <v>1922</v>
      </c>
      <c r="I767" s="114">
        <v>20.660530000000001</v>
      </c>
      <c r="J767" s="114">
        <v>-101.37173</v>
      </c>
      <c r="K767" s="113" t="s">
        <v>139</v>
      </c>
      <c r="L767" s="116" t="str">
        <f t="shared" si="35"/>
        <v>Ver en Google Maps</v>
      </c>
      <c r="M767" s="113">
        <v>1</v>
      </c>
      <c r="N767" s="117">
        <v>45942</v>
      </c>
      <c r="O767" s="118">
        <f>DAY('BD1'!$N767)</f>
        <v>12</v>
      </c>
      <c r="P767" s="118">
        <f>MONTH('BD1'!$N767)</f>
        <v>10</v>
      </c>
      <c r="Q767" s="118">
        <f>YEAR('BD1'!$N767)</f>
        <v>2025</v>
      </c>
      <c r="R767" s="118">
        <v>1</v>
      </c>
      <c r="S767" s="118" t="s">
        <v>138</v>
      </c>
      <c r="T767" s="118" t="s">
        <v>138</v>
      </c>
      <c r="U767" s="118" t="s">
        <v>138</v>
      </c>
      <c r="V767" s="118" t="s">
        <v>138</v>
      </c>
      <c r="W767" s="118" t="s">
        <v>138</v>
      </c>
      <c r="X767" s="118" t="s">
        <v>138</v>
      </c>
      <c r="Y767" s="118" t="s">
        <v>934</v>
      </c>
      <c r="Z767" s="118" t="s">
        <v>934</v>
      </c>
      <c r="AA767" s="118">
        <v>0</v>
      </c>
      <c r="AB767" s="118">
        <v>0</v>
      </c>
      <c r="AC767" s="119" t="s">
        <v>2444</v>
      </c>
      <c r="AD767" s="119" t="s">
        <v>2436</v>
      </c>
      <c r="AE767" s="118">
        <f t="shared" si="34"/>
        <v>6</v>
      </c>
      <c r="AF767" s="152" t="str">
        <f t="shared" si="33"/>
        <v>Funcional con observaciones</v>
      </c>
    </row>
    <row r="768" spans="1:32" x14ac:dyDescent="0.2">
      <c r="A768" s="121">
        <v>306</v>
      </c>
      <c r="B768" s="122" t="s">
        <v>1204</v>
      </c>
      <c r="C768" s="123" t="s">
        <v>429</v>
      </c>
      <c r="D768" s="123" t="s">
        <v>16</v>
      </c>
      <c r="E768" s="124" t="s">
        <v>2037</v>
      </c>
      <c r="F768" s="124" t="s">
        <v>2038</v>
      </c>
      <c r="G768" s="124" t="s">
        <v>2338</v>
      </c>
      <c r="H768" s="122" t="s">
        <v>1922</v>
      </c>
      <c r="I768" s="123">
        <v>20.69903</v>
      </c>
      <c r="J768" s="123">
        <v>-101.34875</v>
      </c>
      <c r="K768" s="122"/>
      <c r="L768" s="125" t="str">
        <f t="shared" si="35"/>
        <v>Ver en Google Maps</v>
      </c>
      <c r="M768" s="122">
        <v>1</v>
      </c>
      <c r="N768" s="130"/>
      <c r="O768" s="109"/>
      <c r="P768" s="109"/>
      <c r="Q768" s="109"/>
      <c r="R768" s="109"/>
      <c r="S768" s="109"/>
      <c r="T768" s="109"/>
      <c r="U768" s="109"/>
      <c r="V768" s="109"/>
      <c r="W768" s="109"/>
      <c r="X768" s="109"/>
      <c r="Y768" s="109"/>
      <c r="Z768" s="109"/>
      <c r="AA768" s="109"/>
      <c r="AB768" s="109"/>
      <c r="AC768" s="110"/>
      <c r="AD768" s="110"/>
      <c r="AE768" s="109"/>
      <c r="AF768" s="151"/>
    </row>
    <row r="769" spans="1:32" x14ac:dyDescent="0.2">
      <c r="A769" s="112">
        <v>308</v>
      </c>
      <c r="B769" s="113" t="s">
        <v>1204</v>
      </c>
      <c r="C769" s="114" t="s">
        <v>429</v>
      </c>
      <c r="D769" s="114" t="s">
        <v>16</v>
      </c>
      <c r="E769" s="115" t="s">
        <v>2039</v>
      </c>
      <c r="F769" s="115" t="s">
        <v>2040</v>
      </c>
      <c r="G769" s="115" t="s">
        <v>1787</v>
      </c>
      <c r="H769" s="113" t="s">
        <v>1922</v>
      </c>
      <c r="I769" s="114">
        <v>20.66647</v>
      </c>
      <c r="J769" s="114">
        <v>-101.33839</v>
      </c>
      <c r="K769" s="113"/>
      <c r="L769" s="116" t="str">
        <f t="shared" si="35"/>
        <v>Ver en Google Maps</v>
      </c>
      <c r="M769" s="113">
        <v>1</v>
      </c>
      <c r="N769" s="129"/>
      <c r="O769" s="118"/>
      <c r="P769" s="118"/>
      <c r="Q769" s="118"/>
      <c r="R769" s="118"/>
      <c r="S769" s="118"/>
      <c r="T769" s="118"/>
      <c r="U769" s="118"/>
      <c r="V769" s="118"/>
      <c r="W769" s="118"/>
      <c r="X769" s="118"/>
      <c r="Y769" s="118"/>
      <c r="Z769" s="118"/>
      <c r="AA769" s="118"/>
      <c r="AB769" s="118"/>
      <c r="AC769" s="119"/>
      <c r="AD769" s="119"/>
      <c r="AE769" s="118"/>
      <c r="AF769" s="152"/>
    </row>
    <row r="770" spans="1:32" x14ac:dyDescent="0.2">
      <c r="A770" s="121">
        <v>311</v>
      </c>
      <c r="B770" s="122" t="s">
        <v>1204</v>
      </c>
      <c r="C770" s="123" t="s">
        <v>429</v>
      </c>
      <c r="D770" s="123" t="s">
        <v>16</v>
      </c>
      <c r="E770" s="124" t="s">
        <v>2041</v>
      </c>
      <c r="F770" s="124" t="s">
        <v>2042</v>
      </c>
      <c r="G770" s="124" t="s">
        <v>2358</v>
      </c>
      <c r="H770" s="122" t="s">
        <v>1922</v>
      </c>
      <c r="I770" s="123">
        <v>20.666815</v>
      </c>
      <c r="J770" s="123">
        <v>-101.362737</v>
      </c>
      <c r="K770" s="122"/>
      <c r="L770" s="125" t="str">
        <f t="shared" si="35"/>
        <v>Ver en Google Maps</v>
      </c>
      <c r="M770" s="122">
        <v>1</v>
      </c>
      <c r="N770" s="130"/>
      <c r="O770" s="109"/>
      <c r="P770" s="109"/>
      <c r="Q770" s="109"/>
      <c r="R770" s="109"/>
      <c r="S770" s="109"/>
      <c r="T770" s="109"/>
      <c r="U770" s="109"/>
      <c r="V770" s="109"/>
      <c r="W770" s="109"/>
      <c r="X770" s="109"/>
      <c r="Y770" s="109"/>
      <c r="Z770" s="109"/>
      <c r="AA770" s="109"/>
      <c r="AB770" s="109"/>
      <c r="AC770" s="110"/>
      <c r="AD770" s="110"/>
      <c r="AE770" s="109"/>
      <c r="AF770" s="151"/>
    </row>
    <row r="771" spans="1:32" x14ac:dyDescent="0.2">
      <c r="A771" s="112">
        <v>325</v>
      </c>
      <c r="B771" s="113" t="s">
        <v>1204</v>
      </c>
      <c r="C771" s="114" t="s">
        <v>429</v>
      </c>
      <c r="D771" s="114" t="s">
        <v>16</v>
      </c>
      <c r="E771" s="115" t="s">
        <v>2043</v>
      </c>
      <c r="F771" s="115" t="s">
        <v>2044</v>
      </c>
      <c r="G771" s="115" t="s">
        <v>1302</v>
      </c>
      <c r="H771" s="113" t="s">
        <v>1922</v>
      </c>
      <c r="I771" s="114">
        <v>20.681214000000001</v>
      </c>
      <c r="J771" s="114">
        <v>-101.34328600000001</v>
      </c>
      <c r="K771" s="113"/>
      <c r="L771" s="116" t="str">
        <f t="shared" si="35"/>
        <v>Ver en Google Maps</v>
      </c>
      <c r="M771" s="113">
        <v>1</v>
      </c>
      <c r="N771" s="129"/>
      <c r="O771" s="118"/>
      <c r="P771" s="118"/>
      <c r="Q771" s="118"/>
      <c r="R771" s="118"/>
      <c r="S771" s="118"/>
      <c r="T771" s="118"/>
      <c r="U771" s="118"/>
      <c r="V771" s="118"/>
      <c r="W771" s="118"/>
      <c r="X771" s="118"/>
      <c r="Y771" s="118"/>
      <c r="Z771" s="118"/>
      <c r="AA771" s="118"/>
      <c r="AB771" s="118"/>
      <c r="AC771" s="119"/>
      <c r="AD771" s="119"/>
      <c r="AE771" s="118"/>
      <c r="AF771" s="152"/>
    </row>
    <row r="772" spans="1:32" x14ac:dyDescent="0.2">
      <c r="A772" s="121">
        <v>326</v>
      </c>
      <c r="B772" s="122" t="s">
        <v>1204</v>
      </c>
      <c r="C772" s="123" t="s">
        <v>429</v>
      </c>
      <c r="D772" s="123" t="s">
        <v>336</v>
      </c>
      <c r="E772" s="124" t="s">
        <v>2045</v>
      </c>
      <c r="F772" s="124" t="s">
        <v>2046</v>
      </c>
      <c r="G772" s="124" t="s">
        <v>2308</v>
      </c>
      <c r="H772" s="122" t="s">
        <v>1922</v>
      </c>
      <c r="I772" s="123">
        <v>20.753430000000002</v>
      </c>
      <c r="J772" s="123">
        <v>-101.33101000000001</v>
      </c>
      <c r="K772" s="122"/>
      <c r="L772" s="125" t="str">
        <f t="shared" si="35"/>
        <v>Ver en Google Maps</v>
      </c>
      <c r="M772" s="122">
        <v>2</v>
      </c>
      <c r="N772" s="130"/>
      <c r="O772" s="109"/>
      <c r="P772" s="109"/>
      <c r="Q772" s="109"/>
      <c r="R772" s="109"/>
      <c r="S772" s="109"/>
      <c r="T772" s="109"/>
      <c r="U772" s="109"/>
      <c r="V772" s="109"/>
      <c r="W772" s="109"/>
      <c r="X772" s="109"/>
      <c r="Y772" s="109"/>
      <c r="Z772" s="109"/>
      <c r="AA772" s="109"/>
      <c r="AB772" s="109"/>
      <c r="AC772" s="110"/>
      <c r="AD772" s="110"/>
      <c r="AE772" s="109"/>
      <c r="AF772" s="151"/>
    </row>
    <row r="773" spans="1:32" x14ac:dyDescent="0.2">
      <c r="A773" s="112">
        <v>331</v>
      </c>
      <c r="B773" s="113" t="s">
        <v>1204</v>
      </c>
      <c r="C773" s="114" t="s">
        <v>429</v>
      </c>
      <c r="D773" s="114" t="s">
        <v>16</v>
      </c>
      <c r="E773" s="115" t="s">
        <v>2047</v>
      </c>
      <c r="F773" s="115" t="s">
        <v>2048</v>
      </c>
      <c r="G773" s="115" t="s">
        <v>2313</v>
      </c>
      <c r="H773" s="113" t="s">
        <v>1922</v>
      </c>
      <c r="I773" s="114">
        <v>20.667390000000001</v>
      </c>
      <c r="J773" s="114">
        <v>-101.35203</v>
      </c>
      <c r="K773" s="113"/>
      <c r="L773" s="116" t="str">
        <f t="shared" si="35"/>
        <v>Ver en Google Maps</v>
      </c>
      <c r="M773" s="113">
        <v>2</v>
      </c>
      <c r="N773" s="129"/>
      <c r="O773" s="118"/>
      <c r="P773" s="118"/>
      <c r="Q773" s="118"/>
      <c r="R773" s="118"/>
      <c r="S773" s="118"/>
      <c r="T773" s="118"/>
      <c r="U773" s="118"/>
      <c r="V773" s="118"/>
      <c r="W773" s="118"/>
      <c r="X773" s="118"/>
      <c r="Y773" s="118"/>
      <c r="Z773" s="118"/>
      <c r="AA773" s="118"/>
      <c r="AB773" s="118"/>
      <c r="AC773" s="119"/>
      <c r="AD773" s="119"/>
      <c r="AE773" s="118"/>
      <c r="AF773" s="152"/>
    </row>
    <row r="774" spans="1:32" x14ac:dyDescent="0.2">
      <c r="A774" s="121">
        <v>332</v>
      </c>
      <c r="B774" s="122" t="s">
        <v>1204</v>
      </c>
      <c r="C774" s="123" t="s">
        <v>429</v>
      </c>
      <c r="D774" s="123" t="s">
        <v>16</v>
      </c>
      <c r="E774" s="124" t="s">
        <v>2049</v>
      </c>
      <c r="F774" s="124" t="s">
        <v>2050</v>
      </c>
      <c r="G774" s="124" t="s">
        <v>2359</v>
      </c>
      <c r="H774" s="122" t="s">
        <v>1922</v>
      </c>
      <c r="I774" s="123">
        <v>20.67164</v>
      </c>
      <c r="J774" s="123">
        <v>-101.35802</v>
      </c>
      <c r="K774" s="122"/>
      <c r="L774" s="125" t="str">
        <f t="shared" si="35"/>
        <v>Ver en Google Maps</v>
      </c>
      <c r="M774" s="122">
        <v>1</v>
      </c>
      <c r="N774" s="130"/>
      <c r="O774" s="109"/>
      <c r="P774" s="109"/>
      <c r="Q774" s="109"/>
      <c r="R774" s="109"/>
      <c r="S774" s="109"/>
      <c r="T774" s="109"/>
      <c r="U774" s="109"/>
      <c r="V774" s="109"/>
      <c r="W774" s="109"/>
      <c r="X774" s="109"/>
      <c r="Y774" s="109"/>
      <c r="Z774" s="109"/>
      <c r="AA774" s="109"/>
      <c r="AB774" s="109"/>
      <c r="AC774" s="110"/>
      <c r="AD774" s="110"/>
      <c r="AE774" s="109"/>
      <c r="AF774" s="151"/>
    </row>
    <row r="775" spans="1:32" x14ac:dyDescent="0.2">
      <c r="A775" s="112">
        <v>338</v>
      </c>
      <c r="B775" s="113" t="s">
        <v>1204</v>
      </c>
      <c r="C775" s="114" t="s">
        <v>429</v>
      </c>
      <c r="D775" s="114" t="s">
        <v>16</v>
      </c>
      <c r="E775" s="115" t="s">
        <v>2051</v>
      </c>
      <c r="F775" s="115" t="s">
        <v>2052</v>
      </c>
      <c r="G775" s="115" t="s">
        <v>2359</v>
      </c>
      <c r="H775" s="113" t="s">
        <v>1922</v>
      </c>
      <c r="I775" s="114">
        <v>20.67436</v>
      </c>
      <c r="J775" s="114">
        <v>-101.35833</v>
      </c>
      <c r="K775" s="113"/>
      <c r="L775" s="116" t="str">
        <f t="shared" si="35"/>
        <v>Ver en Google Maps</v>
      </c>
      <c r="M775" s="113">
        <v>1</v>
      </c>
      <c r="N775" s="129"/>
      <c r="O775" s="118"/>
      <c r="P775" s="118"/>
      <c r="Q775" s="118"/>
      <c r="R775" s="118"/>
      <c r="S775" s="118"/>
      <c r="T775" s="118"/>
      <c r="U775" s="118"/>
      <c r="V775" s="118"/>
      <c r="W775" s="118"/>
      <c r="X775" s="118"/>
      <c r="Y775" s="118"/>
      <c r="Z775" s="118"/>
      <c r="AA775" s="118"/>
      <c r="AB775" s="118"/>
      <c r="AC775" s="119"/>
      <c r="AD775" s="119"/>
      <c r="AE775" s="118"/>
      <c r="AF775" s="152"/>
    </row>
    <row r="776" spans="1:32" x14ac:dyDescent="0.2">
      <c r="A776" s="121">
        <v>343</v>
      </c>
      <c r="B776" s="122" t="s">
        <v>1204</v>
      </c>
      <c r="C776" s="123" t="s">
        <v>429</v>
      </c>
      <c r="D776" s="123" t="s">
        <v>16</v>
      </c>
      <c r="E776" s="124" t="s">
        <v>2053</v>
      </c>
      <c r="F776" s="124" t="s">
        <v>2054</v>
      </c>
      <c r="G776" s="124" t="s">
        <v>2323</v>
      </c>
      <c r="H776" s="122" t="s">
        <v>1922</v>
      </c>
      <c r="I776" s="123">
        <v>20.691800000000001</v>
      </c>
      <c r="J776" s="123">
        <v>-101.35460999999999</v>
      </c>
      <c r="K776" s="122"/>
      <c r="L776" s="125" t="str">
        <f t="shared" si="35"/>
        <v>Ver en Google Maps</v>
      </c>
      <c r="M776" s="122">
        <v>2</v>
      </c>
      <c r="N776" s="130"/>
      <c r="O776" s="109"/>
      <c r="P776" s="109"/>
      <c r="Q776" s="109"/>
      <c r="R776" s="109"/>
      <c r="S776" s="109"/>
      <c r="T776" s="109"/>
      <c r="U776" s="109"/>
      <c r="V776" s="109"/>
      <c r="W776" s="109"/>
      <c r="X776" s="109"/>
      <c r="Y776" s="109"/>
      <c r="Z776" s="109"/>
      <c r="AA776" s="109"/>
      <c r="AB776" s="109"/>
      <c r="AC776" s="110"/>
      <c r="AD776" s="110"/>
      <c r="AE776" s="109"/>
      <c r="AF776" s="151"/>
    </row>
    <row r="777" spans="1:32" x14ac:dyDescent="0.2">
      <c r="A777" s="112">
        <v>344</v>
      </c>
      <c r="B777" s="113" t="s">
        <v>1204</v>
      </c>
      <c r="C777" s="114" t="s">
        <v>429</v>
      </c>
      <c r="D777" s="114" t="s">
        <v>16</v>
      </c>
      <c r="E777" s="115" t="s">
        <v>2055</v>
      </c>
      <c r="F777" s="115" t="s">
        <v>2056</v>
      </c>
      <c r="G777" s="115" t="s">
        <v>975</v>
      </c>
      <c r="H777" s="113" t="s">
        <v>1922</v>
      </c>
      <c r="I777" s="114">
        <v>20.701775999999999</v>
      </c>
      <c r="J777" s="114">
        <v>-101.35429499999999</v>
      </c>
      <c r="K777" s="113"/>
      <c r="L777" s="116" t="str">
        <f t="shared" si="35"/>
        <v>Ver en Google Maps</v>
      </c>
      <c r="M777" s="113">
        <v>1</v>
      </c>
      <c r="N777" s="129"/>
      <c r="O777" s="118"/>
      <c r="P777" s="118"/>
      <c r="Q777" s="118"/>
      <c r="R777" s="118"/>
      <c r="S777" s="118"/>
      <c r="T777" s="118"/>
      <c r="U777" s="118"/>
      <c r="V777" s="118"/>
      <c r="W777" s="118"/>
      <c r="X777" s="118"/>
      <c r="Y777" s="118"/>
      <c r="Z777" s="118"/>
      <c r="AA777" s="118"/>
      <c r="AB777" s="118"/>
      <c r="AC777" s="119"/>
      <c r="AD777" s="119"/>
      <c r="AE777" s="118"/>
      <c r="AF777" s="152"/>
    </row>
    <row r="778" spans="1:32" x14ac:dyDescent="0.2">
      <c r="A778" s="121">
        <v>347</v>
      </c>
      <c r="B778" s="122" t="s">
        <v>1204</v>
      </c>
      <c r="C778" s="123" t="s">
        <v>429</v>
      </c>
      <c r="D778" s="123" t="s">
        <v>16</v>
      </c>
      <c r="E778" s="124" t="s">
        <v>2057</v>
      </c>
      <c r="F778" s="124" t="s">
        <v>2058</v>
      </c>
      <c r="G778" s="124" t="s">
        <v>2346</v>
      </c>
      <c r="H778" s="122" t="s">
        <v>1922</v>
      </c>
      <c r="I778" s="123">
        <v>20.722809999999999</v>
      </c>
      <c r="J778" s="123">
        <v>-101.37</v>
      </c>
      <c r="K778" s="122"/>
      <c r="L778" s="125" t="str">
        <f t="shared" si="35"/>
        <v>Ver en Google Maps</v>
      </c>
      <c r="M778" s="122">
        <v>1</v>
      </c>
      <c r="N778" s="130"/>
      <c r="O778" s="109"/>
      <c r="P778" s="109"/>
      <c r="Q778" s="109"/>
      <c r="R778" s="109"/>
      <c r="S778" s="109"/>
      <c r="T778" s="109"/>
      <c r="U778" s="109"/>
      <c r="V778" s="109"/>
      <c r="W778" s="109"/>
      <c r="X778" s="109"/>
      <c r="Y778" s="109"/>
      <c r="Z778" s="109"/>
      <c r="AA778" s="109"/>
      <c r="AB778" s="109"/>
      <c r="AC778" s="110"/>
      <c r="AD778" s="110"/>
      <c r="AE778" s="109"/>
      <c r="AF778" s="151"/>
    </row>
    <row r="779" spans="1:32" x14ac:dyDescent="0.2">
      <c r="A779" s="112">
        <v>362</v>
      </c>
      <c r="B779" s="113" t="s">
        <v>1204</v>
      </c>
      <c r="C779" s="114" t="s">
        <v>429</v>
      </c>
      <c r="D779" s="114" t="s">
        <v>16</v>
      </c>
      <c r="E779" s="115" t="s">
        <v>2059</v>
      </c>
      <c r="F779" s="115" t="s">
        <v>2060</v>
      </c>
      <c r="G779" s="115" t="s">
        <v>2360</v>
      </c>
      <c r="H779" s="113" t="s">
        <v>1922</v>
      </c>
      <c r="I779" s="114">
        <v>20.682753000000002</v>
      </c>
      <c r="J779" s="114">
        <v>-101.361751</v>
      </c>
      <c r="K779" s="113"/>
      <c r="L779" s="116" t="str">
        <f t="shared" si="35"/>
        <v>Ver en Google Maps</v>
      </c>
      <c r="M779" s="113">
        <v>2</v>
      </c>
      <c r="N779" s="129"/>
      <c r="O779" s="118"/>
      <c r="P779" s="118"/>
      <c r="Q779" s="118"/>
      <c r="R779" s="118"/>
      <c r="S779" s="118"/>
      <c r="T779" s="118"/>
      <c r="U779" s="118"/>
      <c r="V779" s="118"/>
      <c r="W779" s="118"/>
      <c r="X779" s="118"/>
      <c r="Y779" s="118"/>
      <c r="Z779" s="118"/>
      <c r="AA779" s="118"/>
      <c r="AB779" s="118"/>
      <c r="AC779" s="119"/>
      <c r="AD779" s="119"/>
      <c r="AE779" s="118"/>
      <c r="AF779" s="152"/>
    </row>
    <row r="780" spans="1:32" x14ac:dyDescent="0.2">
      <c r="A780" s="121">
        <v>363</v>
      </c>
      <c r="B780" s="122" t="s">
        <v>1204</v>
      </c>
      <c r="C780" s="123" t="s">
        <v>429</v>
      </c>
      <c r="D780" s="123" t="s">
        <v>16</v>
      </c>
      <c r="E780" s="124" t="s">
        <v>2061</v>
      </c>
      <c r="F780" s="124" t="s">
        <v>2062</v>
      </c>
      <c r="G780" s="124" t="s">
        <v>2361</v>
      </c>
      <c r="H780" s="122" t="s">
        <v>1922</v>
      </c>
      <c r="I780" s="123">
        <v>20.716280000000001</v>
      </c>
      <c r="J780" s="123">
        <v>-101.36964</v>
      </c>
      <c r="K780" s="122"/>
      <c r="L780" s="125" t="str">
        <f t="shared" si="35"/>
        <v>Ver en Google Maps</v>
      </c>
      <c r="M780" s="122">
        <v>1</v>
      </c>
      <c r="N780" s="130"/>
      <c r="O780" s="109"/>
      <c r="P780" s="109"/>
      <c r="Q780" s="109"/>
      <c r="R780" s="109"/>
      <c r="S780" s="109"/>
      <c r="T780" s="109"/>
      <c r="U780" s="109"/>
      <c r="V780" s="109"/>
      <c r="W780" s="109"/>
      <c r="X780" s="109"/>
      <c r="Y780" s="109"/>
      <c r="Z780" s="109"/>
      <c r="AA780" s="109"/>
      <c r="AB780" s="109"/>
      <c r="AC780" s="110"/>
      <c r="AD780" s="110"/>
      <c r="AE780" s="109"/>
      <c r="AF780" s="151"/>
    </row>
    <row r="781" spans="1:32" x14ac:dyDescent="0.2">
      <c r="A781" s="112">
        <v>375</v>
      </c>
      <c r="B781" s="113" t="s">
        <v>1204</v>
      </c>
      <c r="C781" s="114" t="s">
        <v>429</v>
      </c>
      <c r="D781" s="114" t="s">
        <v>16</v>
      </c>
      <c r="E781" s="115" t="s">
        <v>2063</v>
      </c>
      <c r="F781" s="115" t="s">
        <v>2064</v>
      </c>
      <c r="G781" s="115" t="s">
        <v>1302</v>
      </c>
      <c r="H781" s="113" t="s">
        <v>1922</v>
      </c>
      <c r="I781" s="114">
        <v>20.66628</v>
      </c>
      <c r="J781" s="114">
        <v>-101.36836</v>
      </c>
      <c r="K781" s="113"/>
      <c r="L781" s="116" t="str">
        <f t="shared" si="35"/>
        <v>Ver en Google Maps</v>
      </c>
      <c r="M781" s="113">
        <v>1</v>
      </c>
      <c r="N781" s="129"/>
      <c r="O781" s="118"/>
      <c r="P781" s="118"/>
      <c r="Q781" s="118"/>
      <c r="R781" s="118"/>
      <c r="S781" s="118"/>
      <c r="T781" s="118"/>
      <c r="U781" s="118"/>
      <c r="V781" s="118"/>
      <c r="W781" s="118"/>
      <c r="X781" s="118"/>
      <c r="Y781" s="118"/>
      <c r="Z781" s="118"/>
      <c r="AA781" s="118"/>
      <c r="AB781" s="118"/>
      <c r="AC781" s="119"/>
      <c r="AD781" s="119"/>
      <c r="AE781" s="118"/>
      <c r="AF781" s="152"/>
    </row>
    <row r="782" spans="1:32" x14ac:dyDescent="0.2">
      <c r="A782" s="121">
        <v>377</v>
      </c>
      <c r="B782" s="122" t="s">
        <v>1204</v>
      </c>
      <c r="C782" s="123" t="s">
        <v>429</v>
      </c>
      <c r="D782" s="123" t="s">
        <v>16</v>
      </c>
      <c r="E782" s="124" t="s">
        <v>2065</v>
      </c>
      <c r="F782" s="124" t="s">
        <v>2066</v>
      </c>
      <c r="G782" s="124" t="s">
        <v>2362</v>
      </c>
      <c r="H782" s="122" t="s">
        <v>1922</v>
      </c>
      <c r="I782" s="123">
        <v>20.68817</v>
      </c>
      <c r="J782" s="123">
        <v>-101.36911000000001</v>
      </c>
      <c r="K782" s="122"/>
      <c r="L782" s="125" t="str">
        <f t="shared" si="35"/>
        <v>Ver en Google Maps</v>
      </c>
      <c r="M782" s="122">
        <v>1</v>
      </c>
      <c r="N782" s="130"/>
      <c r="O782" s="109"/>
      <c r="P782" s="109"/>
      <c r="Q782" s="109"/>
      <c r="R782" s="109"/>
      <c r="S782" s="109"/>
      <c r="T782" s="109"/>
      <c r="U782" s="109"/>
      <c r="V782" s="109"/>
      <c r="W782" s="109"/>
      <c r="X782" s="109"/>
      <c r="Y782" s="109"/>
      <c r="Z782" s="109"/>
      <c r="AA782" s="109"/>
      <c r="AB782" s="109"/>
      <c r="AC782" s="110"/>
      <c r="AD782" s="110"/>
      <c r="AE782" s="109"/>
      <c r="AF782" s="151"/>
    </row>
    <row r="783" spans="1:32" x14ac:dyDescent="0.2">
      <c r="A783" s="112">
        <v>378</v>
      </c>
      <c r="B783" s="113" t="s">
        <v>1204</v>
      </c>
      <c r="C783" s="114" t="s">
        <v>429</v>
      </c>
      <c r="D783" s="114" t="s">
        <v>16</v>
      </c>
      <c r="E783" s="115" t="s">
        <v>2067</v>
      </c>
      <c r="F783" s="115" t="s">
        <v>2068</v>
      </c>
      <c r="G783" s="115" t="s">
        <v>1022</v>
      </c>
      <c r="H783" s="113" t="s">
        <v>1922</v>
      </c>
      <c r="I783" s="114">
        <v>20.66011</v>
      </c>
      <c r="J783" s="114">
        <v>-101.32925</v>
      </c>
      <c r="K783" s="113"/>
      <c r="L783" s="116" t="str">
        <f t="shared" ref="L783:L846" si="36">HYPERLINK("https://www.google.com/maps?q=" &amp; I783 &amp; "," &amp; J783, "Ver en Google Maps")</f>
        <v>Ver en Google Maps</v>
      </c>
      <c r="M783" s="113">
        <v>1</v>
      </c>
      <c r="N783" s="129"/>
      <c r="O783" s="118"/>
      <c r="P783" s="118"/>
      <c r="Q783" s="118"/>
      <c r="R783" s="118"/>
      <c r="S783" s="118"/>
      <c r="T783" s="118"/>
      <c r="U783" s="118"/>
      <c r="V783" s="118"/>
      <c r="W783" s="118"/>
      <c r="X783" s="118"/>
      <c r="Y783" s="118"/>
      <c r="Z783" s="118"/>
      <c r="AA783" s="118"/>
      <c r="AB783" s="118"/>
      <c r="AC783" s="119"/>
      <c r="AD783" s="119"/>
      <c r="AE783" s="118"/>
      <c r="AF783" s="152"/>
    </row>
    <row r="784" spans="1:32" x14ac:dyDescent="0.2">
      <c r="A784" s="121">
        <v>379</v>
      </c>
      <c r="B784" s="122" t="s">
        <v>1204</v>
      </c>
      <c r="C784" s="123" t="s">
        <v>429</v>
      </c>
      <c r="D784" s="123" t="s">
        <v>16</v>
      </c>
      <c r="E784" s="124" t="s">
        <v>2069</v>
      </c>
      <c r="F784" s="124" t="s">
        <v>2070</v>
      </c>
      <c r="G784" s="124" t="s">
        <v>2363</v>
      </c>
      <c r="H784" s="122" t="s">
        <v>1922</v>
      </c>
      <c r="I784" s="123">
        <v>20.679462999999998</v>
      </c>
      <c r="J784" s="123">
        <v>-101.35194300000001</v>
      </c>
      <c r="K784" s="122"/>
      <c r="L784" s="125" t="str">
        <f t="shared" si="36"/>
        <v>Ver en Google Maps</v>
      </c>
      <c r="M784" s="122">
        <v>1</v>
      </c>
      <c r="N784" s="130"/>
      <c r="O784" s="109"/>
      <c r="P784" s="109"/>
      <c r="Q784" s="109"/>
      <c r="R784" s="109"/>
      <c r="S784" s="109"/>
      <c r="T784" s="109"/>
      <c r="U784" s="109"/>
      <c r="V784" s="109"/>
      <c r="W784" s="109"/>
      <c r="X784" s="109"/>
      <c r="Y784" s="109"/>
      <c r="Z784" s="109"/>
      <c r="AA784" s="109"/>
      <c r="AB784" s="109"/>
      <c r="AC784" s="110"/>
      <c r="AD784" s="110"/>
      <c r="AE784" s="109"/>
      <c r="AF784" s="151"/>
    </row>
    <row r="785" spans="1:32" x14ac:dyDescent="0.2">
      <c r="A785" s="112">
        <v>393</v>
      </c>
      <c r="B785" s="113" t="s">
        <v>1204</v>
      </c>
      <c r="C785" s="114" t="s">
        <v>429</v>
      </c>
      <c r="D785" s="114" t="s">
        <v>16</v>
      </c>
      <c r="E785" s="115" t="s">
        <v>2071</v>
      </c>
      <c r="F785" s="115" t="s">
        <v>2072</v>
      </c>
      <c r="G785" s="115" t="s">
        <v>2364</v>
      </c>
      <c r="H785" s="113" t="s">
        <v>1922</v>
      </c>
      <c r="I785" s="114">
        <v>20.686579999999999</v>
      </c>
      <c r="J785" s="114">
        <v>-101.34186</v>
      </c>
      <c r="K785" s="113"/>
      <c r="L785" s="116" t="str">
        <f t="shared" si="36"/>
        <v>Ver en Google Maps</v>
      </c>
      <c r="M785" s="113">
        <v>1</v>
      </c>
      <c r="N785" s="129"/>
      <c r="O785" s="118"/>
      <c r="P785" s="118"/>
      <c r="Q785" s="118"/>
      <c r="R785" s="118"/>
      <c r="S785" s="118"/>
      <c r="T785" s="118"/>
      <c r="U785" s="118"/>
      <c r="V785" s="118"/>
      <c r="W785" s="118"/>
      <c r="X785" s="118"/>
      <c r="Y785" s="118"/>
      <c r="Z785" s="118"/>
      <c r="AA785" s="118"/>
      <c r="AB785" s="118"/>
      <c r="AC785" s="119"/>
      <c r="AD785" s="119"/>
      <c r="AE785" s="118"/>
      <c r="AF785" s="152"/>
    </row>
    <row r="786" spans="1:32" x14ac:dyDescent="0.2">
      <c r="A786" s="121">
        <v>406</v>
      </c>
      <c r="B786" s="122" t="s">
        <v>1204</v>
      </c>
      <c r="C786" s="123" t="s">
        <v>429</v>
      </c>
      <c r="D786" s="123" t="s">
        <v>16</v>
      </c>
      <c r="E786" s="124" t="s">
        <v>2073</v>
      </c>
      <c r="F786" s="124" t="s">
        <v>2074</v>
      </c>
      <c r="G786" s="124" t="s">
        <v>2341</v>
      </c>
      <c r="H786" s="122" t="s">
        <v>1922</v>
      </c>
      <c r="I786" s="123">
        <v>20.659437</v>
      </c>
      <c r="J786" s="123">
        <v>-101.364617</v>
      </c>
      <c r="K786" s="122"/>
      <c r="L786" s="125" t="str">
        <f t="shared" si="36"/>
        <v>Ver en Google Maps</v>
      </c>
      <c r="M786" s="122">
        <v>2</v>
      </c>
      <c r="N786" s="130"/>
      <c r="O786" s="109"/>
      <c r="P786" s="109"/>
      <c r="Q786" s="109"/>
      <c r="R786" s="109"/>
      <c r="S786" s="109"/>
      <c r="T786" s="109"/>
      <c r="U786" s="109"/>
      <c r="V786" s="109"/>
      <c r="W786" s="109"/>
      <c r="X786" s="109"/>
      <c r="Y786" s="109"/>
      <c r="Z786" s="109"/>
      <c r="AA786" s="109"/>
      <c r="AB786" s="109"/>
      <c r="AC786" s="110"/>
      <c r="AD786" s="110"/>
      <c r="AE786" s="109"/>
      <c r="AF786" s="151"/>
    </row>
    <row r="787" spans="1:32" x14ac:dyDescent="0.2">
      <c r="A787" s="112">
        <v>411</v>
      </c>
      <c r="B787" s="113" t="s">
        <v>1204</v>
      </c>
      <c r="C787" s="114" t="s">
        <v>429</v>
      </c>
      <c r="D787" s="114" t="s">
        <v>16</v>
      </c>
      <c r="E787" s="115" t="s">
        <v>2075</v>
      </c>
      <c r="F787" s="115" t="s">
        <v>2076</v>
      </c>
      <c r="G787" s="115" t="s">
        <v>2365</v>
      </c>
      <c r="H787" s="113" t="s">
        <v>1922</v>
      </c>
      <c r="I787" s="114">
        <v>20.69969</v>
      </c>
      <c r="J787" s="114">
        <v>-101.36324999999999</v>
      </c>
      <c r="K787" s="113"/>
      <c r="L787" s="116" t="str">
        <f t="shared" si="36"/>
        <v>Ver en Google Maps</v>
      </c>
      <c r="M787" s="113">
        <v>1</v>
      </c>
      <c r="N787" s="129"/>
      <c r="O787" s="118"/>
      <c r="P787" s="118"/>
      <c r="Q787" s="118"/>
      <c r="R787" s="118"/>
      <c r="S787" s="118"/>
      <c r="T787" s="118"/>
      <c r="U787" s="118"/>
      <c r="V787" s="118"/>
      <c r="W787" s="118"/>
      <c r="X787" s="118"/>
      <c r="Y787" s="118"/>
      <c r="Z787" s="118"/>
      <c r="AA787" s="118"/>
      <c r="AB787" s="118"/>
      <c r="AC787" s="119"/>
      <c r="AD787" s="119"/>
      <c r="AE787" s="118"/>
      <c r="AF787" s="152"/>
    </row>
    <row r="788" spans="1:32" x14ac:dyDescent="0.2">
      <c r="A788" s="121">
        <v>415</v>
      </c>
      <c r="B788" s="122" t="s">
        <v>1204</v>
      </c>
      <c r="C788" s="123" t="s">
        <v>429</v>
      </c>
      <c r="D788" s="123" t="s">
        <v>16</v>
      </c>
      <c r="E788" s="124" t="s">
        <v>2077</v>
      </c>
      <c r="F788" s="124" t="s">
        <v>2078</v>
      </c>
      <c r="G788" s="124" t="s">
        <v>2366</v>
      </c>
      <c r="H788" s="122" t="s">
        <v>1922</v>
      </c>
      <c r="I788" s="123">
        <v>20.660333000000001</v>
      </c>
      <c r="J788" s="123">
        <v>-101.352296</v>
      </c>
      <c r="K788" s="122"/>
      <c r="L788" s="125" t="str">
        <f t="shared" si="36"/>
        <v>Ver en Google Maps</v>
      </c>
      <c r="M788" s="122">
        <v>1</v>
      </c>
      <c r="N788" s="130"/>
      <c r="O788" s="109"/>
      <c r="P788" s="109"/>
      <c r="Q788" s="109"/>
      <c r="R788" s="109"/>
      <c r="S788" s="109"/>
      <c r="T788" s="109"/>
      <c r="U788" s="109"/>
      <c r="V788" s="109"/>
      <c r="W788" s="109"/>
      <c r="X788" s="109"/>
      <c r="Y788" s="109"/>
      <c r="Z788" s="109"/>
      <c r="AA788" s="109"/>
      <c r="AB788" s="109"/>
      <c r="AC788" s="110"/>
      <c r="AD788" s="110"/>
      <c r="AE788" s="109"/>
      <c r="AF788" s="151"/>
    </row>
    <row r="789" spans="1:32" x14ac:dyDescent="0.2">
      <c r="A789" s="112">
        <v>424</v>
      </c>
      <c r="B789" s="113" t="s">
        <v>1204</v>
      </c>
      <c r="C789" s="114" t="s">
        <v>429</v>
      </c>
      <c r="D789" s="114" t="s">
        <v>16</v>
      </c>
      <c r="E789" s="115" t="s">
        <v>2079</v>
      </c>
      <c r="F789" s="115" t="s">
        <v>2080</v>
      </c>
      <c r="G789" s="115" t="s">
        <v>2367</v>
      </c>
      <c r="H789" s="113" t="s">
        <v>1922</v>
      </c>
      <c r="I789" s="114" t="s">
        <v>2081</v>
      </c>
      <c r="J789" s="114">
        <v>-101.337311</v>
      </c>
      <c r="K789" s="113"/>
      <c r="L789" s="116" t="str">
        <f t="shared" si="36"/>
        <v>Ver en Google Maps</v>
      </c>
      <c r="M789" s="113">
        <v>1</v>
      </c>
      <c r="N789" s="129"/>
      <c r="O789" s="118"/>
      <c r="P789" s="118"/>
      <c r="Q789" s="118"/>
      <c r="R789" s="118"/>
      <c r="S789" s="118"/>
      <c r="T789" s="118"/>
      <c r="U789" s="118"/>
      <c r="V789" s="118"/>
      <c r="W789" s="118"/>
      <c r="X789" s="118"/>
      <c r="Y789" s="118"/>
      <c r="Z789" s="118"/>
      <c r="AA789" s="118"/>
      <c r="AB789" s="118"/>
      <c r="AC789" s="119"/>
      <c r="AD789" s="119"/>
      <c r="AE789" s="118"/>
      <c r="AF789" s="152"/>
    </row>
    <row r="790" spans="1:32" x14ac:dyDescent="0.2">
      <c r="A790" s="121">
        <v>426</v>
      </c>
      <c r="B790" s="122" t="s">
        <v>1204</v>
      </c>
      <c r="C790" s="123" t="s">
        <v>429</v>
      </c>
      <c r="D790" s="123" t="s">
        <v>16</v>
      </c>
      <c r="E790" s="124" t="s">
        <v>2082</v>
      </c>
      <c r="F790" s="124" t="s">
        <v>2083</v>
      </c>
      <c r="G790" s="124" t="s">
        <v>1853</v>
      </c>
      <c r="H790" s="122" t="s">
        <v>1922</v>
      </c>
      <c r="I790" s="123">
        <v>20.665783999999999</v>
      </c>
      <c r="J790" s="123">
        <v>-101.372298</v>
      </c>
      <c r="K790" s="122" t="s">
        <v>139</v>
      </c>
      <c r="L790" s="125" t="str">
        <f t="shared" si="36"/>
        <v>Ver en Google Maps</v>
      </c>
      <c r="M790" s="122">
        <v>1</v>
      </c>
      <c r="N790" s="108">
        <v>45942</v>
      </c>
      <c r="O790" s="109">
        <f>DAY('BD1'!$N790)</f>
        <v>12</v>
      </c>
      <c r="P790" s="109">
        <f>MONTH('BD1'!$N790)</f>
        <v>10</v>
      </c>
      <c r="Q790" s="109">
        <f>YEAR('BD1'!$N790)</f>
        <v>2025</v>
      </c>
      <c r="R790" s="109">
        <v>1</v>
      </c>
      <c r="S790" s="109" t="s">
        <v>138</v>
      </c>
      <c r="T790" s="109" t="s">
        <v>138</v>
      </c>
      <c r="U790" s="109" t="s">
        <v>138</v>
      </c>
      <c r="V790" s="109" t="s">
        <v>138</v>
      </c>
      <c r="W790" s="109" t="s">
        <v>138</v>
      </c>
      <c r="X790" s="109" t="s">
        <v>138</v>
      </c>
      <c r="Y790" s="109" t="s">
        <v>138</v>
      </c>
      <c r="Z790" s="109" t="s">
        <v>138</v>
      </c>
      <c r="AA790" s="109">
        <v>35.6</v>
      </c>
      <c r="AB790" s="109">
        <v>17.100000000000001</v>
      </c>
      <c r="AC790" s="110" t="s">
        <v>967</v>
      </c>
      <c r="AD790" s="110" t="s">
        <v>2436</v>
      </c>
      <c r="AE790" s="109">
        <f t="shared" ref="AE790:AE819" si="37">COUNTIF(S790:Z790, "si")</f>
        <v>8</v>
      </c>
      <c r="AF790" s="151" t="str">
        <f t="shared" ref="AF770:AF833" si="38">IF(AE790=8,"Estable",(IF(AE790=7,"Funcional con observaciones", (IF(AE790=6,"Funcional con observaciones",(IF(AE790=5,"Rendimiento bajo",(IF(AE790=4,"Parcialmente funcional",(IF(AE790=3,"Parcialmente funcional",(IF(AE790=2,"Inoperativo",(IF(AE790=1,"Inoperativo","Crítico")))))))))))))))</f>
        <v>Estable</v>
      </c>
    </row>
    <row r="791" spans="1:32" x14ac:dyDescent="0.2">
      <c r="A791" s="112">
        <v>427</v>
      </c>
      <c r="B791" s="113" t="s">
        <v>1204</v>
      </c>
      <c r="C791" s="114" t="s">
        <v>429</v>
      </c>
      <c r="D791" s="114" t="s">
        <v>16</v>
      </c>
      <c r="E791" s="115" t="s">
        <v>2084</v>
      </c>
      <c r="F791" s="115" t="s">
        <v>2085</v>
      </c>
      <c r="G791" s="115" t="s">
        <v>2327</v>
      </c>
      <c r="H791" s="113" t="s">
        <v>1922</v>
      </c>
      <c r="I791" s="114">
        <v>20.67231</v>
      </c>
      <c r="J791" s="114">
        <v>-101.37730000000001</v>
      </c>
      <c r="K791" s="113" t="s">
        <v>139</v>
      </c>
      <c r="L791" s="116" t="str">
        <f t="shared" si="36"/>
        <v>Ver en Google Maps</v>
      </c>
      <c r="M791" s="113">
        <v>2</v>
      </c>
      <c r="N791" s="117">
        <v>45942</v>
      </c>
      <c r="O791" s="118">
        <f>DAY('BD1'!$N791)</f>
        <v>12</v>
      </c>
      <c r="P791" s="118">
        <f>MONTH('BD1'!$N791)</f>
        <v>10</v>
      </c>
      <c r="Q791" s="118">
        <f>YEAR('BD1'!$N791)</f>
        <v>2025</v>
      </c>
      <c r="R791" s="118">
        <v>1</v>
      </c>
      <c r="S791" s="118" t="s">
        <v>138</v>
      </c>
      <c r="T791" s="118" t="s">
        <v>138</v>
      </c>
      <c r="U791" s="118" t="s">
        <v>138</v>
      </c>
      <c r="V791" s="118" t="s">
        <v>138</v>
      </c>
      <c r="W791" s="118" t="s">
        <v>138</v>
      </c>
      <c r="X791" s="118" t="s">
        <v>138</v>
      </c>
      <c r="Y791" s="118" t="s">
        <v>138</v>
      </c>
      <c r="Z791" s="118" t="s">
        <v>934</v>
      </c>
      <c r="AA791" s="118">
        <v>11.5</v>
      </c>
      <c r="AB791" s="118">
        <v>13.6</v>
      </c>
      <c r="AC791" s="119" t="s">
        <v>2446</v>
      </c>
      <c r="AD791" s="119" t="s">
        <v>2436</v>
      </c>
      <c r="AE791" s="118">
        <f t="shared" si="37"/>
        <v>7</v>
      </c>
      <c r="AF791" s="152" t="str">
        <f t="shared" si="38"/>
        <v>Funcional con observaciones</v>
      </c>
    </row>
    <row r="792" spans="1:32" x14ac:dyDescent="0.2">
      <c r="A792" s="121">
        <v>446</v>
      </c>
      <c r="B792" s="122" t="s">
        <v>1204</v>
      </c>
      <c r="C792" s="123" t="s">
        <v>429</v>
      </c>
      <c r="D792" s="123" t="s">
        <v>16</v>
      </c>
      <c r="E792" s="124" t="s">
        <v>2086</v>
      </c>
      <c r="F792" s="124" t="s">
        <v>2087</v>
      </c>
      <c r="G792" s="124" t="s">
        <v>2368</v>
      </c>
      <c r="H792" s="122" t="s">
        <v>1922</v>
      </c>
      <c r="I792" s="123">
        <v>20.66281</v>
      </c>
      <c r="J792" s="123">
        <v>-101.35791999999999</v>
      </c>
      <c r="K792" s="122"/>
      <c r="L792" s="125" t="str">
        <f t="shared" si="36"/>
        <v>Ver en Google Maps</v>
      </c>
      <c r="M792" s="122">
        <v>2</v>
      </c>
      <c r="N792" s="130"/>
      <c r="O792" s="109"/>
      <c r="P792" s="109"/>
      <c r="Q792" s="109"/>
      <c r="R792" s="109"/>
      <c r="S792" s="109"/>
      <c r="T792" s="109"/>
      <c r="U792" s="109"/>
      <c r="V792" s="109"/>
      <c r="W792" s="109"/>
      <c r="X792" s="109"/>
      <c r="Y792" s="109"/>
      <c r="Z792" s="109"/>
      <c r="AA792" s="109"/>
      <c r="AB792" s="109"/>
      <c r="AC792" s="110"/>
      <c r="AD792" s="110"/>
      <c r="AE792" s="109"/>
      <c r="AF792" s="151"/>
    </row>
    <row r="793" spans="1:32" x14ac:dyDescent="0.2">
      <c r="A793" s="112">
        <v>450</v>
      </c>
      <c r="B793" s="113" t="s">
        <v>1204</v>
      </c>
      <c r="C793" s="114" t="s">
        <v>429</v>
      </c>
      <c r="D793" s="114" t="s">
        <v>16</v>
      </c>
      <c r="E793" s="115" t="s">
        <v>2088</v>
      </c>
      <c r="F793" s="115" t="s">
        <v>2089</v>
      </c>
      <c r="G793" s="115" t="s">
        <v>2369</v>
      </c>
      <c r="H793" s="113" t="s">
        <v>1922</v>
      </c>
      <c r="I793" s="114">
        <v>20.682700000000001</v>
      </c>
      <c r="J793" s="114">
        <v>-101.37317</v>
      </c>
      <c r="K793" s="113"/>
      <c r="L793" s="116" t="str">
        <f t="shared" si="36"/>
        <v>Ver en Google Maps</v>
      </c>
      <c r="M793" s="113">
        <v>2</v>
      </c>
      <c r="N793" s="129"/>
      <c r="O793" s="118"/>
      <c r="P793" s="118"/>
      <c r="Q793" s="118"/>
      <c r="R793" s="118"/>
      <c r="S793" s="118"/>
      <c r="T793" s="118"/>
      <c r="U793" s="118"/>
      <c r="V793" s="118"/>
      <c r="W793" s="118"/>
      <c r="X793" s="118"/>
      <c r="Y793" s="118"/>
      <c r="Z793" s="118"/>
      <c r="AA793" s="118"/>
      <c r="AB793" s="118"/>
      <c r="AC793" s="119"/>
      <c r="AD793" s="119"/>
      <c r="AE793" s="118"/>
      <c r="AF793" s="152"/>
    </row>
    <row r="794" spans="1:32" x14ac:dyDescent="0.2">
      <c r="A794" s="121">
        <v>452</v>
      </c>
      <c r="B794" s="122" t="s">
        <v>1204</v>
      </c>
      <c r="C794" s="123" t="s">
        <v>429</v>
      </c>
      <c r="D794" s="123" t="s">
        <v>16</v>
      </c>
      <c r="E794" s="124" t="s">
        <v>2090</v>
      </c>
      <c r="F794" s="124" t="s">
        <v>2091</v>
      </c>
      <c r="G794" s="124" t="s">
        <v>2370</v>
      </c>
      <c r="H794" s="122" t="s">
        <v>1922</v>
      </c>
      <c r="I794" s="123">
        <v>20.661816999999999</v>
      </c>
      <c r="J794" s="123">
        <v>-101.38460600000001</v>
      </c>
      <c r="K794" s="122"/>
      <c r="L794" s="125" t="str">
        <f t="shared" si="36"/>
        <v>Ver en Google Maps</v>
      </c>
      <c r="M794" s="122">
        <v>1</v>
      </c>
      <c r="N794" s="130"/>
      <c r="O794" s="109"/>
      <c r="P794" s="109"/>
      <c r="Q794" s="109"/>
      <c r="R794" s="109"/>
      <c r="S794" s="109"/>
      <c r="T794" s="109"/>
      <c r="U794" s="109"/>
      <c r="V794" s="109"/>
      <c r="W794" s="109"/>
      <c r="X794" s="109"/>
      <c r="Y794" s="109"/>
      <c r="Z794" s="109"/>
      <c r="AA794" s="109"/>
      <c r="AB794" s="109"/>
      <c r="AC794" s="110"/>
      <c r="AD794" s="110"/>
      <c r="AE794" s="109"/>
      <c r="AF794" s="151"/>
    </row>
    <row r="795" spans="1:32" x14ac:dyDescent="0.2">
      <c r="A795" s="112">
        <v>455</v>
      </c>
      <c r="B795" s="113" t="s">
        <v>1204</v>
      </c>
      <c r="C795" s="114" t="s">
        <v>429</v>
      </c>
      <c r="D795" s="114" t="s">
        <v>16</v>
      </c>
      <c r="E795" s="115" t="s">
        <v>2092</v>
      </c>
      <c r="F795" s="115" t="s">
        <v>2093</v>
      </c>
      <c r="G795" s="115" t="s">
        <v>2371</v>
      </c>
      <c r="H795" s="113" t="s">
        <v>1922</v>
      </c>
      <c r="I795" s="114">
        <v>20.661860999999998</v>
      </c>
      <c r="J795" s="114">
        <v>-101.369837</v>
      </c>
      <c r="K795" s="113" t="s">
        <v>139</v>
      </c>
      <c r="L795" s="116" t="str">
        <f t="shared" si="36"/>
        <v>Ver en Google Maps</v>
      </c>
      <c r="M795" s="113">
        <v>2</v>
      </c>
      <c r="N795" s="117">
        <v>45942</v>
      </c>
      <c r="O795" s="118">
        <f>DAY('BD1'!$N795)</f>
        <v>12</v>
      </c>
      <c r="P795" s="118">
        <f>MONTH('BD1'!$N795)</f>
        <v>10</v>
      </c>
      <c r="Q795" s="118">
        <f>YEAR('BD1'!$N795)</f>
        <v>2025</v>
      </c>
      <c r="R795" s="118">
        <v>1</v>
      </c>
      <c r="S795" s="118" t="s">
        <v>138</v>
      </c>
      <c r="T795" s="118" t="s">
        <v>138</v>
      </c>
      <c r="U795" s="118" t="s">
        <v>138</v>
      </c>
      <c r="V795" s="118" t="s">
        <v>138</v>
      </c>
      <c r="W795" s="118" t="s">
        <v>138</v>
      </c>
      <c r="X795" s="118" t="s">
        <v>138</v>
      </c>
      <c r="Y795" s="118" t="s">
        <v>138</v>
      </c>
      <c r="Z795" s="118" t="s">
        <v>138</v>
      </c>
      <c r="AA795" s="118">
        <v>19.5</v>
      </c>
      <c r="AB795" s="118">
        <v>9.4</v>
      </c>
      <c r="AC795" s="119" t="s">
        <v>967</v>
      </c>
      <c r="AD795" s="119" t="s">
        <v>2436</v>
      </c>
      <c r="AE795" s="118">
        <f t="shared" si="37"/>
        <v>8</v>
      </c>
      <c r="AF795" s="152" t="str">
        <f t="shared" si="38"/>
        <v>Estable</v>
      </c>
    </row>
    <row r="796" spans="1:32" x14ac:dyDescent="0.2">
      <c r="A796" s="121">
        <v>457</v>
      </c>
      <c r="B796" s="122" t="s">
        <v>1204</v>
      </c>
      <c r="C796" s="123" t="s">
        <v>429</v>
      </c>
      <c r="D796" s="123" t="s">
        <v>16</v>
      </c>
      <c r="E796" s="124" t="s">
        <v>2094</v>
      </c>
      <c r="F796" s="124" t="s">
        <v>2095</v>
      </c>
      <c r="G796" s="124" t="s">
        <v>2372</v>
      </c>
      <c r="H796" s="122" t="s">
        <v>1922</v>
      </c>
      <c r="I796" s="123">
        <v>20.654145</v>
      </c>
      <c r="J796" s="123">
        <v>-101.372378</v>
      </c>
      <c r="K796" s="122"/>
      <c r="L796" s="125" t="str">
        <f t="shared" si="36"/>
        <v>Ver en Google Maps</v>
      </c>
      <c r="M796" s="122">
        <v>1</v>
      </c>
      <c r="N796" s="130"/>
      <c r="O796" s="109"/>
      <c r="P796" s="109"/>
      <c r="Q796" s="109"/>
      <c r="R796" s="109"/>
      <c r="S796" s="109"/>
      <c r="T796" s="109"/>
      <c r="U796" s="109"/>
      <c r="V796" s="109"/>
      <c r="W796" s="109"/>
      <c r="X796" s="109"/>
      <c r="Y796" s="109"/>
      <c r="Z796" s="109"/>
      <c r="AA796" s="109"/>
      <c r="AB796" s="109"/>
      <c r="AC796" s="110"/>
      <c r="AD796" s="110"/>
      <c r="AE796" s="109"/>
      <c r="AF796" s="151"/>
    </row>
    <row r="797" spans="1:32" x14ac:dyDescent="0.2">
      <c r="A797" s="112">
        <v>460</v>
      </c>
      <c r="B797" s="113" t="s">
        <v>1204</v>
      </c>
      <c r="C797" s="114" t="s">
        <v>429</v>
      </c>
      <c r="D797" s="114" t="s">
        <v>16</v>
      </c>
      <c r="E797" s="115" t="s">
        <v>2096</v>
      </c>
      <c r="F797" s="115" t="s">
        <v>2097</v>
      </c>
      <c r="G797" s="115" t="s">
        <v>2326</v>
      </c>
      <c r="H797" s="113" t="s">
        <v>1922</v>
      </c>
      <c r="I797" s="114">
        <v>20.700199999999999</v>
      </c>
      <c r="J797" s="114">
        <v>-101.36836</v>
      </c>
      <c r="K797" s="113"/>
      <c r="L797" s="116" t="str">
        <f t="shared" si="36"/>
        <v>Ver en Google Maps</v>
      </c>
      <c r="M797" s="113">
        <v>1</v>
      </c>
      <c r="N797" s="129"/>
      <c r="O797" s="118"/>
      <c r="P797" s="118"/>
      <c r="Q797" s="118"/>
      <c r="R797" s="118"/>
      <c r="S797" s="118"/>
      <c r="T797" s="118"/>
      <c r="U797" s="118"/>
      <c r="V797" s="118"/>
      <c r="W797" s="118"/>
      <c r="X797" s="118"/>
      <c r="Y797" s="118"/>
      <c r="Z797" s="118"/>
      <c r="AA797" s="118"/>
      <c r="AB797" s="118"/>
      <c r="AC797" s="119"/>
      <c r="AD797" s="119"/>
      <c r="AE797" s="118"/>
      <c r="AF797" s="152"/>
    </row>
    <row r="798" spans="1:32" x14ac:dyDescent="0.2">
      <c r="A798" s="121">
        <v>467</v>
      </c>
      <c r="B798" s="122" t="s">
        <v>1204</v>
      </c>
      <c r="C798" s="123" t="s">
        <v>429</v>
      </c>
      <c r="D798" s="123" t="s">
        <v>16</v>
      </c>
      <c r="E798" s="124" t="s">
        <v>2098</v>
      </c>
      <c r="F798" s="124" t="s">
        <v>2099</v>
      </c>
      <c r="G798" s="124" t="s">
        <v>2373</v>
      </c>
      <c r="H798" s="122" t="s">
        <v>1922</v>
      </c>
      <c r="I798" s="123">
        <v>20.653670000000002</v>
      </c>
      <c r="J798" s="123">
        <v>-101.36078000000001</v>
      </c>
      <c r="K798" s="122" t="s">
        <v>139</v>
      </c>
      <c r="L798" s="125" t="str">
        <f t="shared" si="36"/>
        <v>Ver en Google Maps</v>
      </c>
      <c r="M798" s="122">
        <v>2</v>
      </c>
      <c r="N798" s="108">
        <v>45942</v>
      </c>
      <c r="O798" s="109">
        <f>DAY('BD1'!$N798)</f>
        <v>12</v>
      </c>
      <c r="P798" s="109">
        <f>MONTH('BD1'!$N798)</f>
        <v>10</v>
      </c>
      <c r="Q798" s="109">
        <f>YEAR('BD1'!$N798)</f>
        <v>2025</v>
      </c>
      <c r="R798" s="109">
        <v>1</v>
      </c>
      <c r="S798" s="109" t="s">
        <v>138</v>
      </c>
      <c r="T798" s="109" t="s">
        <v>138</v>
      </c>
      <c r="U798" s="109" t="s">
        <v>138</v>
      </c>
      <c r="V798" s="109" t="s">
        <v>138</v>
      </c>
      <c r="W798" s="109" t="s">
        <v>138</v>
      </c>
      <c r="X798" s="109" t="s">
        <v>138</v>
      </c>
      <c r="Y798" s="109" t="s">
        <v>138</v>
      </c>
      <c r="Z798" s="109" t="s">
        <v>934</v>
      </c>
      <c r="AA798" s="109">
        <v>5.91</v>
      </c>
      <c r="AB798" s="109">
        <v>2.0299999999999998</v>
      </c>
      <c r="AC798" s="110" t="s">
        <v>2441</v>
      </c>
      <c r="AD798" s="110" t="s">
        <v>2436</v>
      </c>
      <c r="AE798" s="109">
        <f t="shared" si="37"/>
        <v>7</v>
      </c>
      <c r="AF798" s="151" t="str">
        <f t="shared" si="38"/>
        <v>Funcional con observaciones</v>
      </c>
    </row>
    <row r="799" spans="1:32" x14ac:dyDescent="0.2">
      <c r="A799" s="112">
        <v>471</v>
      </c>
      <c r="B799" s="113" t="s">
        <v>1204</v>
      </c>
      <c r="C799" s="114" t="s">
        <v>429</v>
      </c>
      <c r="D799" s="114" t="s">
        <v>16</v>
      </c>
      <c r="E799" s="115" t="s">
        <v>2100</v>
      </c>
      <c r="F799" s="115" t="s">
        <v>2101</v>
      </c>
      <c r="G799" s="115" t="s">
        <v>2300</v>
      </c>
      <c r="H799" s="113" t="s">
        <v>1922</v>
      </c>
      <c r="I799" s="114">
        <v>20.653939999999999</v>
      </c>
      <c r="J799" s="114">
        <v>-101.34583000000001</v>
      </c>
      <c r="K799" s="113" t="s">
        <v>139</v>
      </c>
      <c r="L799" s="116" t="str">
        <f t="shared" si="36"/>
        <v>Ver en Google Maps</v>
      </c>
      <c r="M799" s="113">
        <v>2</v>
      </c>
      <c r="N799" s="117">
        <v>45941</v>
      </c>
      <c r="O799" s="118">
        <f>DAY('BD1'!$N799)</f>
        <v>11</v>
      </c>
      <c r="P799" s="118">
        <f>MONTH('BD1'!$N799)</f>
        <v>10</v>
      </c>
      <c r="Q799" s="118">
        <f>YEAR('BD1'!$N799)</f>
        <v>2025</v>
      </c>
      <c r="R799" s="118">
        <v>1</v>
      </c>
      <c r="S799" s="118" t="s">
        <v>138</v>
      </c>
      <c r="T799" s="118" t="s">
        <v>138</v>
      </c>
      <c r="U799" s="118" t="s">
        <v>138</v>
      </c>
      <c r="V799" s="118" t="s">
        <v>138</v>
      </c>
      <c r="W799" s="118" t="s">
        <v>138</v>
      </c>
      <c r="X799" s="118" t="s">
        <v>138</v>
      </c>
      <c r="Y799" s="118" t="s">
        <v>138</v>
      </c>
      <c r="Z799" s="118" t="s">
        <v>934</v>
      </c>
      <c r="AA799" s="118">
        <v>1.17</v>
      </c>
      <c r="AB799" s="118">
        <v>0.92</v>
      </c>
      <c r="AC799" s="119" t="s">
        <v>2441</v>
      </c>
      <c r="AD799" s="119" t="s">
        <v>2436</v>
      </c>
      <c r="AE799" s="118">
        <f t="shared" si="37"/>
        <v>7</v>
      </c>
      <c r="AF799" s="152" t="str">
        <f t="shared" si="38"/>
        <v>Funcional con observaciones</v>
      </c>
    </row>
    <row r="800" spans="1:32" x14ac:dyDescent="0.2">
      <c r="A800" s="121">
        <v>497</v>
      </c>
      <c r="B800" s="122" t="s">
        <v>1204</v>
      </c>
      <c r="C800" s="123" t="s">
        <v>429</v>
      </c>
      <c r="D800" s="123" t="s">
        <v>16</v>
      </c>
      <c r="E800" s="124" t="s">
        <v>2102</v>
      </c>
      <c r="F800" s="124" t="s">
        <v>2103</v>
      </c>
      <c r="G800" s="124" t="s">
        <v>2374</v>
      </c>
      <c r="H800" s="122" t="s">
        <v>1922</v>
      </c>
      <c r="I800" s="123">
        <v>20.706859999999999</v>
      </c>
      <c r="J800" s="123">
        <v>-101.37272</v>
      </c>
      <c r="K800" s="122"/>
      <c r="L800" s="125" t="str">
        <f t="shared" si="36"/>
        <v>Ver en Google Maps</v>
      </c>
      <c r="M800" s="122">
        <v>1</v>
      </c>
      <c r="N800" s="130"/>
      <c r="O800" s="109"/>
      <c r="P800" s="109"/>
      <c r="Q800" s="109"/>
      <c r="R800" s="109"/>
      <c r="S800" s="109"/>
      <c r="T800" s="109"/>
      <c r="U800" s="109"/>
      <c r="V800" s="109"/>
      <c r="W800" s="109"/>
      <c r="X800" s="109"/>
      <c r="Y800" s="109"/>
      <c r="Z800" s="109"/>
      <c r="AA800" s="109"/>
      <c r="AB800" s="109"/>
      <c r="AC800" s="110"/>
      <c r="AD800" s="110"/>
      <c r="AE800" s="109"/>
      <c r="AF800" s="151"/>
    </row>
    <row r="801" spans="1:32" x14ac:dyDescent="0.2">
      <c r="A801" s="112">
        <v>506</v>
      </c>
      <c r="B801" s="113" t="s">
        <v>1204</v>
      </c>
      <c r="C801" s="114" t="s">
        <v>429</v>
      </c>
      <c r="D801" s="114" t="s">
        <v>15</v>
      </c>
      <c r="E801" s="115" t="s">
        <v>2104</v>
      </c>
      <c r="F801" s="115" t="s">
        <v>2105</v>
      </c>
      <c r="G801" s="115" t="s">
        <v>2375</v>
      </c>
      <c r="H801" s="113" t="s">
        <v>1922</v>
      </c>
      <c r="I801" s="114">
        <v>20.672329999999999</v>
      </c>
      <c r="J801" s="114">
        <v>-101.36799999999999</v>
      </c>
      <c r="K801" s="113"/>
      <c r="L801" s="116" t="str">
        <f t="shared" si="36"/>
        <v>Ver en Google Maps</v>
      </c>
      <c r="M801" s="113">
        <v>2</v>
      </c>
      <c r="N801" s="129"/>
      <c r="O801" s="118"/>
      <c r="P801" s="118"/>
      <c r="Q801" s="118"/>
      <c r="R801" s="118"/>
      <c r="S801" s="118"/>
      <c r="T801" s="118"/>
      <c r="U801" s="118"/>
      <c r="V801" s="118"/>
      <c r="W801" s="118"/>
      <c r="X801" s="118"/>
      <c r="Y801" s="118"/>
      <c r="Z801" s="118"/>
      <c r="AA801" s="118"/>
      <c r="AB801" s="118"/>
      <c r="AC801" s="119"/>
      <c r="AD801" s="119"/>
      <c r="AE801" s="118"/>
      <c r="AF801" s="152"/>
    </row>
    <row r="802" spans="1:32" x14ac:dyDescent="0.2">
      <c r="A802" s="121">
        <v>509</v>
      </c>
      <c r="B802" s="122" t="s">
        <v>1204</v>
      </c>
      <c r="C802" s="123" t="s">
        <v>429</v>
      </c>
      <c r="D802" s="123" t="s">
        <v>15</v>
      </c>
      <c r="E802" s="124" t="s">
        <v>2106</v>
      </c>
      <c r="F802" s="124" t="s">
        <v>2107</v>
      </c>
      <c r="G802" s="124" t="s">
        <v>2339</v>
      </c>
      <c r="H802" s="122" t="s">
        <v>1922</v>
      </c>
      <c r="I802" s="123">
        <v>20.662140999999998</v>
      </c>
      <c r="J802" s="123">
        <v>-101.353459</v>
      </c>
      <c r="K802" s="122"/>
      <c r="L802" s="125" t="str">
        <f t="shared" si="36"/>
        <v>Ver en Google Maps</v>
      </c>
      <c r="M802" s="122">
        <v>2</v>
      </c>
      <c r="N802" s="130"/>
      <c r="O802" s="109"/>
      <c r="P802" s="109"/>
      <c r="Q802" s="109"/>
      <c r="R802" s="109"/>
      <c r="S802" s="109"/>
      <c r="T802" s="109"/>
      <c r="U802" s="109"/>
      <c r="V802" s="109"/>
      <c r="W802" s="109"/>
      <c r="X802" s="109"/>
      <c r="Y802" s="109"/>
      <c r="Z802" s="109"/>
      <c r="AA802" s="109"/>
      <c r="AB802" s="109"/>
      <c r="AC802" s="110"/>
      <c r="AD802" s="110"/>
      <c r="AE802" s="109"/>
      <c r="AF802" s="151"/>
    </row>
    <row r="803" spans="1:32" x14ac:dyDescent="0.2">
      <c r="A803" s="112">
        <v>515</v>
      </c>
      <c r="B803" s="113" t="s">
        <v>1204</v>
      </c>
      <c r="C803" s="114" t="s">
        <v>429</v>
      </c>
      <c r="D803" s="114" t="s">
        <v>15</v>
      </c>
      <c r="E803" s="115" t="s">
        <v>2108</v>
      </c>
      <c r="F803" s="115" t="s">
        <v>2109</v>
      </c>
      <c r="G803" s="115" t="s">
        <v>2376</v>
      </c>
      <c r="H803" s="113" t="s">
        <v>1922</v>
      </c>
      <c r="I803" s="114">
        <v>20.694859999999998</v>
      </c>
      <c r="J803" s="114">
        <v>-101.36622</v>
      </c>
      <c r="K803" s="113"/>
      <c r="L803" s="116" t="str">
        <f t="shared" si="36"/>
        <v>Ver en Google Maps</v>
      </c>
      <c r="M803" s="113">
        <v>2</v>
      </c>
      <c r="N803" s="129"/>
      <c r="O803" s="118"/>
      <c r="P803" s="118"/>
      <c r="Q803" s="118"/>
      <c r="R803" s="118"/>
      <c r="S803" s="118"/>
      <c r="T803" s="118"/>
      <c r="U803" s="118"/>
      <c r="V803" s="118"/>
      <c r="W803" s="118"/>
      <c r="X803" s="118"/>
      <c r="Y803" s="118"/>
      <c r="Z803" s="118"/>
      <c r="AA803" s="118"/>
      <c r="AB803" s="118"/>
      <c r="AC803" s="119"/>
      <c r="AD803" s="119"/>
      <c r="AE803" s="118"/>
      <c r="AF803" s="152"/>
    </row>
    <row r="804" spans="1:32" x14ac:dyDescent="0.2">
      <c r="A804" s="121">
        <v>518</v>
      </c>
      <c r="B804" s="122" t="s">
        <v>1204</v>
      </c>
      <c r="C804" s="123" t="s">
        <v>429</v>
      </c>
      <c r="D804" s="123" t="s">
        <v>15</v>
      </c>
      <c r="E804" s="124" t="s">
        <v>2110</v>
      </c>
      <c r="F804" s="124" t="s">
        <v>2111</v>
      </c>
      <c r="G804" s="124" t="s">
        <v>2349</v>
      </c>
      <c r="H804" s="122" t="s">
        <v>1922</v>
      </c>
      <c r="I804" s="123">
        <v>20.661397000000001</v>
      </c>
      <c r="J804" s="123">
        <v>-101.365094</v>
      </c>
      <c r="K804" s="122"/>
      <c r="L804" s="125" t="str">
        <f t="shared" si="36"/>
        <v>Ver en Google Maps</v>
      </c>
      <c r="M804" s="122">
        <v>2</v>
      </c>
      <c r="N804" s="130"/>
      <c r="O804" s="109"/>
      <c r="P804" s="109"/>
      <c r="Q804" s="109"/>
      <c r="R804" s="109"/>
      <c r="S804" s="109"/>
      <c r="T804" s="109"/>
      <c r="U804" s="109"/>
      <c r="V804" s="109"/>
      <c r="W804" s="109"/>
      <c r="X804" s="109"/>
      <c r="Y804" s="109"/>
      <c r="Z804" s="109"/>
      <c r="AA804" s="109"/>
      <c r="AB804" s="109"/>
      <c r="AC804" s="110"/>
      <c r="AD804" s="110"/>
      <c r="AE804" s="109"/>
      <c r="AF804" s="151"/>
    </row>
    <row r="805" spans="1:32" x14ac:dyDescent="0.2">
      <c r="A805" s="112">
        <v>520</v>
      </c>
      <c r="B805" s="113" t="s">
        <v>1204</v>
      </c>
      <c r="C805" s="114" t="s">
        <v>429</v>
      </c>
      <c r="D805" s="114" t="s">
        <v>15</v>
      </c>
      <c r="E805" s="115" t="s">
        <v>2112</v>
      </c>
      <c r="F805" s="115" t="s">
        <v>2113</v>
      </c>
      <c r="G805" s="115" t="s">
        <v>2300</v>
      </c>
      <c r="H805" s="113" t="s">
        <v>1922</v>
      </c>
      <c r="I805" s="114">
        <v>20.653549999999999</v>
      </c>
      <c r="J805" s="114">
        <v>-101.34822</v>
      </c>
      <c r="K805" s="113" t="s">
        <v>139</v>
      </c>
      <c r="L805" s="116" t="str">
        <f t="shared" si="36"/>
        <v>Ver en Google Maps</v>
      </c>
      <c r="M805" s="113">
        <v>2</v>
      </c>
      <c r="N805" s="117">
        <v>45941</v>
      </c>
      <c r="O805" s="118">
        <f>DAY('BD1'!$N805)</f>
        <v>11</v>
      </c>
      <c r="P805" s="118">
        <f>MONTH('BD1'!$N805)</f>
        <v>10</v>
      </c>
      <c r="Q805" s="118">
        <f>YEAR('BD1'!$N805)</f>
        <v>2025</v>
      </c>
      <c r="R805" s="118">
        <v>1</v>
      </c>
      <c r="S805" s="118" t="s">
        <v>138</v>
      </c>
      <c r="T805" s="118" t="s">
        <v>138</v>
      </c>
      <c r="U805" s="118" t="s">
        <v>138</v>
      </c>
      <c r="V805" s="118" t="s">
        <v>138</v>
      </c>
      <c r="W805" s="118" t="s">
        <v>138</v>
      </c>
      <c r="X805" s="118" t="s">
        <v>138</v>
      </c>
      <c r="Y805" s="118" t="s">
        <v>138</v>
      </c>
      <c r="Z805" s="118" t="s">
        <v>138</v>
      </c>
      <c r="AA805" s="118">
        <v>3.89</v>
      </c>
      <c r="AB805" s="118">
        <v>2.4700000000000002</v>
      </c>
      <c r="AC805" s="119" t="s">
        <v>2441</v>
      </c>
      <c r="AD805" s="119" t="s">
        <v>2436</v>
      </c>
      <c r="AE805" s="118">
        <f t="shared" si="37"/>
        <v>8</v>
      </c>
      <c r="AF805" s="152" t="str">
        <f t="shared" si="38"/>
        <v>Estable</v>
      </c>
    </row>
    <row r="806" spans="1:32" x14ac:dyDescent="0.2">
      <c r="A806" s="121">
        <v>528</v>
      </c>
      <c r="B806" s="122" t="s">
        <v>1204</v>
      </c>
      <c r="C806" s="123" t="s">
        <v>429</v>
      </c>
      <c r="D806" s="123" t="s">
        <v>15</v>
      </c>
      <c r="E806" s="124" t="s">
        <v>2114</v>
      </c>
      <c r="F806" s="124" t="s">
        <v>2115</v>
      </c>
      <c r="G806" s="124" t="s">
        <v>2376</v>
      </c>
      <c r="H806" s="122" t="s">
        <v>1922</v>
      </c>
      <c r="I806" s="123">
        <v>20.693059999999999</v>
      </c>
      <c r="J806" s="123">
        <v>-101.36536</v>
      </c>
      <c r="K806" s="122"/>
      <c r="L806" s="125" t="str">
        <f t="shared" si="36"/>
        <v>Ver en Google Maps</v>
      </c>
      <c r="M806" s="122">
        <v>2</v>
      </c>
      <c r="N806" s="130"/>
      <c r="O806" s="109"/>
      <c r="P806" s="109"/>
      <c r="Q806" s="109"/>
      <c r="R806" s="109"/>
      <c r="S806" s="109"/>
      <c r="T806" s="109"/>
      <c r="U806" s="109"/>
      <c r="V806" s="109"/>
      <c r="W806" s="109"/>
      <c r="X806" s="109"/>
      <c r="Y806" s="109"/>
      <c r="Z806" s="109"/>
      <c r="AA806" s="109"/>
      <c r="AB806" s="109"/>
      <c r="AC806" s="110"/>
      <c r="AD806" s="110"/>
      <c r="AE806" s="109"/>
      <c r="AF806" s="151"/>
    </row>
    <row r="807" spans="1:32" x14ac:dyDescent="0.2">
      <c r="A807" s="112">
        <v>541</v>
      </c>
      <c r="B807" s="113" t="s">
        <v>1204</v>
      </c>
      <c r="C807" s="114" t="s">
        <v>14</v>
      </c>
      <c r="D807" s="114" t="s">
        <v>404</v>
      </c>
      <c r="E807" s="115" t="s">
        <v>2116</v>
      </c>
      <c r="F807" s="115" t="s">
        <v>2117</v>
      </c>
      <c r="G807" s="115" t="s">
        <v>2377</v>
      </c>
      <c r="H807" s="113" t="s">
        <v>1922</v>
      </c>
      <c r="I807" s="114">
        <v>20.681262</v>
      </c>
      <c r="J807" s="114">
        <v>-101.359807</v>
      </c>
      <c r="K807" s="113"/>
      <c r="L807" s="116" t="str">
        <f t="shared" si="36"/>
        <v>Ver en Google Maps</v>
      </c>
      <c r="M807" s="113">
        <v>2</v>
      </c>
      <c r="N807" s="129"/>
      <c r="O807" s="118"/>
      <c r="P807" s="118"/>
      <c r="Q807" s="118"/>
      <c r="R807" s="118"/>
      <c r="S807" s="118"/>
      <c r="T807" s="118"/>
      <c r="U807" s="118"/>
      <c r="V807" s="118"/>
      <c r="W807" s="118"/>
      <c r="X807" s="118"/>
      <c r="Y807" s="118"/>
      <c r="Z807" s="118"/>
      <c r="AA807" s="118"/>
      <c r="AB807" s="118"/>
      <c r="AC807" s="119"/>
      <c r="AD807" s="119"/>
      <c r="AE807" s="118"/>
      <c r="AF807" s="152"/>
    </row>
    <row r="808" spans="1:32" x14ac:dyDescent="0.2">
      <c r="A808" s="121">
        <v>543</v>
      </c>
      <c r="B808" s="122" t="s">
        <v>1204</v>
      </c>
      <c r="C808" s="123" t="s">
        <v>429</v>
      </c>
      <c r="D808" s="123" t="s">
        <v>15</v>
      </c>
      <c r="E808" s="124" t="s">
        <v>2118</v>
      </c>
      <c r="F808" s="124" t="s">
        <v>2119</v>
      </c>
      <c r="G808" s="124" t="s">
        <v>2378</v>
      </c>
      <c r="H808" s="122" t="s">
        <v>1922</v>
      </c>
      <c r="I808" s="123">
        <v>20.706309999999998</v>
      </c>
      <c r="J808" s="123">
        <v>-101.33812399999999</v>
      </c>
      <c r="K808" s="122"/>
      <c r="L808" s="125" t="str">
        <f t="shared" si="36"/>
        <v>Ver en Google Maps</v>
      </c>
      <c r="M808" s="122">
        <v>2</v>
      </c>
      <c r="N808" s="130"/>
      <c r="O808" s="109"/>
      <c r="P808" s="109"/>
      <c r="Q808" s="109"/>
      <c r="R808" s="109"/>
      <c r="S808" s="109"/>
      <c r="T808" s="109"/>
      <c r="U808" s="109"/>
      <c r="V808" s="109"/>
      <c r="W808" s="109"/>
      <c r="X808" s="109"/>
      <c r="Y808" s="109"/>
      <c r="Z808" s="109"/>
      <c r="AA808" s="109"/>
      <c r="AB808" s="109"/>
      <c r="AC808" s="110"/>
      <c r="AD808" s="110"/>
      <c r="AE808" s="109"/>
      <c r="AF808" s="151"/>
    </row>
    <row r="809" spans="1:32" x14ac:dyDescent="0.2">
      <c r="A809" s="112">
        <v>544</v>
      </c>
      <c r="B809" s="113" t="s">
        <v>1204</v>
      </c>
      <c r="C809" s="114" t="s">
        <v>429</v>
      </c>
      <c r="D809" s="114" t="s">
        <v>17</v>
      </c>
      <c r="E809" s="115" t="s">
        <v>2120</v>
      </c>
      <c r="F809" s="115" t="s">
        <v>2121</v>
      </c>
      <c r="G809" s="115" t="s">
        <v>1008</v>
      </c>
      <c r="H809" s="113" t="s">
        <v>1922</v>
      </c>
      <c r="I809" s="114">
        <v>20.707920000000001</v>
      </c>
      <c r="J809" s="114">
        <v>-101.35545</v>
      </c>
      <c r="K809" s="113"/>
      <c r="L809" s="116" t="str">
        <f t="shared" si="36"/>
        <v>Ver en Google Maps</v>
      </c>
      <c r="M809" s="113">
        <v>1</v>
      </c>
      <c r="N809" s="129"/>
      <c r="O809" s="118"/>
      <c r="P809" s="118"/>
      <c r="Q809" s="118"/>
      <c r="R809" s="118"/>
      <c r="S809" s="118"/>
      <c r="T809" s="118"/>
      <c r="U809" s="118"/>
      <c r="V809" s="118"/>
      <c r="W809" s="118"/>
      <c r="X809" s="118"/>
      <c r="Y809" s="118"/>
      <c r="Z809" s="118"/>
      <c r="AA809" s="118"/>
      <c r="AB809" s="118"/>
      <c r="AC809" s="119"/>
      <c r="AD809" s="119"/>
      <c r="AE809" s="118"/>
      <c r="AF809" s="152"/>
    </row>
    <row r="810" spans="1:32" x14ac:dyDescent="0.2">
      <c r="A810" s="121">
        <v>551</v>
      </c>
      <c r="B810" s="122" t="s">
        <v>1204</v>
      </c>
      <c r="C810" s="123" t="s">
        <v>429</v>
      </c>
      <c r="D810" s="123" t="s">
        <v>17</v>
      </c>
      <c r="E810" s="124" t="s">
        <v>2122</v>
      </c>
      <c r="F810" s="124" t="s">
        <v>2123</v>
      </c>
      <c r="G810" s="124" t="s">
        <v>1059</v>
      </c>
      <c r="H810" s="122" t="s">
        <v>1922</v>
      </c>
      <c r="I810" s="123">
        <v>20.658017999999998</v>
      </c>
      <c r="J810" s="123">
        <v>-101.349144</v>
      </c>
      <c r="K810" s="122"/>
      <c r="L810" s="125" t="str">
        <f t="shared" si="36"/>
        <v>Ver en Google Maps</v>
      </c>
      <c r="M810" s="122">
        <v>1</v>
      </c>
      <c r="N810" s="130"/>
      <c r="O810" s="109"/>
      <c r="P810" s="109"/>
      <c r="Q810" s="109"/>
      <c r="R810" s="109"/>
      <c r="S810" s="109"/>
      <c r="T810" s="109"/>
      <c r="U810" s="109"/>
      <c r="V810" s="109"/>
      <c r="W810" s="109"/>
      <c r="X810" s="109"/>
      <c r="Y810" s="109"/>
      <c r="Z810" s="109"/>
      <c r="AA810" s="109"/>
      <c r="AB810" s="109"/>
      <c r="AC810" s="110"/>
      <c r="AD810" s="110"/>
      <c r="AE810" s="109"/>
      <c r="AF810" s="151"/>
    </row>
    <row r="811" spans="1:32" x14ac:dyDescent="0.2">
      <c r="A811" s="112">
        <v>560</v>
      </c>
      <c r="B811" s="113" t="s">
        <v>1204</v>
      </c>
      <c r="C811" s="114" t="s">
        <v>429</v>
      </c>
      <c r="D811" s="114" t="s">
        <v>17</v>
      </c>
      <c r="E811" s="115" t="s">
        <v>2124</v>
      </c>
      <c r="F811" s="115" t="s">
        <v>2125</v>
      </c>
      <c r="G811" s="115" t="s">
        <v>2369</v>
      </c>
      <c r="H811" s="113" t="s">
        <v>1922</v>
      </c>
      <c r="I811" s="114">
        <v>20.682359999999999</v>
      </c>
      <c r="J811" s="114">
        <v>-101.37253</v>
      </c>
      <c r="K811" s="113"/>
      <c r="L811" s="116" t="str">
        <f t="shared" si="36"/>
        <v>Ver en Google Maps</v>
      </c>
      <c r="M811" s="113">
        <v>1</v>
      </c>
      <c r="N811" s="129"/>
      <c r="O811" s="118"/>
      <c r="P811" s="118"/>
      <c r="Q811" s="118"/>
      <c r="R811" s="118"/>
      <c r="S811" s="118"/>
      <c r="T811" s="118"/>
      <c r="U811" s="118"/>
      <c r="V811" s="118"/>
      <c r="W811" s="118"/>
      <c r="X811" s="118"/>
      <c r="Y811" s="118"/>
      <c r="Z811" s="118"/>
      <c r="AA811" s="118"/>
      <c r="AB811" s="118"/>
      <c r="AC811" s="119"/>
      <c r="AD811" s="119"/>
      <c r="AE811" s="118"/>
      <c r="AF811" s="152"/>
    </row>
    <row r="812" spans="1:32" x14ac:dyDescent="0.2">
      <c r="A812" s="121">
        <v>562</v>
      </c>
      <c r="B812" s="122" t="s">
        <v>1204</v>
      </c>
      <c r="C812" s="123" t="s">
        <v>429</v>
      </c>
      <c r="D812" s="123" t="s">
        <v>17</v>
      </c>
      <c r="E812" s="124" t="s">
        <v>2126</v>
      </c>
      <c r="F812" s="124" t="s">
        <v>2127</v>
      </c>
      <c r="G812" s="124" t="s">
        <v>1029</v>
      </c>
      <c r="H812" s="122" t="s">
        <v>1922</v>
      </c>
      <c r="I812" s="123">
        <v>20.667249999999999</v>
      </c>
      <c r="J812" s="123">
        <v>-101.35714</v>
      </c>
      <c r="K812" s="122"/>
      <c r="L812" s="125" t="str">
        <f t="shared" si="36"/>
        <v>Ver en Google Maps</v>
      </c>
      <c r="M812" s="122">
        <v>1</v>
      </c>
      <c r="N812" s="130"/>
      <c r="O812" s="109"/>
      <c r="P812" s="109"/>
      <c r="Q812" s="109"/>
      <c r="R812" s="109"/>
      <c r="S812" s="109"/>
      <c r="T812" s="109"/>
      <c r="U812" s="109"/>
      <c r="V812" s="109"/>
      <c r="W812" s="109"/>
      <c r="X812" s="109"/>
      <c r="Y812" s="109"/>
      <c r="Z812" s="109"/>
      <c r="AA812" s="109"/>
      <c r="AB812" s="109"/>
      <c r="AC812" s="110"/>
      <c r="AD812" s="110"/>
      <c r="AE812" s="109"/>
      <c r="AF812" s="151"/>
    </row>
    <row r="813" spans="1:32" x14ac:dyDescent="0.2">
      <c r="A813" s="112">
        <v>565</v>
      </c>
      <c r="B813" s="113" t="s">
        <v>1204</v>
      </c>
      <c r="C813" s="114" t="s">
        <v>429</v>
      </c>
      <c r="D813" s="114" t="s">
        <v>17</v>
      </c>
      <c r="E813" s="115" t="s">
        <v>2128</v>
      </c>
      <c r="F813" s="115" t="s">
        <v>2129</v>
      </c>
      <c r="G813" s="115" t="s">
        <v>2379</v>
      </c>
      <c r="H813" s="113" t="s">
        <v>1922</v>
      </c>
      <c r="I813" s="114">
        <v>20.693629999999999</v>
      </c>
      <c r="J813" s="114">
        <v>-101.334093</v>
      </c>
      <c r="K813" s="113"/>
      <c r="L813" s="116" t="str">
        <f t="shared" si="36"/>
        <v>Ver en Google Maps</v>
      </c>
      <c r="M813" s="113">
        <v>1</v>
      </c>
      <c r="N813" s="129"/>
      <c r="O813" s="118"/>
      <c r="P813" s="118"/>
      <c r="Q813" s="118"/>
      <c r="R813" s="118"/>
      <c r="S813" s="118"/>
      <c r="T813" s="118"/>
      <c r="U813" s="118"/>
      <c r="V813" s="118"/>
      <c r="W813" s="118"/>
      <c r="X813" s="118"/>
      <c r="Y813" s="118"/>
      <c r="Z813" s="118"/>
      <c r="AA813" s="118"/>
      <c r="AB813" s="118"/>
      <c r="AC813" s="119"/>
      <c r="AD813" s="119"/>
      <c r="AE813" s="118"/>
      <c r="AF813" s="152"/>
    </row>
    <row r="814" spans="1:32" x14ac:dyDescent="0.2">
      <c r="A814" s="121">
        <v>579</v>
      </c>
      <c r="B814" s="122" t="s">
        <v>1204</v>
      </c>
      <c r="C814" s="123" t="s">
        <v>429</v>
      </c>
      <c r="D814" s="123" t="s">
        <v>17</v>
      </c>
      <c r="E814" s="124" t="s">
        <v>2130</v>
      </c>
      <c r="F814" s="124" t="s">
        <v>2131</v>
      </c>
      <c r="G814" s="124" t="s">
        <v>1056</v>
      </c>
      <c r="H814" s="122" t="s">
        <v>1922</v>
      </c>
      <c r="I814" s="123">
        <v>20.705169999999999</v>
      </c>
      <c r="J814" s="123">
        <v>-101.37272</v>
      </c>
      <c r="K814" s="122"/>
      <c r="L814" s="125" t="str">
        <f t="shared" si="36"/>
        <v>Ver en Google Maps</v>
      </c>
      <c r="M814" s="122">
        <v>1</v>
      </c>
      <c r="N814" s="130"/>
      <c r="O814" s="109"/>
      <c r="P814" s="109"/>
      <c r="Q814" s="109"/>
      <c r="R814" s="109"/>
      <c r="S814" s="109"/>
      <c r="T814" s="109"/>
      <c r="U814" s="109"/>
      <c r="V814" s="109"/>
      <c r="W814" s="109"/>
      <c r="X814" s="109"/>
      <c r="Y814" s="109"/>
      <c r="Z814" s="109"/>
      <c r="AA814" s="109"/>
      <c r="AB814" s="109"/>
      <c r="AC814" s="110"/>
      <c r="AD814" s="110"/>
      <c r="AE814" s="109"/>
      <c r="AF814" s="151"/>
    </row>
    <row r="815" spans="1:32" x14ac:dyDescent="0.2">
      <c r="A815" s="112">
        <v>583</v>
      </c>
      <c r="B815" s="113" t="s">
        <v>1204</v>
      </c>
      <c r="C815" s="114" t="s">
        <v>429</v>
      </c>
      <c r="D815" s="114" t="s">
        <v>17</v>
      </c>
      <c r="E815" s="115" t="s">
        <v>2132</v>
      </c>
      <c r="F815" s="115" t="s">
        <v>2133</v>
      </c>
      <c r="G815" s="115" t="s">
        <v>2380</v>
      </c>
      <c r="H815" s="113" t="s">
        <v>1922</v>
      </c>
      <c r="I815" s="114">
        <v>20.680420000000002</v>
      </c>
      <c r="J815" s="114">
        <v>-101.33308</v>
      </c>
      <c r="K815" s="113"/>
      <c r="L815" s="116" t="str">
        <f t="shared" si="36"/>
        <v>Ver en Google Maps</v>
      </c>
      <c r="M815" s="113">
        <v>1</v>
      </c>
      <c r="N815" s="129"/>
      <c r="O815" s="118"/>
      <c r="P815" s="118"/>
      <c r="Q815" s="118"/>
      <c r="R815" s="118"/>
      <c r="S815" s="118"/>
      <c r="T815" s="118"/>
      <c r="U815" s="118"/>
      <c r="V815" s="118"/>
      <c r="W815" s="118"/>
      <c r="X815" s="118"/>
      <c r="Y815" s="118"/>
      <c r="Z815" s="118"/>
      <c r="AA815" s="118"/>
      <c r="AB815" s="118"/>
      <c r="AC815" s="119"/>
      <c r="AD815" s="119"/>
      <c r="AE815" s="118"/>
      <c r="AF815" s="152"/>
    </row>
    <row r="816" spans="1:32" x14ac:dyDescent="0.2">
      <c r="A816" s="121">
        <v>584</v>
      </c>
      <c r="B816" s="122" t="s">
        <v>1204</v>
      </c>
      <c r="C816" s="123" t="s">
        <v>429</v>
      </c>
      <c r="D816" s="123" t="s">
        <v>17</v>
      </c>
      <c r="E816" s="124" t="s">
        <v>2134</v>
      </c>
      <c r="F816" s="124" t="s">
        <v>2135</v>
      </c>
      <c r="G816" s="124" t="s">
        <v>2370</v>
      </c>
      <c r="H816" s="122" t="s">
        <v>1922</v>
      </c>
      <c r="I816" s="123">
        <v>20.66086</v>
      </c>
      <c r="J816" s="123">
        <v>-101.37981000000001</v>
      </c>
      <c r="K816" s="122"/>
      <c r="L816" s="125" t="str">
        <f t="shared" si="36"/>
        <v>Ver en Google Maps</v>
      </c>
      <c r="M816" s="122">
        <v>1</v>
      </c>
      <c r="N816" s="130"/>
      <c r="O816" s="109"/>
      <c r="P816" s="109"/>
      <c r="Q816" s="109"/>
      <c r="R816" s="109"/>
      <c r="S816" s="109"/>
      <c r="T816" s="109"/>
      <c r="U816" s="109"/>
      <c r="V816" s="109"/>
      <c r="W816" s="109"/>
      <c r="X816" s="109"/>
      <c r="Y816" s="109"/>
      <c r="Z816" s="109"/>
      <c r="AA816" s="109"/>
      <c r="AB816" s="109"/>
      <c r="AC816" s="110"/>
      <c r="AD816" s="110"/>
      <c r="AE816" s="109"/>
      <c r="AF816" s="151"/>
    </row>
    <row r="817" spans="1:32" x14ac:dyDescent="0.2">
      <c r="A817" s="112">
        <v>586</v>
      </c>
      <c r="B817" s="113" t="s">
        <v>1204</v>
      </c>
      <c r="C817" s="114" t="s">
        <v>429</v>
      </c>
      <c r="D817" s="114" t="s">
        <v>17</v>
      </c>
      <c r="E817" s="115" t="s">
        <v>2136</v>
      </c>
      <c r="F817" s="115" t="s">
        <v>2137</v>
      </c>
      <c r="G817" s="115" t="s">
        <v>1896</v>
      </c>
      <c r="H817" s="113" t="s">
        <v>1922</v>
      </c>
      <c r="I817" s="114">
        <v>20.653639999999999</v>
      </c>
      <c r="J817" s="114">
        <v>-101.36366</v>
      </c>
      <c r="K817" s="113"/>
      <c r="L817" s="116" t="str">
        <f t="shared" si="36"/>
        <v>Ver en Google Maps</v>
      </c>
      <c r="M817" s="113">
        <v>1</v>
      </c>
      <c r="N817" s="129"/>
      <c r="O817" s="118"/>
      <c r="P817" s="118"/>
      <c r="Q817" s="118"/>
      <c r="R817" s="118"/>
      <c r="S817" s="118"/>
      <c r="T817" s="118"/>
      <c r="U817" s="118"/>
      <c r="V817" s="118"/>
      <c r="W817" s="118"/>
      <c r="X817" s="118"/>
      <c r="Y817" s="118"/>
      <c r="Z817" s="118"/>
      <c r="AA817" s="118"/>
      <c r="AB817" s="118"/>
      <c r="AC817" s="119"/>
      <c r="AD817" s="119"/>
      <c r="AE817" s="118"/>
      <c r="AF817" s="152"/>
    </row>
    <row r="818" spans="1:32" x14ac:dyDescent="0.2">
      <c r="A818" s="121">
        <v>589</v>
      </c>
      <c r="B818" s="122" t="s">
        <v>1204</v>
      </c>
      <c r="C818" s="123" t="s">
        <v>429</v>
      </c>
      <c r="D818" s="123" t="s">
        <v>17</v>
      </c>
      <c r="E818" s="124" t="s">
        <v>2138</v>
      </c>
      <c r="F818" s="124" t="s">
        <v>2139</v>
      </c>
      <c r="G818" s="124" t="s">
        <v>2381</v>
      </c>
      <c r="H818" s="122" t="s">
        <v>1922</v>
      </c>
      <c r="I818" s="123">
        <v>20.68225</v>
      </c>
      <c r="J818" s="123">
        <v>-101.32819000000001</v>
      </c>
      <c r="K818" s="122"/>
      <c r="L818" s="125" t="str">
        <f t="shared" si="36"/>
        <v>Ver en Google Maps</v>
      </c>
      <c r="M818" s="122">
        <v>1</v>
      </c>
      <c r="N818" s="130"/>
      <c r="O818" s="109"/>
      <c r="P818" s="109"/>
      <c r="Q818" s="109"/>
      <c r="R818" s="109"/>
      <c r="S818" s="109"/>
      <c r="T818" s="109"/>
      <c r="U818" s="109"/>
      <c r="V818" s="109"/>
      <c r="W818" s="109"/>
      <c r="X818" s="109"/>
      <c r="Y818" s="109"/>
      <c r="Z818" s="109"/>
      <c r="AA818" s="109"/>
      <c r="AB818" s="109"/>
      <c r="AC818" s="110"/>
      <c r="AD818" s="110"/>
      <c r="AE818" s="109"/>
      <c r="AF818" s="151"/>
    </row>
    <row r="819" spans="1:32" x14ac:dyDescent="0.2">
      <c r="A819" s="112">
        <v>590</v>
      </c>
      <c r="B819" s="113" t="s">
        <v>1204</v>
      </c>
      <c r="C819" s="114" t="s">
        <v>429</v>
      </c>
      <c r="D819" s="114" t="s">
        <v>17</v>
      </c>
      <c r="E819" s="115" t="s">
        <v>2140</v>
      </c>
      <c r="F819" s="115" t="s">
        <v>2141</v>
      </c>
      <c r="G819" s="115" t="s">
        <v>2311</v>
      </c>
      <c r="H819" s="113" t="s">
        <v>1922</v>
      </c>
      <c r="I819" s="114">
        <v>20.653755</v>
      </c>
      <c r="J819" s="114">
        <v>-101.338993</v>
      </c>
      <c r="K819" s="113" t="s">
        <v>139</v>
      </c>
      <c r="L819" s="116" t="str">
        <f t="shared" si="36"/>
        <v>Ver en Google Maps</v>
      </c>
      <c r="M819" s="113">
        <v>1</v>
      </c>
      <c r="N819" s="117">
        <v>45941</v>
      </c>
      <c r="O819" s="118">
        <f>DAY('BD1'!$N819)</f>
        <v>11</v>
      </c>
      <c r="P819" s="118">
        <f>MONTH('BD1'!$N819)</f>
        <v>10</v>
      </c>
      <c r="Q819" s="118">
        <f>YEAR('BD1'!$N819)</f>
        <v>2025</v>
      </c>
      <c r="R819" s="118">
        <v>1</v>
      </c>
      <c r="S819" s="118" t="s">
        <v>138</v>
      </c>
      <c r="T819" s="118" t="s">
        <v>138</v>
      </c>
      <c r="U819" s="118" t="s">
        <v>138</v>
      </c>
      <c r="V819" s="118" t="s">
        <v>138</v>
      </c>
      <c r="W819" s="118" t="s">
        <v>138</v>
      </c>
      <c r="X819" s="118" t="s">
        <v>138</v>
      </c>
      <c r="Y819" s="118" t="s">
        <v>138</v>
      </c>
      <c r="Z819" s="118" t="s">
        <v>138</v>
      </c>
      <c r="AA819" s="118">
        <v>132</v>
      </c>
      <c r="AB819" s="118">
        <v>155</v>
      </c>
      <c r="AC819" s="119" t="s">
        <v>967</v>
      </c>
      <c r="AD819" s="119" t="s">
        <v>2436</v>
      </c>
      <c r="AE819" s="118">
        <f t="shared" si="37"/>
        <v>8</v>
      </c>
      <c r="AF819" s="152" t="str">
        <f t="shared" si="38"/>
        <v>Estable</v>
      </c>
    </row>
    <row r="820" spans="1:32" x14ac:dyDescent="0.2">
      <c r="A820" s="121">
        <v>618</v>
      </c>
      <c r="B820" s="122" t="s">
        <v>1204</v>
      </c>
      <c r="C820" s="123" t="s">
        <v>429</v>
      </c>
      <c r="D820" s="123" t="s">
        <v>16</v>
      </c>
      <c r="E820" s="124" t="s">
        <v>2142</v>
      </c>
      <c r="F820" s="124" t="s">
        <v>2143</v>
      </c>
      <c r="G820" s="124" t="s">
        <v>2382</v>
      </c>
      <c r="H820" s="122" t="s">
        <v>1922</v>
      </c>
      <c r="I820" s="123">
        <v>20.704750000000001</v>
      </c>
      <c r="J820" s="123">
        <v>-101.35554</v>
      </c>
      <c r="K820" s="122"/>
      <c r="L820" s="125" t="str">
        <f t="shared" si="36"/>
        <v>Ver en Google Maps</v>
      </c>
      <c r="M820" s="122">
        <v>2</v>
      </c>
      <c r="N820" s="130"/>
      <c r="O820" s="109"/>
      <c r="P820" s="109"/>
      <c r="Q820" s="109"/>
      <c r="R820" s="109"/>
      <c r="S820" s="109"/>
      <c r="T820" s="109"/>
      <c r="U820" s="109"/>
      <c r="V820" s="109"/>
      <c r="W820" s="109"/>
      <c r="X820" s="109"/>
      <c r="Y820" s="109"/>
      <c r="Z820" s="109"/>
      <c r="AA820" s="109"/>
      <c r="AB820" s="109"/>
      <c r="AC820" s="110"/>
      <c r="AD820" s="110"/>
      <c r="AE820" s="109"/>
      <c r="AF820" s="151"/>
    </row>
    <row r="821" spans="1:32" x14ac:dyDescent="0.2">
      <c r="A821" s="112">
        <v>619</v>
      </c>
      <c r="B821" s="113" t="s">
        <v>1204</v>
      </c>
      <c r="C821" s="114" t="s">
        <v>429</v>
      </c>
      <c r="D821" s="114" t="s">
        <v>16</v>
      </c>
      <c r="E821" s="115" t="s">
        <v>2144</v>
      </c>
      <c r="F821" s="115" t="s">
        <v>2145</v>
      </c>
      <c r="G821" s="115" t="s">
        <v>2383</v>
      </c>
      <c r="H821" s="113" t="s">
        <v>1922</v>
      </c>
      <c r="I821" s="114">
        <v>20.671690000000002</v>
      </c>
      <c r="J821" s="114">
        <v>-101.36153</v>
      </c>
      <c r="K821" s="113"/>
      <c r="L821" s="116" t="str">
        <f t="shared" si="36"/>
        <v>Ver en Google Maps</v>
      </c>
      <c r="M821" s="113">
        <v>1</v>
      </c>
      <c r="N821" s="129"/>
      <c r="O821" s="118"/>
      <c r="P821" s="118"/>
      <c r="Q821" s="118"/>
      <c r="R821" s="118"/>
      <c r="S821" s="118"/>
      <c r="T821" s="118"/>
      <c r="U821" s="118"/>
      <c r="V821" s="118"/>
      <c r="W821" s="118"/>
      <c r="X821" s="118"/>
      <c r="Y821" s="118"/>
      <c r="Z821" s="118"/>
      <c r="AA821" s="118"/>
      <c r="AB821" s="118"/>
      <c r="AC821" s="119"/>
      <c r="AD821" s="119"/>
      <c r="AE821" s="118"/>
      <c r="AF821" s="152"/>
    </row>
    <row r="822" spans="1:32" x14ac:dyDescent="0.2">
      <c r="A822" s="121">
        <v>620</v>
      </c>
      <c r="B822" s="122" t="s">
        <v>1204</v>
      </c>
      <c r="C822" s="123" t="s">
        <v>429</v>
      </c>
      <c r="D822" s="123" t="s">
        <v>16</v>
      </c>
      <c r="E822" s="124" t="s">
        <v>2146</v>
      </c>
      <c r="F822" s="124" t="s">
        <v>2147</v>
      </c>
      <c r="G822" s="124" t="s">
        <v>2384</v>
      </c>
      <c r="H822" s="122" t="s">
        <v>1922</v>
      </c>
      <c r="I822" s="123">
        <v>20.672419999999999</v>
      </c>
      <c r="J822" s="123">
        <v>-101.36716</v>
      </c>
      <c r="K822" s="122"/>
      <c r="L822" s="125" t="str">
        <f t="shared" si="36"/>
        <v>Ver en Google Maps</v>
      </c>
      <c r="M822" s="122">
        <v>1</v>
      </c>
      <c r="N822" s="130"/>
      <c r="O822" s="109"/>
      <c r="P822" s="109"/>
      <c r="Q822" s="109"/>
      <c r="R822" s="109"/>
      <c r="S822" s="109"/>
      <c r="T822" s="109"/>
      <c r="U822" s="109"/>
      <c r="V822" s="109"/>
      <c r="W822" s="109"/>
      <c r="X822" s="109"/>
      <c r="Y822" s="109"/>
      <c r="Z822" s="109"/>
      <c r="AA822" s="109"/>
      <c r="AB822" s="109"/>
      <c r="AC822" s="110"/>
      <c r="AD822" s="110"/>
      <c r="AE822" s="109"/>
      <c r="AF822" s="151"/>
    </row>
    <row r="823" spans="1:32" x14ac:dyDescent="0.2">
      <c r="A823" s="112">
        <v>621</v>
      </c>
      <c r="B823" s="113" t="s">
        <v>1204</v>
      </c>
      <c r="C823" s="114" t="s">
        <v>429</v>
      </c>
      <c r="D823" s="114" t="s">
        <v>16</v>
      </c>
      <c r="E823" s="115" t="s">
        <v>2148</v>
      </c>
      <c r="F823" s="115" t="s">
        <v>2149</v>
      </c>
      <c r="G823" s="115" t="s">
        <v>2385</v>
      </c>
      <c r="H823" s="113" t="s">
        <v>1922</v>
      </c>
      <c r="I823" s="114">
        <v>20.673829999999999</v>
      </c>
      <c r="J823" s="114">
        <v>-101.35047</v>
      </c>
      <c r="K823" s="113"/>
      <c r="L823" s="116" t="str">
        <f t="shared" si="36"/>
        <v>Ver en Google Maps</v>
      </c>
      <c r="M823" s="113">
        <v>2</v>
      </c>
      <c r="N823" s="129"/>
      <c r="O823" s="118"/>
      <c r="P823" s="118"/>
      <c r="Q823" s="118"/>
      <c r="R823" s="118"/>
      <c r="S823" s="118"/>
      <c r="T823" s="118"/>
      <c r="U823" s="118"/>
      <c r="V823" s="118"/>
      <c r="W823" s="118"/>
      <c r="X823" s="118"/>
      <c r="Y823" s="118"/>
      <c r="Z823" s="118"/>
      <c r="AA823" s="118"/>
      <c r="AB823" s="118"/>
      <c r="AC823" s="119"/>
      <c r="AD823" s="119"/>
      <c r="AE823" s="118"/>
      <c r="AF823" s="152"/>
    </row>
    <row r="824" spans="1:32" x14ac:dyDescent="0.2">
      <c r="A824" s="121">
        <v>622</v>
      </c>
      <c r="B824" s="122" t="s">
        <v>1204</v>
      </c>
      <c r="C824" s="123" t="s">
        <v>429</v>
      </c>
      <c r="D824" s="123" t="s">
        <v>16</v>
      </c>
      <c r="E824" s="124" t="s">
        <v>2150</v>
      </c>
      <c r="F824" s="124" t="s">
        <v>2151</v>
      </c>
      <c r="G824" s="124" t="s">
        <v>1105</v>
      </c>
      <c r="H824" s="122" t="s">
        <v>1922</v>
      </c>
      <c r="I824" s="123">
        <v>20.675170000000001</v>
      </c>
      <c r="J824" s="123">
        <v>-101.346</v>
      </c>
      <c r="K824" s="122"/>
      <c r="L824" s="125" t="str">
        <f t="shared" si="36"/>
        <v>Ver en Google Maps</v>
      </c>
      <c r="M824" s="122">
        <v>2</v>
      </c>
      <c r="N824" s="130"/>
      <c r="O824" s="109"/>
      <c r="P824" s="109"/>
      <c r="Q824" s="109"/>
      <c r="R824" s="109"/>
      <c r="S824" s="109"/>
      <c r="T824" s="109"/>
      <c r="U824" s="109"/>
      <c r="V824" s="109"/>
      <c r="W824" s="109"/>
      <c r="X824" s="109"/>
      <c r="Y824" s="109"/>
      <c r="Z824" s="109"/>
      <c r="AA824" s="109"/>
      <c r="AB824" s="109"/>
      <c r="AC824" s="110"/>
      <c r="AD824" s="110"/>
      <c r="AE824" s="109"/>
      <c r="AF824" s="151"/>
    </row>
    <row r="825" spans="1:32" x14ac:dyDescent="0.2">
      <c r="A825" s="112">
        <v>623</v>
      </c>
      <c r="B825" s="113" t="s">
        <v>1204</v>
      </c>
      <c r="C825" s="114" t="s">
        <v>429</v>
      </c>
      <c r="D825" s="114" t="s">
        <v>404</v>
      </c>
      <c r="E825" s="115" t="s">
        <v>2152</v>
      </c>
      <c r="F825" s="115" t="s">
        <v>2153</v>
      </c>
      <c r="G825" s="115" t="s">
        <v>1302</v>
      </c>
      <c r="H825" s="113" t="s">
        <v>1922</v>
      </c>
      <c r="I825" s="114">
        <v>20.680351000000002</v>
      </c>
      <c r="J825" s="114">
        <v>-101.346355</v>
      </c>
      <c r="K825" s="113"/>
      <c r="L825" s="116" t="str">
        <f t="shared" si="36"/>
        <v>Ver en Google Maps</v>
      </c>
      <c r="M825" s="113">
        <v>2</v>
      </c>
      <c r="N825" s="129"/>
      <c r="O825" s="118"/>
      <c r="P825" s="118"/>
      <c r="Q825" s="118"/>
      <c r="R825" s="118"/>
      <c r="S825" s="118"/>
      <c r="T825" s="118"/>
      <c r="U825" s="118"/>
      <c r="V825" s="118"/>
      <c r="W825" s="118"/>
      <c r="X825" s="118"/>
      <c r="Y825" s="118"/>
      <c r="Z825" s="118"/>
      <c r="AA825" s="118"/>
      <c r="AB825" s="118"/>
      <c r="AC825" s="119"/>
      <c r="AD825" s="119"/>
      <c r="AE825" s="118"/>
      <c r="AF825" s="152"/>
    </row>
    <row r="826" spans="1:32" x14ac:dyDescent="0.2">
      <c r="A826" s="121">
        <v>624</v>
      </c>
      <c r="B826" s="122" t="s">
        <v>1204</v>
      </c>
      <c r="C826" s="123" t="s">
        <v>429</v>
      </c>
      <c r="D826" s="123" t="s">
        <v>16</v>
      </c>
      <c r="E826" s="124" t="s">
        <v>2154</v>
      </c>
      <c r="F826" s="124" t="s">
        <v>2155</v>
      </c>
      <c r="G826" s="124" t="s">
        <v>2386</v>
      </c>
      <c r="H826" s="122" t="s">
        <v>1922</v>
      </c>
      <c r="I826" s="123">
        <v>20.687280000000001</v>
      </c>
      <c r="J826" s="123">
        <v>-101.36136</v>
      </c>
      <c r="K826" s="122"/>
      <c r="L826" s="125" t="str">
        <f t="shared" si="36"/>
        <v>Ver en Google Maps</v>
      </c>
      <c r="M826" s="122">
        <v>2</v>
      </c>
      <c r="N826" s="130"/>
      <c r="O826" s="109"/>
      <c r="P826" s="109"/>
      <c r="Q826" s="109"/>
      <c r="R826" s="109"/>
      <c r="S826" s="109"/>
      <c r="T826" s="109"/>
      <c r="U826" s="109"/>
      <c r="V826" s="109"/>
      <c r="W826" s="109"/>
      <c r="X826" s="109"/>
      <c r="Y826" s="109"/>
      <c r="Z826" s="109"/>
      <c r="AA826" s="109"/>
      <c r="AB826" s="109"/>
      <c r="AC826" s="110"/>
      <c r="AD826" s="110"/>
      <c r="AE826" s="109"/>
      <c r="AF826" s="151"/>
    </row>
    <row r="827" spans="1:32" x14ac:dyDescent="0.2">
      <c r="A827" s="112">
        <v>625</v>
      </c>
      <c r="B827" s="113" t="s">
        <v>1204</v>
      </c>
      <c r="C827" s="114" t="s">
        <v>429</v>
      </c>
      <c r="D827" s="114" t="s">
        <v>16</v>
      </c>
      <c r="E827" s="115" t="s">
        <v>2156</v>
      </c>
      <c r="F827" s="115" t="s">
        <v>2157</v>
      </c>
      <c r="G827" s="115" t="s">
        <v>2387</v>
      </c>
      <c r="H827" s="113" t="s">
        <v>1922</v>
      </c>
      <c r="I827" s="114">
        <v>20.67728</v>
      </c>
      <c r="J827" s="114">
        <v>-101.36060999999999</v>
      </c>
      <c r="K827" s="113"/>
      <c r="L827" s="116" t="str">
        <f t="shared" si="36"/>
        <v>Ver en Google Maps</v>
      </c>
      <c r="M827" s="113">
        <v>2</v>
      </c>
      <c r="N827" s="129"/>
      <c r="O827" s="118"/>
      <c r="P827" s="118"/>
      <c r="Q827" s="118"/>
      <c r="R827" s="118"/>
      <c r="S827" s="118"/>
      <c r="T827" s="118"/>
      <c r="U827" s="118"/>
      <c r="V827" s="118"/>
      <c r="W827" s="118"/>
      <c r="X827" s="118"/>
      <c r="Y827" s="118"/>
      <c r="Z827" s="118"/>
      <c r="AA827" s="118"/>
      <c r="AB827" s="118"/>
      <c r="AC827" s="119"/>
      <c r="AD827" s="119"/>
      <c r="AE827" s="118"/>
      <c r="AF827" s="152"/>
    </row>
    <row r="828" spans="1:32" x14ac:dyDescent="0.2">
      <c r="A828" s="121">
        <v>626</v>
      </c>
      <c r="B828" s="122" t="s">
        <v>1204</v>
      </c>
      <c r="C828" s="123" t="s">
        <v>429</v>
      </c>
      <c r="D828" s="123" t="s">
        <v>16</v>
      </c>
      <c r="E828" s="124" t="s">
        <v>2158</v>
      </c>
      <c r="F828" s="124" t="s">
        <v>2159</v>
      </c>
      <c r="G828" s="124" t="s">
        <v>1105</v>
      </c>
      <c r="H828" s="122" t="s">
        <v>1922</v>
      </c>
      <c r="I828" s="123">
        <v>20.670829999999999</v>
      </c>
      <c r="J828" s="123">
        <v>-101.35014</v>
      </c>
      <c r="K828" s="122"/>
      <c r="L828" s="125" t="str">
        <f t="shared" si="36"/>
        <v>Ver en Google Maps</v>
      </c>
      <c r="M828" s="122">
        <v>1</v>
      </c>
      <c r="N828" s="130"/>
      <c r="O828" s="109"/>
      <c r="P828" s="109"/>
      <c r="Q828" s="109"/>
      <c r="R828" s="109"/>
      <c r="S828" s="109"/>
      <c r="T828" s="109"/>
      <c r="U828" s="109"/>
      <c r="V828" s="109"/>
      <c r="W828" s="109"/>
      <c r="X828" s="109"/>
      <c r="Y828" s="109"/>
      <c r="Z828" s="109"/>
      <c r="AA828" s="109"/>
      <c r="AB828" s="109"/>
      <c r="AC828" s="110"/>
      <c r="AD828" s="110"/>
      <c r="AE828" s="109"/>
      <c r="AF828" s="151"/>
    </row>
    <row r="829" spans="1:32" x14ac:dyDescent="0.2">
      <c r="A829" s="112">
        <v>627</v>
      </c>
      <c r="B829" s="113" t="s">
        <v>1204</v>
      </c>
      <c r="C829" s="114" t="s">
        <v>429</v>
      </c>
      <c r="D829" s="114" t="s">
        <v>16</v>
      </c>
      <c r="E829" s="115" t="s">
        <v>2160</v>
      </c>
      <c r="F829" s="115" t="s">
        <v>2161</v>
      </c>
      <c r="G829" s="115" t="s">
        <v>360</v>
      </c>
      <c r="H829" s="113" t="s">
        <v>1922</v>
      </c>
      <c r="I829" s="114">
        <v>20.668559999999999</v>
      </c>
      <c r="J829" s="114">
        <v>-101.34255</v>
      </c>
      <c r="K829" s="113"/>
      <c r="L829" s="116" t="str">
        <f t="shared" si="36"/>
        <v>Ver en Google Maps</v>
      </c>
      <c r="M829" s="113">
        <v>1</v>
      </c>
      <c r="N829" s="129"/>
      <c r="O829" s="118"/>
      <c r="P829" s="118"/>
      <c r="Q829" s="118"/>
      <c r="R829" s="118"/>
      <c r="S829" s="118"/>
      <c r="T829" s="118"/>
      <c r="U829" s="118"/>
      <c r="V829" s="118"/>
      <c r="W829" s="118"/>
      <c r="X829" s="118"/>
      <c r="Y829" s="118"/>
      <c r="Z829" s="118"/>
      <c r="AA829" s="118"/>
      <c r="AB829" s="118"/>
      <c r="AC829" s="119"/>
      <c r="AD829" s="119"/>
      <c r="AE829" s="118"/>
      <c r="AF829" s="152"/>
    </row>
    <row r="830" spans="1:32" x14ac:dyDescent="0.2">
      <c r="A830" s="121">
        <v>628</v>
      </c>
      <c r="B830" s="122" t="s">
        <v>1204</v>
      </c>
      <c r="C830" s="123" t="s">
        <v>429</v>
      </c>
      <c r="D830" s="123" t="s">
        <v>16</v>
      </c>
      <c r="E830" s="124" t="s">
        <v>2162</v>
      </c>
      <c r="F830" s="124" t="s">
        <v>2163</v>
      </c>
      <c r="G830" s="124" t="s">
        <v>2388</v>
      </c>
      <c r="H830" s="122" t="s">
        <v>1922</v>
      </c>
      <c r="I830" s="123">
        <v>20.679970000000001</v>
      </c>
      <c r="J830" s="123">
        <v>-101.33842</v>
      </c>
      <c r="K830" s="122"/>
      <c r="L830" s="125" t="str">
        <f t="shared" si="36"/>
        <v>Ver en Google Maps</v>
      </c>
      <c r="M830" s="122">
        <v>1</v>
      </c>
      <c r="N830" s="130"/>
      <c r="O830" s="109"/>
      <c r="P830" s="109"/>
      <c r="Q830" s="109"/>
      <c r="R830" s="109"/>
      <c r="S830" s="109"/>
      <c r="T830" s="109"/>
      <c r="U830" s="109"/>
      <c r="V830" s="109"/>
      <c r="W830" s="109"/>
      <c r="X830" s="109"/>
      <c r="Y830" s="109"/>
      <c r="Z830" s="109"/>
      <c r="AA830" s="109"/>
      <c r="AB830" s="109"/>
      <c r="AC830" s="110"/>
      <c r="AD830" s="110"/>
      <c r="AE830" s="109"/>
      <c r="AF830" s="151"/>
    </row>
    <row r="831" spans="1:32" x14ac:dyDescent="0.2">
      <c r="A831" s="112">
        <v>629</v>
      </c>
      <c r="B831" s="113" t="s">
        <v>1204</v>
      </c>
      <c r="C831" s="114" t="s">
        <v>429</v>
      </c>
      <c r="D831" s="114" t="s">
        <v>16</v>
      </c>
      <c r="E831" s="115" t="s">
        <v>2164</v>
      </c>
      <c r="F831" s="115" t="s">
        <v>2165</v>
      </c>
      <c r="G831" s="115" t="s">
        <v>2389</v>
      </c>
      <c r="H831" s="113" t="s">
        <v>1922</v>
      </c>
      <c r="I831" s="114">
        <v>20.668220000000002</v>
      </c>
      <c r="J831" s="114">
        <v>-101.34260999999999</v>
      </c>
      <c r="K831" s="113"/>
      <c r="L831" s="116" t="str">
        <f t="shared" si="36"/>
        <v>Ver en Google Maps</v>
      </c>
      <c r="M831" s="113">
        <v>2</v>
      </c>
      <c r="N831" s="129"/>
      <c r="O831" s="118"/>
      <c r="P831" s="118"/>
      <c r="Q831" s="118"/>
      <c r="R831" s="118"/>
      <c r="S831" s="118"/>
      <c r="T831" s="118"/>
      <c r="U831" s="118"/>
      <c r="V831" s="118"/>
      <c r="W831" s="118"/>
      <c r="X831" s="118"/>
      <c r="Y831" s="118"/>
      <c r="Z831" s="118"/>
      <c r="AA831" s="118"/>
      <c r="AB831" s="118"/>
      <c r="AC831" s="119"/>
      <c r="AD831" s="119"/>
      <c r="AE831" s="118"/>
      <c r="AF831" s="152"/>
    </row>
    <row r="832" spans="1:32" x14ac:dyDescent="0.2">
      <c r="A832" s="121">
        <v>630</v>
      </c>
      <c r="B832" s="122" t="s">
        <v>1204</v>
      </c>
      <c r="C832" s="123" t="s">
        <v>429</v>
      </c>
      <c r="D832" s="123" t="s">
        <v>16</v>
      </c>
      <c r="E832" s="124" t="s">
        <v>2166</v>
      </c>
      <c r="F832" s="124" t="s">
        <v>2167</v>
      </c>
      <c r="G832" s="124" t="s">
        <v>2304</v>
      </c>
      <c r="H832" s="122" t="s">
        <v>1922</v>
      </c>
      <c r="I832" s="123">
        <v>20.659690000000001</v>
      </c>
      <c r="J832" s="123">
        <v>-101.34011</v>
      </c>
      <c r="K832" s="122"/>
      <c r="L832" s="125" t="str">
        <f t="shared" si="36"/>
        <v>Ver en Google Maps</v>
      </c>
      <c r="M832" s="122">
        <v>2</v>
      </c>
      <c r="N832" s="130"/>
      <c r="O832" s="109"/>
      <c r="P832" s="109"/>
      <c r="Q832" s="109"/>
      <c r="R832" s="109"/>
      <c r="S832" s="109"/>
      <c r="T832" s="109"/>
      <c r="U832" s="109"/>
      <c r="V832" s="109"/>
      <c r="W832" s="109"/>
      <c r="X832" s="109"/>
      <c r="Y832" s="109"/>
      <c r="Z832" s="109"/>
      <c r="AA832" s="109"/>
      <c r="AB832" s="109"/>
      <c r="AC832" s="110"/>
      <c r="AD832" s="110"/>
      <c r="AE832" s="109"/>
      <c r="AF832" s="151"/>
    </row>
    <row r="833" spans="1:32" x14ac:dyDescent="0.2">
      <c r="A833" s="112">
        <v>631</v>
      </c>
      <c r="B833" s="113" t="s">
        <v>1204</v>
      </c>
      <c r="C833" s="114" t="s">
        <v>429</v>
      </c>
      <c r="D833" s="114" t="s">
        <v>16</v>
      </c>
      <c r="E833" s="115" t="s">
        <v>2168</v>
      </c>
      <c r="F833" s="115" t="s">
        <v>2169</v>
      </c>
      <c r="G833" s="115" t="s">
        <v>2390</v>
      </c>
      <c r="H833" s="113" t="s">
        <v>1922</v>
      </c>
      <c r="I833" s="114">
        <v>20.686344999999999</v>
      </c>
      <c r="J833" s="114">
        <v>-101.34888599999999</v>
      </c>
      <c r="K833" s="113"/>
      <c r="L833" s="116" t="str">
        <f t="shared" si="36"/>
        <v>Ver en Google Maps</v>
      </c>
      <c r="M833" s="113">
        <v>2</v>
      </c>
      <c r="N833" s="129"/>
      <c r="O833" s="118"/>
      <c r="P833" s="118"/>
      <c r="Q833" s="118"/>
      <c r="R833" s="118"/>
      <c r="S833" s="118"/>
      <c r="T833" s="118"/>
      <c r="U833" s="118"/>
      <c r="V833" s="118"/>
      <c r="W833" s="118"/>
      <c r="X833" s="118"/>
      <c r="Y833" s="118"/>
      <c r="Z833" s="118"/>
      <c r="AA833" s="118"/>
      <c r="AB833" s="118"/>
      <c r="AC833" s="119"/>
      <c r="AD833" s="119"/>
      <c r="AE833" s="118"/>
      <c r="AF833" s="152"/>
    </row>
    <row r="834" spans="1:32" x14ac:dyDescent="0.2">
      <c r="A834" s="121">
        <v>659</v>
      </c>
      <c r="B834" s="122" t="s">
        <v>1204</v>
      </c>
      <c r="C834" s="123" t="s">
        <v>429</v>
      </c>
      <c r="D834" s="123" t="s">
        <v>16</v>
      </c>
      <c r="E834" s="124" t="s">
        <v>2170</v>
      </c>
      <c r="F834" s="124" t="s">
        <v>2171</v>
      </c>
      <c r="G834" s="124" t="s">
        <v>1105</v>
      </c>
      <c r="H834" s="122" t="s">
        <v>1922</v>
      </c>
      <c r="I834" s="123">
        <v>20.673670000000001</v>
      </c>
      <c r="J834" s="123">
        <v>-101.35</v>
      </c>
      <c r="K834" s="122"/>
      <c r="L834" s="125" t="str">
        <f t="shared" si="36"/>
        <v>Ver en Google Maps</v>
      </c>
      <c r="M834" s="122">
        <v>1</v>
      </c>
      <c r="N834" s="130"/>
      <c r="O834" s="109"/>
      <c r="P834" s="109"/>
      <c r="Q834" s="109"/>
      <c r="R834" s="109"/>
      <c r="S834" s="109"/>
      <c r="T834" s="109"/>
      <c r="U834" s="109"/>
      <c r="V834" s="109"/>
      <c r="W834" s="109"/>
      <c r="X834" s="109"/>
      <c r="Y834" s="109"/>
      <c r="Z834" s="109"/>
      <c r="AA834" s="109"/>
      <c r="AB834" s="109"/>
      <c r="AC834" s="110"/>
      <c r="AD834" s="110"/>
      <c r="AE834" s="109"/>
      <c r="AF834" s="151"/>
    </row>
    <row r="835" spans="1:32" x14ac:dyDescent="0.2">
      <c r="A835" s="112">
        <v>665</v>
      </c>
      <c r="B835" s="113" t="s">
        <v>1204</v>
      </c>
      <c r="C835" s="114" t="s">
        <v>429</v>
      </c>
      <c r="D835" s="114" t="s">
        <v>16</v>
      </c>
      <c r="E835" s="115" t="s">
        <v>2172</v>
      </c>
      <c r="F835" s="115" t="s">
        <v>2173</v>
      </c>
      <c r="G835" s="115" t="s">
        <v>1892</v>
      </c>
      <c r="H835" s="113" t="s">
        <v>1922</v>
      </c>
      <c r="I835" s="114">
        <v>20.667818</v>
      </c>
      <c r="J835" s="114">
        <v>-101.34801400000001</v>
      </c>
      <c r="K835" s="113"/>
      <c r="L835" s="116" t="str">
        <f t="shared" si="36"/>
        <v>Ver en Google Maps</v>
      </c>
      <c r="M835" s="113">
        <v>1</v>
      </c>
      <c r="N835" s="129"/>
      <c r="O835" s="118"/>
      <c r="P835" s="118"/>
      <c r="Q835" s="118"/>
      <c r="R835" s="118"/>
      <c r="S835" s="118"/>
      <c r="T835" s="118"/>
      <c r="U835" s="118"/>
      <c r="V835" s="118"/>
      <c r="W835" s="118"/>
      <c r="X835" s="118"/>
      <c r="Y835" s="118"/>
      <c r="Z835" s="118"/>
      <c r="AA835" s="118"/>
      <c r="AB835" s="118"/>
      <c r="AC835" s="119"/>
      <c r="AD835" s="119"/>
      <c r="AE835" s="118"/>
      <c r="AF835" s="152"/>
    </row>
    <row r="836" spans="1:32" x14ac:dyDescent="0.2">
      <c r="A836" s="121">
        <v>666</v>
      </c>
      <c r="B836" s="122" t="s">
        <v>1204</v>
      </c>
      <c r="C836" s="123" t="s">
        <v>429</v>
      </c>
      <c r="D836" s="123" t="s">
        <v>16</v>
      </c>
      <c r="E836" s="124" t="s">
        <v>2174</v>
      </c>
      <c r="F836" s="124" t="s">
        <v>2175</v>
      </c>
      <c r="G836" s="124" t="s">
        <v>1059</v>
      </c>
      <c r="H836" s="122" t="s">
        <v>1922</v>
      </c>
      <c r="I836" s="123">
        <v>20.658239999999999</v>
      </c>
      <c r="J836" s="123">
        <v>-101.34876</v>
      </c>
      <c r="K836" s="122"/>
      <c r="L836" s="125" t="str">
        <f t="shared" si="36"/>
        <v>Ver en Google Maps</v>
      </c>
      <c r="M836" s="122">
        <v>2</v>
      </c>
      <c r="N836" s="130"/>
      <c r="O836" s="109"/>
      <c r="P836" s="109"/>
      <c r="Q836" s="109"/>
      <c r="R836" s="109"/>
      <c r="S836" s="109"/>
      <c r="T836" s="109"/>
      <c r="U836" s="109"/>
      <c r="V836" s="109"/>
      <c r="W836" s="109"/>
      <c r="X836" s="109"/>
      <c r="Y836" s="109"/>
      <c r="Z836" s="109"/>
      <c r="AA836" s="109"/>
      <c r="AB836" s="109"/>
      <c r="AC836" s="110"/>
      <c r="AD836" s="110"/>
      <c r="AE836" s="109"/>
      <c r="AF836" s="151"/>
    </row>
    <row r="837" spans="1:32" x14ac:dyDescent="0.2">
      <c r="A837" s="112">
        <v>668</v>
      </c>
      <c r="B837" s="113" t="s">
        <v>1204</v>
      </c>
      <c r="C837" s="114" t="s">
        <v>429</v>
      </c>
      <c r="D837" s="114" t="s">
        <v>16</v>
      </c>
      <c r="E837" s="115" t="s">
        <v>2176</v>
      </c>
      <c r="F837" s="115" t="s">
        <v>2177</v>
      </c>
      <c r="G837" s="115" t="s">
        <v>2391</v>
      </c>
      <c r="H837" s="113" t="s">
        <v>1922</v>
      </c>
      <c r="I837" s="114">
        <v>20.694330000000001</v>
      </c>
      <c r="J837" s="114">
        <v>-101.3523</v>
      </c>
      <c r="K837" s="113"/>
      <c r="L837" s="116" t="str">
        <f t="shared" si="36"/>
        <v>Ver en Google Maps</v>
      </c>
      <c r="M837" s="113">
        <v>2</v>
      </c>
      <c r="N837" s="129"/>
      <c r="O837" s="118"/>
      <c r="P837" s="118"/>
      <c r="Q837" s="118"/>
      <c r="R837" s="118"/>
      <c r="S837" s="118"/>
      <c r="T837" s="118"/>
      <c r="U837" s="118"/>
      <c r="V837" s="118"/>
      <c r="W837" s="118"/>
      <c r="X837" s="118"/>
      <c r="Y837" s="118"/>
      <c r="Z837" s="118"/>
      <c r="AA837" s="118"/>
      <c r="AB837" s="118"/>
      <c r="AC837" s="119"/>
      <c r="AD837" s="119"/>
      <c r="AE837" s="118"/>
      <c r="AF837" s="152"/>
    </row>
    <row r="838" spans="1:32" x14ac:dyDescent="0.2">
      <c r="A838" s="121">
        <v>675</v>
      </c>
      <c r="B838" s="122" t="s">
        <v>1204</v>
      </c>
      <c r="C838" s="123" t="s">
        <v>429</v>
      </c>
      <c r="D838" s="123" t="s">
        <v>16</v>
      </c>
      <c r="E838" s="124" t="s">
        <v>2178</v>
      </c>
      <c r="F838" s="124" t="s">
        <v>2179</v>
      </c>
      <c r="G838" s="124" t="s">
        <v>2392</v>
      </c>
      <c r="H838" s="122" t="s">
        <v>1922</v>
      </c>
      <c r="I838" s="123">
        <v>20.68214</v>
      </c>
      <c r="J838" s="123">
        <v>-101.32850000000001</v>
      </c>
      <c r="K838" s="122"/>
      <c r="L838" s="125" t="str">
        <f t="shared" si="36"/>
        <v>Ver en Google Maps</v>
      </c>
      <c r="M838" s="122">
        <v>1</v>
      </c>
      <c r="N838" s="130"/>
      <c r="O838" s="109"/>
      <c r="P838" s="109"/>
      <c r="Q838" s="109"/>
      <c r="R838" s="109"/>
      <c r="S838" s="109"/>
      <c r="T838" s="109"/>
      <c r="U838" s="109"/>
      <c r="V838" s="109"/>
      <c r="W838" s="109"/>
      <c r="X838" s="109"/>
      <c r="Y838" s="109"/>
      <c r="Z838" s="109"/>
      <c r="AA838" s="109"/>
      <c r="AB838" s="109"/>
      <c r="AC838" s="110"/>
      <c r="AD838" s="110"/>
      <c r="AE838" s="109"/>
      <c r="AF838" s="151"/>
    </row>
    <row r="839" spans="1:32" x14ac:dyDescent="0.2">
      <c r="A839" s="112">
        <v>680</v>
      </c>
      <c r="B839" s="113" t="s">
        <v>1204</v>
      </c>
      <c r="C839" s="114" t="s">
        <v>429</v>
      </c>
      <c r="D839" s="114" t="s">
        <v>16</v>
      </c>
      <c r="E839" s="115" t="s">
        <v>2180</v>
      </c>
      <c r="F839" s="115" t="s">
        <v>2181</v>
      </c>
      <c r="G839" s="115" t="s">
        <v>2393</v>
      </c>
      <c r="H839" s="113" t="s">
        <v>1922</v>
      </c>
      <c r="I839" s="114">
        <v>20.683720000000001</v>
      </c>
      <c r="J839" s="114">
        <v>-101.32408</v>
      </c>
      <c r="K839" s="113"/>
      <c r="L839" s="116" t="str">
        <f t="shared" si="36"/>
        <v>Ver en Google Maps</v>
      </c>
      <c r="M839" s="113">
        <v>1</v>
      </c>
      <c r="N839" s="129"/>
      <c r="O839" s="118"/>
      <c r="P839" s="118"/>
      <c r="Q839" s="118"/>
      <c r="R839" s="118"/>
      <c r="S839" s="118"/>
      <c r="T839" s="118"/>
      <c r="U839" s="118"/>
      <c r="V839" s="118"/>
      <c r="W839" s="118"/>
      <c r="X839" s="118"/>
      <c r="Y839" s="118"/>
      <c r="Z839" s="118"/>
      <c r="AA839" s="118"/>
      <c r="AB839" s="118"/>
      <c r="AC839" s="119"/>
      <c r="AD839" s="119"/>
      <c r="AE839" s="118"/>
      <c r="AF839" s="152"/>
    </row>
    <row r="840" spans="1:32" x14ac:dyDescent="0.2">
      <c r="A840" s="121">
        <v>683</v>
      </c>
      <c r="B840" s="122" t="s">
        <v>1204</v>
      </c>
      <c r="C840" s="123" t="s">
        <v>429</v>
      </c>
      <c r="D840" s="123" t="s">
        <v>16</v>
      </c>
      <c r="E840" s="124" t="s">
        <v>2182</v>
      </c>
      <c r="F840" s="124" t="s">
        <v>2183</v>
      </c>
      <c r="G840" s="124" t="s">
        <v>2394</v>
      </c>
      <c r="H840" s="122" t="s">
        <v>1922</v>
      </c>
      <c r="I840" s="123">
        <v>20.680389999999999</v>
      </c>
      <c r="J840" s="123">
        <v>-101.33365999999999</v>
      </c>
      <c r="K840" s="122"/>
      <c r="L840" s="125" t="str">
        <f t="shared" si="36"/>
        <v>Ver en Google Maps</v>
      </c>
      <c r="M840" s="122">
        <v>2</v>
      </c>
      <c r="N840" s="130"/>
      <c r="O840" s="109"/>
      <c r="P840" s="109"/>
      <c r="Q840" s="109"/>
      <c r="R840" s="109"/>
      <c r="S840" s="109"/>
      <c r="T840" s="109"/>
      <c r="U840" s="109"/>
      <c r="V840" s="109"/>
      <c r="W840" s="109"/>
      <c r="X840" s="109"/>
      <c r="Y840" s="109"/>
      <c r="Z840" s="109"/>
      <c r="AA840" s="109"/>
      <c r="AB840" s="109"/>
      <c r="AC840" s="110"/>
      <c r="AD840" s="110"/>
      <c r="AE840" s="109"/>
      <c r="AF840" s="151"/>
    </row>
    <row r="841" spans="1:32" x14ac:dyDescent="0.2">
      <c r="A841" s="112">
        <v>694</v>
      </c>
      <c r="B841" s="113" t="s">
        <v>1204</v>
      </c>
      <c r="C841" s="114" t="s">
        <v>429</v>
      </c>
      <c r="D841" s="114" t="s">
        <v>16</v>
      </c>
      <c r="E841" s="115" t="s">
        <v>2184</v>
      </c>
      <c r="F841" s="115" t="s">
        <v>2185</v>
      </c>
      <c r="G841" s="115" t="s">
        <v>1008</v>
      </c>
      <c r="H841" s="113" t="s">
        <v>1922</v>
      </c>
      <c r="I841" s="114">
        <v>20.70731</v>
      </c>
      <c r="J841" s="114">
        <v>-101.35531</v>
      </c>
      <c r="K841" s="113"/>
      <c r="L841" s="116" t="str">
        <f t="shared" si="36"/>
        <v>Ver en Google Maps</v>
      </c>
      <c r="M841" s="113">
        <v>1</v>
      </c>
      <c r="N841" s="129"/>
      <c r="O841" s="118"/>
      <c r="P841" s="118"/>
      <c r="Q841" s="118"/>
      <c r="R841" s="118"/>
      <c r="S841" s="118"/>
      <c r="T841" s="118"/>
      <c r="U841" s="118"/>
      <c r="V841" s="118"/>
      <c r="W841" s="118"/>
      <c r="X841" s="118"/>
      <c r="Y841" s="118"/>
      <c r="Z841" s="118"/>
      <c r="AA841" s="118"/>
      <c r="AB841" s="118"/>
      <c r="AC841" s="119"/>
      <c r="AD841" s="119"/>
      <c r="AE841" s="118"/>
      <c r="AF841" s="152"/>
    </row>
    <row r="842" spans="1:32" x14ac:dyDescent="0.2">
      <c r="A842" s="121">
        <v>701</v>
      </c>
      <c r="B842" s="122" t="s">
        <v>1204</v>
      </c>
      <c r="C842" s="123" t="s">
        <v>429</v>
      </c>
      <c r="D842" s="123" t="s">
        <v>15</v>
      </c>
      <c r="E842" s="124" t="s">
        <v>2186</v>
      </c>
      <c r="F842" s="124" t="s">
        <v>2187</v>
      </c>
      <c r="G842" s="124" t="s">
        <v>1105</v>
      </c>
      <c r="H842" s="122" t="s">
        <v>1922</v>
      </c>
      <c r="I842" s="123">
        <v>20.669689999999999</v>
      </c>
      <c r="J842" s="123">
        <v>-101.34225000000001</v>
      </c>
      <c r="K842" s="122"/>
      <c r="L842" s="125" t="str">
        <f t="shared" si="36"/>
        <v>Ver en Google Maps</v>
      </c>
      <c r="M842" s="122">
        <v>2</v>
      </c>
      <c r="N842" s="130"/>
      <c r="O842" s="109"/>
      <c r="P842" s="109"/>
      <c r="Q842" s="109"/>
      <c r="R842" s="109"/>
      <c r="S842" s="109"/>
      <c r="T842" s="109"/>
      <c r="U842" s="109"/>
      <c r="V842" s="109"/>
      <c r="W842" s="109"/>
      <c r="X842" s="109"/>
      <c r="Y842" s="109"/>
      <c r="Z842" s="109"/>
      <c r="AA842" s="109"/>
      <c r="AB842" s="109"/>
      <c r="AC842" s="110"/>
      <c r="AD842" s="110"/>
      <c r="AE842" s="109"/>
      <c r="AF842" s="151"/>
    </row>
    <row r="843" spans="1:32" x14ac:dyDescent="0.2">
      <c r="A843" s="112">
        <v>702</v>
      </c>
      <c r="B843" s="113" t="s">
        <v>1204</v>
      </c>
      <c r="C843" s="114" t="s">
        <v>429</v>
      </c>
      <c r="D843" s="114" t="s">
        <v>15</v>
      </c>
      <c r="E843" s="115" t="s">
        <v>2188</v>
      </c>
      <c r="F843" s="115" t="s">
        <v>2189</v>
      </c>
      <c r="G843" s="115" t="s">
        <v>2313</v>
      </c>
      <c r="H843" s="113" t="s">
        <v>1922</v>
      </c>
      <c r="I843" s="114">
        <v>20.667940000000002</v>
      </c>
      <c r="J843" s="114">
        <v>-101.35142</v>
      </c>
      <c r="K843" s="113"/>
      <c r="L843" s="116" t="str">
        <f t="shared" si="36"/>
        <v>Ver en Google Maps</v>
      </c>
      <c r="M843" s="113">
        <v>2</v>
      </c>
      <c r="N843" s="129"/>
      <c r="O843" s="118"/>
      <c r="P843" s="118"/>
      <c r="Q843" s="118"/>
      <c r="R843" s="118"/>
      <c r="S843" s="118"/>
      <c r="T843" s="118"/>
      <c r="U843" s="118"/>
      <c r="V843" s="118"/>
      <c r="W843" s="118"/>
      <c r="X843" s="118"/>
      <c r="Y843" s="118"/>
      <c r="Z843" s="118"/>
      <c r="AA843" s="118"/>
      <c r="AB843" s="118"/>
      <c r="AC843" s="119"/>
      <c r="AD843" s="119"/>
      <c r="AE843" s="118"/>
      <c r="AF843" s="152"/>
    </row>
    <row r="844" spans="1:32" x14ac:dyDescent="0.2">
      <c r="A844" s="121">
        <v>703</v>
      </c>
      <c r="B844" s="122" t="s">
        <v>1204</v>
      </c>
      <c r="C844" s="123" t="s">
        <v>429</v>
      </c>
      <c r="D844" s="123" t="s">
        <v>15</v>
      </c>
      <c r="E844" s="124" t="s">
        <v>2190</v>
      </c>
      <c r="F844" s="124" t="s">
        <v>2191</v>
      </c>
      <c r="G844" s="124" t="s">
        <v>2299</v>
      </c>
      <c r="H844" s="122" t="s">
        <v>1922</v>
      </c>
      <c r="I844" s="123">
        <v>20.695029999999999</v>
      </c>
      <c r="J844" s="123">
        <v>-101.371</v>
      </c>
      <c r="K844" s="122"/>
      <c r="L844" s="125" t="str">
        <f t="shared" si="36"/>
        <v>Ver en Google Maps</v>
      </c>
      <c r="M844" s="122">
        <v>2</v>
      </c>
      <c r="N844" s="130"/>
      <c r="O844" s="109"/>
      <c r="P844" s="109"/>
      <c r="Q844" s="109"/>
      <c r="R844" s="109"/>
      <c r="S844" s="109"/>
      <c r="T844" s="109"/>
      <c r="U844" s="109"/>
      <c r="V844" s="109"/>
      <c r="W844" s="109"/>
      <c r="X844" s="109"/>
      <c r="Y844" s="109"/>
      <c r="Z844" s="109"/>
      <c r="AA844" s="109"/>
      <c r="AB844" s="109"/>
      <c r="AC844" s="110"/>
      <c r="AD844" s="110"/>
      <c r="AE844" s="109"/>
      <c r="AF844" s="151"/>
    </row>
    <row r="845" spans="1:32" x14ac:dyDescent="0.2">
      <c r="A845" s="112">
        <v>721</v>
      </c>
      <c r="B845" s="113" t="s">
        <v>1204</v>
      </c>
      <c r="C845" s="114" t="s">
        <v>429</v>
      </c>
      <c r="D845" s="114" t="s">
        <v>15</v>
      </c>
      <c r="E845" s="115" t="s">
        <v>2192</v>
      </c>
      <c r="F845" s="115" t="s">
        <v>2193</v>
      </c>
      <c r="G845" s="115" t="s">
        <v>2395</v>
      </c>
      <c r="H845" s="113" t="s">
        <v>1922</v>
      </c>
      <c r="I845" s="114">
        <v>20.664359999999999</v>
      </c>
      <c r="J845" s="114">
        <v>-101.35142</v>
      </c>
      <c r="K845" s="113"/>
      <c r="L845" s="116" t="str">
        <f t="shared" si="36"/>
        <v>Ver en Google Maps</v>
      </c>
      <c r="M845" s="113">
        <v>2</v>
      </c>
      <c r="N845" s="129"/>
      <c r="O845" s="118"/>
      <c r="P845" s="118"/>
      <c r="Q845" s="118"/>
      <c r="R845" s="118"/>
      <c r="S845" s="118"/>
      <c r="T845" s="118"/>
      <c r="U845" s="118"/>
      <c r="V845" s="118"/>
      <c r="W845" s="118"/>
      <c r="X845" s="118"/>
      <c r="Y845" s="118"/>
      <c r="Z845" s="118"/>
      <c r="AA845" s="118"/>
      <c r="AB845" s="118"/>
      <c r="AC845" s="119"/>
      <c r="AD845" s="119"/>
      <c r="AE845" s="118"/>
      <c r="AF845" s="152"/>
    </row>
    <row r="846" spans="1:32" x14ac:dyDescent="0.2">
      <c r="A846" s="121">
        <v>735</v>
      </c>
      <c r="B846" s="122" t="s">
        <v>1204</v>
      </c>
      <c r="C846" s="123" t="s">
        <v>429</v>
      </c>
      <c r="D846" s="123" t="s">
        <v>15</v>
      </c>
      <c r="E846" s="124" t="s">
        <v>2194</v>
      </c>
      <c r="F846" s="124" t="s">
        <v>2195</v>
      </c>
      <c r="G846" s="124" t="s">
        <v>2392</v>
      </c>
      <c r="H846" s="122" t="s">
        <v>1922</v>
      </c>
      <c r="I846" s="123">
        <v>20.682566999999999</v>
      </c>
      <c r="J846" s="123">
        <v>-101.327668</v>
      </c>
      <c r="K846" s="122"/>
      <c r="L846" s="125" t="str">
        <f t="shared" si="36"/>
        <v>Ver en Google Maps</v>
      </c>
      <c r="M846" s="122">
        <v>2</v>
      </c>
      <c r="N846" s="130"/>
      <c r="O846" s="109"/>
      <c r="P846" s="109"/>
      <c r="Q846" s="109"/>
      <c r="R846" s="109"/>
      <c r="S846" s="109"/>
      <c r="T846" s="109"/>
      <c r="U846" s="109"/>
      <c r="V846" s="109"/>
      <c r="W846" s="109"/>
      <c r="X846" s="109"/>
      <c r="Y846" s="109"/>
      <c r="Z846" s="109"/>
      <c r="AA846" s="109"/>
      <c r="AB846" s="109"/>
      <c r="AC846" s="110"/>
      <c r="AD846" s="110"/>
      <c r="AE846" s="109"/>
      <c r="AF846" s="151"/>
    </row>
    <row r="847" spans="1:32" x14ac:dyDescent="0.2">
      <c r="A847" s="112">
        <v>741</v>
      </c>
      <c r="B847" s="113" t="s">
        <v>1204</v>
      </c>
      <c r="C847" s="114" t="s">
        <v>429</v>
      </c>
      <c r="D847" s="114" t="s">
        <v>16</v>
      </c>
      <c r="E847" s="115" t="s">
        <v>2196</v>
      </c>
      <c r="F847" s="115" t="s">
        <v>2197</v>
      </c>
      <c r="G847" s="115" t="s">
        <v>2396</v>
      </c>
      <c r="H847" s="113" t="s">
        <v>1922</v>
      </c>
      <c r="I847" s="114">
        <v>20.671986</v>
      </c>
      <c r="J847" s="114">
        <v>-101.332499</v>
      </c>
      <c r="K847" s="113"/>
      <c r="L847" s="116" t="str">
        <f t="shared" ref="L847:L910" si="39">HYPERLINK("https://www.google.com/maps?q=" &amp; I847 &amp; "," &amp; J847, "Ver en Google Maps")</f>
        <v>Ver en Google Maps</v>
      </c>
      <c r="M847" s="113">
        <v>2</v>
      </c>
      <c r="N847" s="129"/>
      <c r="O847" s="118"/>
      <c r="P847" s="118"/>
      <c r="Q847" s="118"/>
      <c r="R847" s="118"/>
      <c r="S847" s="118"/>
      <c r="T847" s="118"/>
      <c r="U847" s="118"/>
      <c r="V847" s="118"/>
      <c r="W847" s="118"/>
      <c r="X847" s="118"/>
      <c r="Y847" s="118"/>
      <c r="Z847" s="118"/>
      <c r="AA847" s="118"/>
      <c r="AB847" s="118"/>
      <c r="AC847" s="119"/>
      <c r="AD847" s="119"/>
      <c r="AE847" s="118"/>
      <c r="AF847" s="152"/>
    </row>
    <row r="848" spans="1:32" x14ac:dyDescent="0.2">
      <c r="A848" s="121">
        <v>742</v>
      </c>
      <c r="B848" s="122" t="s">
        <v>1204</v>
      </c>
      <c r="C848" s="123" t="s">
        <v>429</v>
      </c>
      <c r="D848" s="123" t="s">
        <v>16</v>
      </c>
      <c r="E848" s="124" t="s">
        <v>2198</v>
      </c>
      <c r="F848" s="124" t="s">
        <v>2199</v>
      </c>
      <c r="G848" s="124" t="s">
        <v>2333</v>
      </c>
      <c r="H848" s="122" t="s">
        <v>1922</v>
      </c>
      <c r="I848" s="123">
        <v>20.691123999999999</v>
      </c>
      <c r="J848" s="123">
        <v>-101.337028</v>
      </c>
      <c r="K848" s="122"/>
      <c r="L848" s="125" t="str">
        <f t="shared" si="39"/>
        <v>Ver en Google Maps</v>
      </c>
      <c r="M848" s="122">
        <v>2</v>
      </c>
      <c r="N848" s="130"/>
      <c r="O848" s="109"/>
      <c r="P848" s="109"/>
      <c r="Q848" s="109"/>
      <c r="R848" s="109"/>
      <c r="S848" s="109"/>
      <c r="T848" s="109"/>
      <c r="U848" s="109"/>
      <c r="V848" s="109"/>
      <c r="W848" s="109"/>
      <c r="X848" s="109"/>
      <c r="Y848" s="109"/>
      <c r="Z848" s="109"/>
      <c r="AA848" s="109"/>
      <c r="AB848" s="109"/>
      <c r="AC848" s="110"/>
      <c r="AD848" s="110"/>
      <c r="AE848" s="109"/>
      <c r="AF848" s="151"/>
    </row>
    <row r="849" spans="1:32" x14ac:dyDescent="0.2">
      <c r="A849" s="112">
        <v>754</v>
      </c>
      <c r="B849" s="113" t="s">
        <v>1204</v>
      </c>
      <c r="C849" s="114" t="s">
        <v>429</v>
      </c>
      <c r="D849" s="114" t="s">
        <v>16</v>
      </c>
      <c r="E849" s="115" t="s">
        <v>2200</v>
      </c>
      <c r="F849" s="115" t="s">
        <v>2201</v>
      </c>
      <c r="G849" s="115" t="s">
        <v>2350</v>
      </c>
      <c r="H849" s="113" t="s">
        <v>1922</v>
      </c>
      <c r="I849" s="114">
        <v>20.700634000000001</v>
      </c>
      <c r="J849" s="114">
        <v>-101.34314000000001</v>
      </c>
      <c r="K849" s="113"/>
      <c r="L849" s="116" t="str">
        <f t="shared" si="39"/>
        <v>Ver en Google Maps</v>
      </c>
      <c r="M849" s="113">
        <v>1</v>
      </c>
      <c r="N849" s="129"/>
      <c r="O849" s="118"/>
      <c r="P849" s="118"/>
      <c r="Q849" s="118"/>
      <c r="R849" s="118"/>
      <c r="S849" s="118"/>
      <c r="T849" s="118"/>
      <c r="U849" s="118"/>
      <c r="V849" s="118"/>
      <c r="W849" s="118"/>
      <c r="X849" s="118"/>
      <c r="Y849" s="118"/>
      <c r="Z849" s="118"/>
      <c r="AA849" s="118"/>
      <c r="AB849" s="118"/>
      <c r="AC849" s="119"/>
      <c r="AD849" s="119"/>
      <c r="AE849" s="118"/>
      <c r="AF849" s="152"/>
    </row>
    <row r="850" spans="1:32" x14ac:dyDescent="0.2">
      <c r="A850" s="121">
        <v>766</v>
      </c>
      <c r="B850" s="122" t="s">
        <v>1204</v>
      </c>
      <c r="C850" s="123" t="s">
        <v>429</v>
      </c>
      <c r="D850" s="123" t="s">
        <v>17</v>
      </c>
      <c r="E850" s="124" t="s">
        <v>2202</v>
      </c>
      <c r="F850" s="124" t="s">
        <v>2203</v>
      </c>
      <c r="G850" s="124" t="s">
        <v>2303</v>
      </c>
      <c r="H850" s="122" t="s">
        <v>1922</v>
      </c>
      <c r="I850" s="123">
        <v>20.696107999999999</v>
      </c>
      <c r="J850" s="123">
        <v>-101.338618</v>
      </c>
      <c r="K850" s="122"/>
      <c r="L850" s="125" t="str">
        <f t="shared" si="39"/>
        <v>Ver en Google Maps</v>
      </c>
      <c r="M850" s="122">
        <v>1</v>
      </c>
      <c r="N850" s="130"/>
      <c r="O850" s="109"/>
      <c r="P850" s="109"/>
      <c r="Q850" s="109"/>
      <c r="R850" s="109"/>
      <c r="S850" s="109"/>
      <c r="T850" s="109"/>
      <c r="U850" s="109"/>
      <c r="V850" s="109"/>
      <c r="W850" s="109"/>
      <c r="X850" s="109"/>
      <c r="Y850" s="109"/>
      <c r="Z850" s="109"/>
      <c r="AA850" s="109"/>
      <c r="AB850" s="109"/>
      <c r="AC850" s="110"/>
      <c r="AD850" s="110"/>
      <c r="AE850" s="109"/>
      <c r="AF850" s="151"/>
    </row>
    <row r="851" spans="1:32" x14ac:dyDescent="0.2">
      <c r="A851" s="112">
        <v>771</v>
      </c>
      <c r="B851" s="113" t="s">
        <v>1204</v>
      </c>
      <c r="C851" s="114" t="s">
        <v>18</v>
      </c>
      <c r="D851" s="114" t="s">
        <v>404</v>
      </c>
      <c r="E851" s="115" t="s">
        <v>2204</v>
      </c>
      <c r="F851" s="115" t="s">
        <v>2205</v>
      </c>
      <c r="G851" s="115" t="s">
        <v>1105</v>
      </c>
      <c r="H851" s="113" t="s">
        <v>1922</v>
      </c>
      <c r="I851" s="114">
        <v>20.673960000000001</v>
      </c>
      <c r="J851" s="114">
        <v>-101.34792</v>
      </c>
      <c r="K851" s="113"/>
      <c r="L851" s="116" t="str">
        <f t="shared" si="39"/>
        <v>Ver en Google Maps</v>
      </c>
      <c r="M851" s="113">
        <v>2</v>
      </c>
      <c r="N851" s="129"/>
      <c r="O851" s="118"/>
      <c r="P851" s="118"/>
      <c r="Q851" s="118"/>
      <c r="R851" s="118"/>
      <c r="S851" s="118"/>
      <c r="T851" s="118"/>
      <c r="U851" s="118"/>
      <c r="V851" s="118"/>
      <c r="W851" s="118"/>
      <c r="X851" s="118"/>
      <c r="Y851" s="118"/>
      <c r="Z851" s="118"/>
      <c r="AA851" s="118"/>
      <c r="AB851" s="118"/>
      <c r="AC851" s="119"/>
      <c r="AD851" s="119"/>
      <c r="AE851" s="118"/>
      <c r="AF851" s="152"/>
    </row>
    <row r="852" spans="1:32" x14ac:dyDescent="0.2">
      <c r="A852" s="121">
        <v>775</v>
      </c>
      <c r="B852" s="122" t="s">
        <v>1204</v>
      </c>
      <c r="C852" s="123" t="s">
        <v>7</v>
      </c>
      <c r="D852" s="123" t="s">
        <v>404</v>
      </c>
      <c r="E852" s="124" t="s">
        <v>2206</v>
      </c>
      <c r="F852" s="124" t="s">
        <v>2207</v>
      </c>
      <c r="G852" s="124" t="s">
        <v>2397</v>
      </c>
      <c r="H852" s="122" t="s">
        <v>1922</v>
      </c>
      <c r="I852" s="123">
        <v>20.643889999999999</v>
      </c>
      <c r="J852" s="123">
        <v>-101.388493</v>
      </c>
      <c r="K852" s="122" t="s">
        <v>139</v>
      </c>
      <c r="L852" s="125" t="str">
        <f t="shared" si="39"/>
        <v>Ver en Google Maps</v>
      </c>
      <c r="M852" s="122">
        <v>1</v>
      </c>
      <c r="N852" s="108">
        <v>45942</v>
      </c>
      <c r="O852" s="109">
        <f>DAY('BD1'!$N852)</f>
        <v>12</v>
      </c>
      <c r="P852" s="109">
        <f>MONTH('BD1'!$N852)</f>
        <v>10</v>
      </c>
      <c r="Q852" s="109">
        <f>YEAR('BD1'!$N852)</f>
        <v>2025</v>
      </c>
      <c r="R852" s="109">
        <v>1</v>
      </c>
      <c r="S852" s="109" t="s">
        <v>138</v>
      </c>
      <c r="T852" s="109" t="s">
        <v>138</v>
      </c>
      <c r="U852" s="109" t="s">
        <v>138</v>
      </c>
      <c r="V852" s="109" t="s">
        <v>138</v>
      </c>
      <c r="W852" s="109" t="s">
        <v>138</v>
      </c>
      <c r="X852" s="109" t="s">
        <v>138</v>
      </c>
      <c r="Y852" s="109" t="s">
        <v>138</v>
      </c>
      <c r="Z852" s="109" t="s">
        <v>138</v>
      </c>
      <c r="AA852" s="109">
        <v>92.3</v>
      </c>
      <c r="AB852" s="109">
        <v>18.899999999999999</v>
      </c>
      <c r="AC852" s="110" t="s">
        <v>967</v>
      </c>
      <c r="AD852" s="110" t="s">
        <v>2436</v>
      </c>
      <c r="AE852" s="109">
        <f t="shared" ref="AE852:AE897" si="40">COUNTIF(S852:Z852, "si")</f>
        <v>8</v>
      </c>
      <c r="AF852" s="151" t="str">
        <f t="shared" ref="AF834:AF897" si="41">IF(AE852=8,"Estable",(IF(AE852=7,"Funcional con observaciones", (IF(AE852=6,"Funcional con observaciones",(IF(AE852=5,"Rendimiento bajo",(IF(AE852=4,"Parcialmente funcional",(IF(AE852=3,"Parcialmente funcional",(IF(AE852=2,"Inoperativo",(IF(AE852=1,"Inoperativo","Crítico")))))))))))))))</f>
        <v>Estable</v>
      </c>
    </row>
    <row r="853" spans="1:32" x14ac:dyDescent="0.2">
      <c r="A853" s="112">
        <v>777</v>
      </c>
      <c r="B853" s="113" t="s">
        <v>1204</v>
      </c>
      <c r="C853" s="114" t="s">
        <v>429</v>
      </c>
      <c r="D853" s="114" t="s">
        <v>17</v>
      </c>
      <c r="E853" s="115" t="s">
        <v>2208</v>
      </c>
      <c r="F853" s="115" t="s">
        <v>2209</v>
      </c>
      <c r="G853" s="115" t="s">
        <v>2398</v>
      </c>
      <c r="H853" s="113" t="s">
        <v>1922</v>
      </c>
      <c r="I853" s="114">
        <v>20.679207999999999</v>
      </c>
      <c r="J853" s="114">
        <v>-101.35606199999999</v>
      </c>
      <c r="K853" s="113"/>
      <c r="L853" s="116" t="str">
        <f t="shared" si="39"/>
        <v>Ver en Google Maps</v>
      </c>
      <c r="M853" s="113">
        <v>1</v>
      </c>
      <c r="N853" s="129"/>
      <c r="O853" s="118"/>
      <c r="P853" s="118"/>
      <c r="Q853" s="118"/>
      <c r="R853" s="118"/>
      <c r="S853" s="118"/>
      <c r="T853" s="118"/>
      <c r="U853" s="118"/>
      <c r="V853" s="118"/>
      <c r="W853" s="118"/>
      <c r="X853" s="118"/>
      <c r="Y853" s="118"/>
      <c r="Z853" s="118"/>
      <c r="AA853" s="118"/>
      <c r="AB853" s="118"/>
      <c r="AC853" s="119"/>
      <c r="AD853" s="119"/>
      <c r="AE853" s="118"/>
      <c r="AF853" s="152"/>
    </row>
    <row r="854" spans="1:32" x14ac:dyDescent="0.2">
      <c r="A854" s="121">
        <v>778</v>
      </c>
      <c r="B854" s="122" t="s">
        <v>1204</v>
      </c>
      <c r="C854" s="123" t="s">
        <v>429</v>
      </c>
      <c r="D854" s="123" t="s">
        <v>17</v>
      </c>
      <c r="E854" s="124" t="s">
        <v>2210</v>
      </c>
      <c r="F854" s="124" t="s">
        <v>2211</v>
      </c>
      <c r="G854" s="124" t="s">
        <v>1840</v>
      </c>
      <c r="H854" s="122" t="s">
        <v>1922</v>
      </c>
      <c r="I854" s="123">
        <v>20.66206</v>
      </c>
      <c r="J854" s="123">
        <v>-101.3467</v>
      </c>
      <c r="K854" s="122"/>
      <c r="L854" s="125" t="str">
        <f t="shared" si="39"/>
        <v>Ver en Google Maps</v>
      </c>
      <c r="M854" s="122">
        <v>1</v>
      </c>
      <c r="N854" s="130"/>
      <c r="O854" s="109"/>
      <c r="P854" s="109"/>
      <c r="Q854" s="109"/>
      <c r="R854" s="109"/>
      <c r="S854" s="109"/>
      <c r="T854" s="109"/>
      <c r="U854" s="109"/>
      <c r="V854" s="109"/>
      <c r="W854" s="109"/>
      <c r="X854" s="109"/>
      <c r="Y854" s="109"/>
      <c r="Z854" s="109"/>
      <c r="AA854" s="109"/>
      <c r="AB854" s="109"/>
      <c r="AC854" s="110"/>
      <c r="AD854" s="110"/>
      <c r="AE854" s="109"/>
      <c r="AF854" s="151"/>
    </row>
    <row r="855" spans="1:32" x14ac:dyDescent="0.2">
      <c r="A855" s="112">
        <v>779</v>
      </c>
      <c r="B855" s="113" t="s">
        <v>1204</v>
      </c>
      <c r="C855" s="114" t="s">
        <v>429</v>
      </c>
      <c r="D855" s="114" t="s">
        <v>17</v>
      </c>
      <c r="E855" s="115" t="s">
        <v>2212</v>
      </c>
      <c r="F855" s="115" t="s">
        <v>2213</v>
      </c>
      <c r="G855" s="115" t="s">
        <v>2384</v>
      </c>
      <c r="H855" s="113" t="s">
        <v>1922</v>
      </c>
      <c r="I855" s="114">
        <v>20.673459999999999</v>
      </c>
      <c r="J855" s="114">
        <v>-101.36483</v>
      </c>
      <c r="K855" s="113"/>
      <c r="L855" s="116" t="str">
        <f t="shared" si="39"/>
        <v>Ver en Google Maps</v>
      </c>
      <c r="M855" s="113">
        <v>1</v>
      </c>
      <c r="N855" s="129"/>
      <c r="O855" s="118"/>
      <c r="P855" s="118"/>
      <c r="Q855" s="118"/>
      <c r="R855" s="118"/>
      <c r="S855" s="118"/>
      <c r="T855" s="118"/>
      <c r="U855" s="118"/>
      <c r="V855" s="118"/>
      <c r="W855" s="118"/>
      <c r="X855" s="118"/>
      <c r="Y855" s="118"/>
      <c r="Z855" s="118"/>
      <c r="AA855" s="118"/>
      <c r="AB855" s="118"/>
      <c r="AC855" s="119"/>
      <c r="AD855" s="119"/>
      <c r="AE855" s="118"/>
      <c r="AF855" s="152"/>
    </row>
    <row r="856" spans="1:32" x14ac:dyDescent="0.2">
      <c r="A856" s="121">
        <v>796</v>
      </c>
      <c r="B856" s="122" t="s">
        <v>1204</v>
      </c>
      <c r="C856" s="123" t="s">
        <v>429</v>
      </c>
      <c r="D856" s="123" t="s">
        <v>16</v>
      </c>
      <c r="E856" s="124" t="s">
        <v>2214</v>
      </c>
      <c r="F856" s="124" t="s">
        <v>2215</v>
      </c>
      <c r="G856" s="124" t="s">
        <v>2399</v>
      </c>
      <c r="H856" s="122" t="s">
        <v>1922</v>
      </c>
      <c r="I856" s="123">
        <v>20.690332000000001</v>
      </c>
      <c r="J856" s="123">
        <v>-101.313411</v>
      </c>
      <c r="K856" s="122"/>
      <c r="L856" s="125" t="str">
        <f t="shared" si="39"/>
        <v>Ver en Google Maps</v>
      </c>
      <c r="M856" s="122">
        <v>1</v>
      </c>
      <c r="N856" s="130"/>
      <c r="O856" s="109"/>
      <c r="P856" s="109"/>
      <c r="Q856" s="109"/>
      <c r="R856" s="109"/>
      <c r="S856" s="109"/>
      <c r="T856" s="109"/>
      <c r="U856" s="109"/>
      <c r="V856" s="109"/>
      <c r="W856" s="109"/>
      <c r="X856" s="109"/>
      <c r="Y856" s="109"/>
      <c r="Z856" s="109"/>
      <c r="AA856" s="109"/>
      <c r="AB856" s="109"/>
      <c r="AC856" s="110"/>
      <c r="AD856" s="110"/>
      <c r="AE856" s="109"/>
      <c r="AF856" s="151"/>
    </row>
    <row r="857" spans="1:32" x14ac:dyDescent="0.2">
      <c r="A857" s="112">
        <v>813</v>
      </c>
      <c r="B857" s="113" t="s">
        <v>1204</v>
      </c>
      <c r="C857" s="114" t="s">
        <v>429</v>
      </c>
      <c r="D857" s="114" t="s">
        <v>17</v>
      </c>
      <c r="E857" s="115" t="s">
        <v>2216</v>
      </c>
      <c r="F857" s="115" t="s">
        <v>2217</v>
      </c>
      <c r="G857" s="115" t="s">
        <v>999</v>
      </c>
      <c r="H857" s="113" t="s">
        <v>1922</v>
      </c>
      <c r="I857" s="114">
        <v>20.65164</v>
      </c>
      <c r="J857" s="114">
        <v>-101.38218999999999</v>
      </c>
      <c r="K857" s="113"/>
      <c r="L857" s="116" t="str">
        <f t="shared" si="39"/>
        <v>Ver en Google Maps</v>
      </c>
      <c r="M857" s="113">
        <v>1</v>
      </c>
      <c r="N857" s="129"/>
      <c r="O857" s="118"/>
      <c r="P857" s="118"/>
      <c r="Q857" s="118"/>
      <c r="R857" s="118"/>
      <c r="S857" s="118"/>
      <c r="T857" s="118"/>
      <c r="U857" s="118"/>
      <c r="V857" s="118"/>
      <c r="W857" s="118"/>
      <c r="X857" s="118"/>
      <c r="Y857" s="118"/>
      <c r="Z857" s="118"/>
      <c r="AA857" s="118"/>
      <c r="AB857" s="118"/>
      <c r="AC857" s="119"/>
      <c r="AD857" s="119"/>
      <c r="AE857" s="118"/>
      <c r="AF857" s="152"/>
    </row>
    <row r="858" spans="1:32" x14ac:dyDescent="0.2">
      <c r="A858" s="121">
        <v>814</v>
      </c>
      <c r="B858" s="122" t="s">
        <v>1204</v>
      </c>
      <c r="C858" s="123" t="s">
        <v>429</v>
      </c>
      <c r="D858" s="123" t="s">
        <v>17</v>
      </c>
      <c r="E858" s="124" t="s">
        <v>2218</v>
      </c>
      <c r="F858" s="124" t="s">
        <v>2219</v>
      </c>
      <c r="G858" s="124" t="s">
        <v>2399</v>
      </c>
      <c r="H858" s="122" t="s">
        <v>1922</v>
      </c>
      <c r="I858" s="123">
        <v>20.691478</v>
      </c>
      <c r="J858" s="123">
        <v>-101.313548</v>
      </c>
      <c r="K858" s="122"/>
      <c r="L858" s="125" t="str">
        <f t="shared" si="39"/>
        <v>Ver en Google Maps</v>
      </c>
      <c r="M858" s="122">
        <v>1</v>
      </c>
      <c r="N858" s="130"/>
      <c r="O858" s="109"/>
      <c r="P858" s="109"/>
      <c r="Q858" s="109"/>
      <c r="R858" s="109"/>
      <c r="S858" s="109"/>
      <c r="T858" s="109"/>
      <c r="U858" s="109"/>
      <c r="V858" s="109"/>
      <c r="W858" s="109"/>
      <c r="X858" s="109"/>
      <c r="Y858" s="109"/>
      <c r="Z858" s="109"/>
      <c r="AA858" s="109"/>
      <c r="AB858" s="109"/>
      <c r="AC858" s="110"/>
      <c r="AD858" s="110"/>
      <c r="AE858" s="109"/>
      <c r="AF858" s="151"/>
    </row>
    <row r="859" spans="1:32" x14ac:dyDescent="0.2">
      <c r="A859" s="112">
        <v>815</v>
      </c>
      <c r="B859" s="113" t="s">
        <v>1204</v>
      </c>
      <c r="C859" s="114" t="s">
        <v>429</v>
      </c>
      <c r="D859" s="114" t="s">
        <v>17</v>
      </c>
      <c r="E859" s="115" t="s">
        <v>2220</v>
      </c>
      <c r="F859" s="115" t="s">
        <v>2221</v>
      </c>
      <c r="G859" s="115" t="s">
        <v>2372</v>
      </c>
      <c r="H859" s="113" t="s">
        <v>1922</v>
      </c>
      <c r="I859" s="114">
        <v>20.652419999999999</v>
      </c>
      <c r="J859" s="114">
        <v>-101.37505</v>
      </c>
      <c r="K859" s="113"/>
      <c r="L859" s="116" t="str">
        <f t="shared" si="39"/>
        <v>Ver en Google Maps</v>
      </c>
      <c r="M859" s="113">
        <v>1</v>
      </c>
      <c r="N859" s="129"/>
      <c r="O859" s="118"/>
      <c r="P859" s="118"/>
      <c r="Q859" s="118"/>
      <c r="R859" s="118"/>
      <c r="S859" s="118"/>
      <c r="T859" s="118"/>
      <c r="U859" s="118"/>
      <c r="V859" s="118"/>
      <c r="W859" s="118"/>
      <c r="X859" s="118"/>
      <c r="Y859" s="118"/>
      <c r="Z859" s="118"/>
      <c r="AA859" s="118"/>
      <c r="AB859" s="118"/>
      <c r="AC859" s="119"/>
      <c r="AD859" s="119"/>
      <c r="AE859" s="118"/>
      <c r="AF859" s="152"/>
    </row>
    <row r="860" spans="1:32" x14ac:dyDescent="0.2">
      <c r="A860" s="121" t="s">
        <v>2432</v>
      </c>
      <c r="B860" s="122" t="s">
        <v>1204</v>
      </c>
      <c r="C860" s="123" t="s">
        <v>7</v>
      </c>
      <c r="D860" s="123" t="s">
        <v>404</v>
      </c>
      <c r="E860" s="124" t="s">
        <v>2222</v>
      </c>
      <c r="F860" s="124" t="s">
        <v>2223</v>
      </c>
      <c r="G860" s="124" t="s">
        <v>2400</v>
      </c>
      <c r="H860" s="122" t="s">
        <v>1922</v>
      </c>
      <c r="I860" s="123">
        <v>20.657236000000001</v>
      </c>
      <c r="J860" s="123">
        <v>-101.362144</v>
      </c>
      <c r="K860" s="122" t="s">
        <v>139</v>
      </c>
      <c r="L860" s="125" t="str">
        <f t="shared" si="39"/>
        <v>Ver en Google Maps</v>
      </c>
      <c r="M860" s="122">
        <v>1</v>
      </c>
      <c r="N860" s="108">
        <v>45942</v>
      </c>
      <c r="O860" s="109">
        <f>DAY('BD1'!$N860)</f>
        <v>12</v>
      </c>
      <c r="P860" s="109">
        <f>MONTH('BD1'!$N860)</f>
        <v>10</v>
      </c>
      <c r="Q860" s="109">
        <f>YEAR('BD1'!$N860)</f>
        <v>2025</v>
      </c>
      <c r="R860" s="109">
        <v>1</v>
      </c>
      <c r="S860" s="109" t="s">
        <v>138</v>
      </c>
      <c r="T860" s="109" t="s">
        <v>138</v>
      </c>
      <c r="U860" s="109" t="s">
        <v>138</v>
      </c>
      <c r="V860" s="109" t="s">
        <v>138</v>
      </c>
      <c r="W860" s="109" t="s">
        <v>138</v>
      </c>
      <c r="X860" s="109" t="s">
        <v>138</v>
      </c>
      <c r="Y860" s="109" t="s">
        <v>138</v>
      </c>
      <c r="Z860" s="109" t="s">
        <v>138</v>
      </c>
      <c r="AA860" s="109">
        <v>86.3</v>
      </c>
      <c r="AB860" s="109">
        <v>47.2</v>
      </c>
      <c r="AC860" s="110" t="s">
        <v>967</v>
      </c>
      <c r="AD860" s="110" t="s">
        <v>2436</v>
      </c>
      <c r="AE860" s="109">
        <f t="shared" si="40"/>
        <v>8</v>
      </c>
      <c r="AF860" s="151" t="str">
        <f t="shared" si="41"/>
        <v>Estable</v>
      </c>
    </row>
    <row r="861" spans="1:32" x14ac:dyDescent="0.2">
      <c r="A861" s="112" t="s">
        <v>2433</v>
      </c>
      <c r="B861" s="113" t="s">
        <v>1204</v>
      </c>
      <c r="C861" s="114" t="s">
        <v>7</v>
      </c>
      <c r="D861" s="114" t="s">
        <v>404</v>
      </c>
      <c r="E861" s="115" t="s">
        <v>2222</v>
      </c>
      <c r="F861" s="115" t="s">
        <v>2223</v>
      </c>
      <c r="G861" s="115" t="s">
        <v>2400</v>
      </c>
      <c r="H861" s="113" t="s">
        <v>1922</v>
      </c>
      <c r="I861" s="114">
        <v>20.657236000000001</v>
      </c>
      <c r="J861" s="114">
        <v>-101.362144</v>
      </c>
      <c r="K861" s="113" t="s">
        <v>139</v>
      </c>
      <c r="L861" s="116" t="str">
        <f t="shared" si="39"/>
        <v>Ver en Google Maps</v>
      </c>
      <c r="M861" s="113">
        <v>1</v>
      </c>
      <c r="N861" s="117">
        <v>45942</v>
      </c>
      <c r="O861" s="118">
        <f>DAY('BD1'!$N861)</f>
        <v>12</v>
      </c>
      <c r="P861" s="118">
        <f>MONTH('BD1'!$N861)</f>
        <v>10</v>
      </c>
      <c r="Q861" s="118">
        <f>YEAR('BD1'!$N861)</f>
        <v>2025</v>
      </c>
      <c r="R861" s="118">
        <v>1</v>
      </c>
      <c r="S861" s="118" t="s">
        <v>138</v>
      </c>
      <c r="T861" s="118" t="s">
        <v>138</v>
      </c>
      <c r="U861" s="118" t="s">
        <v>138</v>
      </c>
      <c r="V861" s="118" t="s">
        <v>138</v>
      </c>
      <c r="W861" s="118" t="s">
        <v>138</v>
      </c>
      <c r="X861" s="118" t="s">
        <v>138</v>
      </c>
      <c r="Y861" s="118" t="s">
        <v>138</v>
      </c>
      <c r="Z861" s="118" t="s">
        <v>934</v>
      </c>
      <c r="AA861" s="118">
        <v>8.43</v>
      </c>
      <c r="AB861" s="118">
        <v>2.12</v>
      </c>
      <c r="AC861" s="119" t="s">
        <v>2442</v>
      </c>
      <c r="AD861" s="119" t="s">
        <v>2436</v>
      </c>
      <c r="AE861" s="118">
        <f t="shared" si="40"/>
        <v>7</v>
      </c>
      <c r="AF861" s="152" t="str">
        <f t="shared" si="41"/>
        <v>Funcional con observaciones</v>
      </c>
    </row>
    <row r="862" spans="1:32" x14ac:dyDescent="0.2">
      <c r="A862" s="121">
        <v>835</v>
      </c>
      <c r="B862" s="122" t="s">
        <v>1204</v>
      </c>
      <c r="C862" s="123" t="s">
        <v>7</v>
      </c>
      <c r="D862" s="123" t="s">
        <v>404</v>
      </c>
      <c r="E862" s="124" t="s">
        <v>2224</v>
      </c>
      <c r="F862" s="124" t="s">
        <v>2225</v>
      </c>
      <c r="G862" s="124" t="s">
        <v>2401</v>
      </c>
      <c r="H862" s="122" t="s">
        <v>1922</v>
      </c>
      <c r="I862" s="123">
        <v>20.665317999999999</v>
      </c>
      <c r="J862" s="123">
        <v>-101.372298</v>
      </c>
      <c r="K862" s="122" t="s">
        <v>139</v>
      </c>
      <c r="L862" s="125" t="str">
        <f t="shared" si="39"/>
        <v>Ver en Google Maps</v>
      </c>
      <c r="M862" s="122">
        <v>1</v>
      </c>
      <c r="N862" s="108">
        <v>45942</v>
      </c>
      <c r="O862" s="109">
        <f>DAY('BD1'!$N862)</f>
        <v>12</v>
      </c>
      <c r="P862" s="109">
        <f>MONTH('BD1'!$N862)</f>
        <v>10</v>
      </c>
      <c r="Q862" s="109">
        <f>YEAR('BD1'!$N862)</f>
        <v>2025</v>
      </c>
      <c r="R862" s="109">
        <v>1</v>
      </c>
      <c r="S862" s="109" t="s">
        <v>138</v>
      </c>
      <c r="T862" s="109" t="s">
        <v>138</v>
      </c>
      <c r="U862" s="109" t="s">
        <v>138</v>
      </c>
      <c r="V862" s="109" t="s">
        <v>138</v>
      </c>
      <c r="W862" s="109" t="s">
        <v>138</v>
      </c>
      <c r="X862" s="109" t="s">
        <v>138</v>
      </c>
      <c r="Y862" s="109" t="s">
        <v>138</v>
      </c>
      <c r="Z862" s="109" t="s">
        <v>138</v>
      </c>
      <c r="AA862" s="109">
        <v>58.9</v>
      </c>
      <c r="AB862" s="109">
        <v>25.5</v>
      </c>
      <c r="AC862" s="110" t="s">
        <v>967</v>
      </c>
      <c r="AD862" s="110" t="s">
        <v>2436</v>
      </c>
      <c r="AE862" s="109">
        <f t="shared" si="40"/>
        <v>8</v>
      </c>
      <c r="AF862" s="151" t="str">
        <f t="shared" si="41"/>
        <v>Estable</v>
      </c>
    </row>
    <row r="863" spans="1:32" x14ac:dyDescent="0.2">
      <c r="A863" s="112">
        <v>852</v>
      </c>
      <c r="B863" s="113" t="s">
        <v>1204</v>
      </c>
      <c r="C863" s="114" t="s">
        <v>14</v>
      </c>
      <c r="D863" s="114" t="s">
        <v>404</v>
      </c>
      <c r="E863" s="115" t="s">
        <v>2226</v>
      </c>
      <c r="F863" s="115" t="s">
        <v>2227</v>
      </c>
      <c r="G863" s="115" t="s">
        <v>2402</v>
      </c>
      <c r="H863" s="113" t="s">
        <v>1922</v>
      </c>
      <c r="I863" s="114">
        <v>20.714970000000001</v>
      </c>
      <c r="J863" s="114">
        <v>-101.36973</v>
      </c>
      <c r="K863" s="113"/>
      <c r="L863" s="116" t="str">
        <f t="shared" si="39"/>
        <v>Ver en Google Maps</v>
      </c>
      <c r="M863" s="113">
        <v>2</v>
      </c>
      <c r="N863" s="129"/>
      <c r="O863" s="118"/>
      <c r="P863" s="118"/>
      <c r="Q863" s="118"/>
      <c r="R863" s="118"/>
      <c r="S863" s="118"/>
      <c r="T863" s="118"/>
      <c r="U863" s="118"/>
      <c r="V863" s="118"/>
      <c r="W863" s="118"/>
      <c r="X863" s="118"/>
      <c r="Y863" s="118"/>
      <c r="Z863" s="118"/>
      <c r="AA863" s="118"/>
      <c r="AB863" s="118"/>
      <c r="AC863" s="119"/>
      <c r="AD863" s="119"/>
      <c r="AE863" s="118"/>
      <c r="AF863" s="152"/>
    </row>
    <row r="864" spans="1:32" x14ac:dyDescent="0.2">
      <c r="A864" s="121">
        <v>854</v>
      </c>
      <c r="B864" s="122" t="s">
        <v>1204</v>
      </c>
      <c r="C864" s="123" t="s">
        <v>14</v>
      </c>
      <c r="D864" s="123" t="s">
        <v>404</v>
      </c>
      <c r="E864" s="124" t="s">
        <v>2228</v>
      </c>
      <c r="F864" s="124" t="s">
        <v>2229</v>
      </c>
      <c r="G864" s="124" t="s">
        <v>2314</v>
      </c>
      <c r="H864" s="122" t="s">
        <v>1922</v>
      </c>
      <c r="I864" s="123">
        <v>20.652678999999999</v>
      </c>
      <c r="J864" s="123">
        <v>-101.338733</v>
      </c>
      <c r="K864" s="122" t="s">
        <v>139</v>
      </c>
      <c r="L864" s="125" t="str">
        <f t="shared" si="39"/>
        <v>Ver en Google Maps</v>
      </c>
      <c r="M864" s="122">
        <v>1</v>
      </c>
      <c r="N864" s="108">
        <v>45941</v>
      </c>
      <c r="O864" s="109">
        <f>DAY('BD1'!$N864)</f>
        <v>11</v>
      </c>
      <c r="P864" s="109">
        <f>MONTH('BD1'!$N864)</f>
        <v>10</v>
      </c>
      <c r="Q864" s="109">
        <f>YEAR('BD1'!$N864)</f>
        <v>2025</v>
      </c>
      <c r="R864" s="109">
        <v>1</v>
      </c>
      <c r="S864" s="109" t="s">
        <v>138</v>
      </c>
      <c r="T864" s="109" t="s">
        <v>138</v>
      </c>
      <c r="U864" s="109" t="s">
        <v>138</v>
      </c>
      <c r="V864" s="109" t="s">
        <v>138</v>
      </c>
      <c r="W864" s="109" t="s">
        <v>138</v>
      </c>
      <c r="X864" s="109" t="s">
        <v>138</v>
      </c>
      <c r="Y864" s="109" t="s">
        <v>138</v>
      </c>
      <c r="Z864" s="109" t="s">
        <v>934</v>
      </c>
      <c r="AA864" s="109">
        <v>0</v>
      </c>
      <c r="AB864" s="109">
        <v>0</v>
      </c>
      <c r="AC864" s="110" t="s">
        <v>2437</v>
      </c>
      <c r="AD864" s="110" t="s">
        <v>2436</v>
      </c>
      <c r="AE864" s="109">
        <f t="shared" si="40"/>
        <v>7</v>
      </c>
      <c r="AF864" s="151" t="str">
        <f t="shared" si="41"/>
        <v>Funcional con observaciones</v>
      </c>
    </row>
    <row r="865" spans="1:32" x14ac:dyDescent="0.2">
      <c r="A865" s="112">
        <v>866</v>
      </c>
      <c r="B865" s="113" t="s">
        <v>1204</v>
      </c>
      <c r="C865" s="114" t="s">
        <v>14</v>
      </c>
      <c r="D865" s="114" t="s">
        <v>735</v>
      </c>
      <c r="E865" s="115" t="s">
        <v>2230</v>
      </c>
      <c r="F865" s="115" t="s">
        <v>2231</v>
      </c>
      <c r="G865" s="115" t="s">
        <v>1853</v>
      </c>
      <c r="H865" s="113" t="s">
        <v>1922</v>
      </c>
      <c r="I865" s="114">
        <v>20.666772000000002</v>
      </c>
      <c r="J865" s="114">
        <v>-101.37279700000001</v>
      </c>
      <c r="K865" s="113" t="s">
        <v>139</v>
      </c>
      <c r="L865" s="116" t="str">
        <f t="shared" si="39"/>
        <v>Ver en Google Maps</v>
      </c>
      <c r="M865" s="113">
        <v>2</v>
      </c>
      <c r="N865" s="117">
        <v>45942</v>
      </c>
      <c r="O865" s="118">
        <f>DAY('BD1'!$N865)</f>
        <v>12</v>
      </c>
      <c r="P865" s="118">
        <f>MONTH('BD1'!$N865)</f>
        <v>10</v>
      </c>
      <c r="Q865" s="118">
        <f>YEAR('BD1'!$N865)</f>
        <v>2025</v>
      </c>
      <c r="R865" s="118">
        <v>1</v>
      </c>
      <c r="S865" s="118" t="s">
        <v>138</v>
      </c>
      <c r="T865" s="118" t="s">
        <v>138</v>
      </c>
      <c r="U865" s="118" t="s">
        <v>138</v>
      </c>
      <c r="V865" s="118" t="s">
        <v>138</v>
      </c>
      <c r="W865" s="118" t="s">
        <v>138</v>
      </c>
      <c r="X865" s="118" t="s">
        <v>138</v>
      </c>
      <c r="Y865" s="118" t="s">
        <v>138</v>
      </c>
      <c r="Z865" s="118" t="s">
        <v>138</v>
      </c>
      <c r="AA865" s="118">
        <v>57.4</v>
      </c>
      <c r="AB865" s="118">
        <v>59.2</v>
      </c>
      <c r="AC865" s="119" t="s">
        <v>967</v>
      </c>
      <c r="AD865" s="119" t="s">
        <v>2436</v>
      </c>
      <c r="AE865" s="118">
        <f t="shared" si="40"/>
        <v>8</v>
      </c>
      <c r="AF865" s="152" t="str">
        <f t="shared" si="41"/>
        <v>Estable</v>
      </c>
    </row>
    <row r="866" spans="1:32" x14ac:dyDescent="0.2">
      <c r="A866" s="121">
        <v>867</v>
      </c>
      <c r="B866" s="122" t="s">
        <v>1204</v>
      </c>
      <c r="C866" s="123" t="s">
        <v>14</v>
      </c>
      <c r="D866" s="123" t="s">
        <v>735</v>
      </c>
      <c r="E866" s="124" t="s">
        <v>2232</v>
      </c>
      <c r="F866" s="124" t="s">
        <v>2233</v>
      </c>
      <c r="G866" s="124" t="s">
        <v>2315</v>
      </c>
      <c r="H866" s="122" t="s">
        <v>1922</v>
      </c>
      <c r="I866" s="123">
        <v>20.692679999999999</v>
      </c>
      <c r="J866" s="123">
        <v>-101.376879</v>
      </c>
      <c r="K866" s="122"/>
      <c r="L866" s="125" t="str">
        <f t="shared" si="39"/>
        <v>Ver en Google Maps</v>
      </c>
      <c r="M866" s="122">
        <v>2</v>
      </c>
      <c r="N866" s="130"/>
      <c r="O866" s="109"/>
      <c r="P866" s="109"/>
      <c r="Q866" s="109"/>
      <c r="R866" s="109"/>
      <c r="S866" s="109"/>
      <c r="T866" s="109"/>
      <c r="U866" s="109"/>
      <c r="V866" s="109"/>
      <c r="W866" s="109"/>
      <c r="X866" s="109"/>
      <c r="Y866" s="109"/>
      <c r="Z866" s="109"/>
      <c r="AA866" s="109"/>
      <c r="AB866" s="109"/>
      <c r="AC866" s="110"/>
      <c r="AD866" s="110"/>
      <c r="AE866" s="109"/>
      <c r="AF866" s="151"/>
    </row>
    <row r="867" spans="1:32" x14ac:dyDescent="0.2">
      <c r="A867" s="112">
        <v>886</v>
      </c>
      <c r="B867" s="113" t="s">
        <v>1204</v>
      </c>
      <c r="C867" s="114" t="s">
        <v>7</v>
      </c>
      <c r="D867" s="114" t="s">
        <v>404</v>
      </c>
      <c r="E867" s="115" t="s">
        <v>2234</v>
      </c>
      <c r="F867" s="115" t="s">
        <v>2235</v>
      </c>
      <c r="G867" s="115" t="s">
        <v>2403</v>
      </c>
      <c r="H867" s="113" t="s">
        <v>1922</v>
      </c>
      <c r="I867" s="114">
        <v>20.682825000000001</v>
      </c>
      <c r="J867" s="114">
        <v>-101.334149</v>
      </c>
      <c r="K867" s="113" t="s">
        <v>139</v>
      </c>
      <c r="L867" s="116" t="str">
        <f t="shared" si="39"/>
        <v>Ver en Google Maps</v>
      </c>
      <c r="M867" s="113">
        <v>1</v>
      </c>
      <c r="N867" s="117">
        <v>45942</v>
      </c>
      <c r="O867" s="118">
        <f>DAY('BD1'!$N867)</f>
        <v>12</v>
      </c>
      <c r="P867" s="118">
        <f>MONTH('BD1'!$N867)</f>
        <v>10</v>
      </c>
      <c r="Q867" s="118">
        <f>YEAR('BD1'!$N867)</f>
        <v>2025</v>
      </c>
      <c r="R867" s="118">
        <v>1</v>
      </c>
      <c r="S867" s="118" t="s">
        <v>138</v>
      </c>
      <c r="T867" s="118" t="s">
        <v>138</v>
      </c>
      <c r="U867" s="118" t="s">
        <v>138</v>
      </c>
      <c r="V867" s="118" t="s">
        <v>138</v>
      </c>
      <c r="W867" s="118" t="s">
        <v>138</v>
      </c>
      <c r="X867" s="118" t="s">
        <v>138</v>
      </c>
      <c r="Y867" s="118" t="s">
        <v>138</v>
      </c>
      <c r="Z867" s="118" t="s">
        <v>138</v>
      </c>
      <c r="AA867" s="118">
        <v>57.3</v>
      </c>
      <c r="AB867" s="118">
        <v>26.7</v>
      </c>
      <c r="AC867" s="119" t="s">
        <v>967</v>
      </c>
      <c r="AD867" s="119" t="s">
        <v>2436</v>
      </c>
      <c r="AE867" s="118">
        <f t="shared" si="40"/>
        <v>8</v>
      </c>
      <c r="AF867" s="152" t="str">
        <f t="shared" si="41"/>
        <v>Estable</v>
      </c>
    </row>
    <row r="868" spans="1:32" x14ac:dyDescent="0.2">
      <c r="A868" s="121">
        <v>887</v>
      </c>
      <c r="B868" s="122" t="s">
        <v>1204</v>
      </c>
      <c r="C868" s="123" t="s">
        <v>14</v>
      </c>
      <c r="D868" s="123" t="s">
        <v>404</v>
      </c>
      <c r="E868" s="124" t="s">
        <v>2236</v>
      </c>
      <c r="F868" s="124" t="s">
        <v>2237</v>
      </c>
      <c r="G868" s="124" t="s">
        <v>2332</v>
      </c>
      <c r="H868" s="122" t="s">
        <v>1922</v>
      </c>
      <c r="I868" s="123">
        <v>20.71585</v>
      </c>
      <c r="J868" s="123">
        <v>-101.33444</v>
      </c>
      <c r="K868" s="122"/>
      <c r="L868" s="125" t="str">
        <f t="shared" si="39"/>
        <v>Ver en Google Maps</v>
      </c>
      <c r="M868" s="122">
        <v>1</v>
      </c>
      <c r="N868" s="130"/>
      <c r="O868" s="109"/>
      <c r="P868" s="109"/>
      <c r="Q868" s="109"/>
      <c r="R868" s="109"/>
      <c r="S868" s="109"/>
      <c r="T868" s="109"/>
      <c r="U868" s="109"/>
      <c r="V868" s="109"/>
      <c r="W868" s="109"/>
      <c r="X868" s="109"/>
      <c r="Y868" s="109"/>
      <c r="Z868" s="109"/>
      <c r="AA868" s="109"/>
      <c r="AB868" s="109"/>
      <c r="AC868" s="110"/>
      <c r="AD868" s="110"/>
      <c r="AE868" s="109"/>
      <c r="AF868" s="151"/>
    </row>
    <row r="869" spans="1:32" x14ac:dyDescent="0.2">
      <c r="A869" s="112">
        <v>890</v>
      </c>
      <c r="B869" s="113" t="s">
        <v>1204</v>
      </c>
      <c r="C869" s="114" t="s">
        <v>14</v>
      </c>
      <c r="D869" s="114" t="s">
        <v>404</v>
      </c>
      <c r="E869" s="115" t="s">
        <v>2238</v>
      </c>
      <c r="F869" s="115" t="s">
        <v>2239</v>
      </c>
      <c r="G869" s="115" t="s">
        <v>2324</v>
      </c>
      <c r="H869" s="113" t="s">
        <v>1922</v>
      </c>
      <c r="I869" s="114">
        <v>20.688217000000002</v>
      </c>
      <c r="J869" s="114">
        <v>-101.349701</v>
      </c>
      <c r="K869" s="113"/>
      <c r="L869" s="116" t="str">
        <f t="shared" si="39"/>
        <v>Ver en Google Maps</v>
      </c>
      <c r="M869" s="113">
        <v>1</v>
      </c>
      <c r="N869" s="129"/>
      <c r="O869" s="118"/>
      <c r="P869" s="118"/>
      <c r="Q869" s="118"/>
      <c r="R869" s="118"/>
      <c r="S869" s="118"/>
      <c r="T869" s="118"/>
      <c r="U869" s="118"/>
      <c r="V869" s="118"/>
      <c r="W869" s="118"/>
      <c r="X869" s="118"/>
      <c r="Y869" s="118"/>
      <c r="Z869" s="118"/>
      <c r="AA869" s="118"/>
      <c r="AB869" s="118"/>
      <c r="AC869" s="119"/>
      <c r="AD869" s="119"/>
      <c r="AE869" s="118"/>
      <c r="AF869" s="152"/>
    </row>
    <row r="870" spans="1:32" x14ac:dyDescent="0.2">
      <c r="A870" s="121">
        <v>892</v>
      </c>
      <c r="B870" s="122" t="s">
        <v>1204</v>
      </c>
      <c r="C870" s="123" t="s">
        <v>14</v>
      </c>
      <c r="D870" s="123" t="s">
        <v>404</v>
      </c>
      <c r="E870" s="124" t="s">
        <v>2240</v>
      </c>
      <c r="F870" s="124" t="s">
        <v>2241</v>
      </c>
      <c r="G870" s="124" t="s">
        <v>2324</v>
      </c>
      <c r="H870" s="122" t="s">
        <v>1922</v>
      </c>
      <c r="I870" s="123">
        <v>20.688817</v>
      </c>
      <c r="J870" s="123">
        <v>-101.34902099999999</v>
      </c>
      <c r="K870" s="122"/>
      <c r="L870" s="125" t="str">
        <f t="shared" si="39"/>
        <v>Ver en Google Maps</v>
      </c>
      <c r="M870" s="122">
        <v>1</v>
      </c>
      <c r="N870" s="130"/>
      <c r="O870" s="109"/>
      <c r="P870" s="109"/>
      <c r="Q870" s="109"/>
      <c r="R870" s="109"/>
      <c r="S870" s="109"/>
      <c r="T870" s="109"/>
      <c r="U870" s="109"/>
      <c r="V870" s="109"/>
      <c r="W870" s="109"/>
      <c r="X870" s="109"/>
      <c r="Y870" s="109"/>
      <c r="Z870" s="109"/>
      <c r="AA870" s="109"/>
      <c r="AB870" s="109"/>
      <c r="AC870" s="110"/>
      <c r="AD870" s="110"/>
      <c r="AE870" s="109"/>
      <c r="AF870" s="151"/>
    </row>
    <row r="871" spans="1:32" x14ac:dyDescent="0.2">
      <c r="A871" s="112">
        <v>897</v>
      </c>
      <c r="B871" s="113" t="s">
        <v>1204</v>
      </c>
      <c r="C871" s="114" t="s">
        <v>14</v>
      </c>
      <c r="D871" s="114" t="s">
        <v>404</v>
      </c>
      <c r="E871" s="115" t="s">
        <v>2242</v>
      </c>
      <c r="F871" s="115" t="s">
        <v>2243</v>
      </c>
      <c r="G871" s="115" t="s">
        <v>360</v>
      </c>
      <c r="H871" s="113" t="s">
        <v>1922</v>
      </c>
      <c r="I871" s="114">
        <v>20.672070999999999</v>
      </c>
      <c r="J871" s="114">
        <v>-101.345479</v>
      </c>
      <c r="K871" s="113"/>
      <c r="L871" s="116" t="str">
        <f t="shared" si="39"/>
        <v>Ver en Google Maps</v>
      </c>
      <c r="M871" s="113">
        <v>2</v>
      </c>
      <c r="N871" s="129"/>
      <c r="O871" s="118"/>
      <c r="P871" s="118"/>
      <c r="Q871" s="118"/>
      <c r="R871" s="118"/>
      <c r="S871" s="118"/>
      <c r="T871" s="118"/>
      <c r="U871" s="118"/>
      <c r="V871" s="118"/>
      <c r="W871" s="118"/>
      <c r="X871" s="118"/>
      <c r="Y871" s="118"/>
      <c r="Z871" s="118"/>
      <c r="AA871" s="118"/>
      <c r="AB871" s="118"/>
      <c r="AC871" s="119"/>
      <c r="AD871" s="119"/>
      <c r="AE871" s="118"/>
      <c r="AF871" s="152"/>
    </row>
    <row r="872" spans="1:32" x14ac:dyDescent="0.2">
      <c r="A872" s="121">
        <v>903</v>
      </c>
      <c r="B872" s="122" t="s">
        <v>1204</v>
      </c>
      <c r="C872" s="123" t="s">
        <v>14</v>
      </c>
      <c r="D872" s="123" t="s">
        <v>404</v>
      </c>
      <c r="E872" s="124" t="s">
        <v>2244</v>
      </c>
      <c r="F872" s="124" t="s">
        <v>2245</v>
      </c>
      <c r="G872" s="124" t="s">
        <v>2404</v>
      </c>
      <c r="H872" s="122" t="s">
        <v>1922</v>
      </c>
      <c r="I872" s="123">
        <v>20.68769</v>
      </c>
      <c r="J872" s="123">
        <v>-101.34683</v>
      </c>
      <c r="K872" s="122"/>
      <c r="L872" s="125" t="str">
        <f t="shared" si="39"/>
        <v>Ver en Google Maps</v>
      </c>
      <c r="M872" s="122">
        <v>1</v>
      </c>
      <c r="N872" s="130"/>
      <c r="O872" s="109"/>
      <c r="P872" s="109"/>
      <c r="Q872" s="109"/>
      <c r="R872" s="109"/>
      <c r="S872" s="109"/>
      <c r="T872" s="109"/>
      <c r="U872" s="109"/>
      <c r="V872" s="109"/>
      <c r="W872" s="109"/>
      <c r="X872" s="109"/>
      <c r="Y872" s="109"/>
      <c r="Z872" s="109"/>
      <c r="AA872" s="109"/>
      <c r="AB872" s="109"/>
      <c r="AC872" s="110"/>
      <c r="AD872" s="110"/>
      <c r="AE872" s="109"/>
      <c r="AF872" s="151"/>
    </row>
    <row r="873" spans="1:32" x14ac:dyDescent="0.2">
      <c r="A873" s="112">
        <v>904</v>
      </c>
      <c r="B873" s="113" t="s">
        <v>1204</v>
      </c>
      <c r="C873" s="114" t="s">
        <v>14</v>
      </c>
      <c r="D873" s="114" t="s">
        <v>404</v>
      </c>
      <c r="E873" s="115" t="s">
        <v>2246</v>
      </c>
      <c r="F873" s="115" t="s">
        <v>2247</v>
      </c>
      <c r="G873" s="115" t="s">
        <v>2357</v>
      </c>
      <c r="H873" s="113" t="s">
        <v>1922</v>
      </c>
      <c r="I873" s="114">
        <v>20.665075999999999</v>
      </c>
      <c r="J873" s="114">
        <v>-101.373392</v>
      </c>
      <c r="K873" s="113" t="s">
        <v>139</v>
      </c>
      <c r="L873" s="116" t="str">
        <f t="shared" si="39"/>
        <v>Ver en Google Maps</v>
      </c>
      <c r="M873" s="113">
        <v>1</v>
      </c>
      <c r="N873" s="117">
        <v>45942</v>
      </c>
      <c r="O873" s="118">
        <f>DAY('BD1'!$N873)</f>
        <v>12</v>
      </c>
      <c r="P873" s="118">
        <f>MONTH('BD1'!$N873)</f>
        <v>10</v>
      </c>
      <c r="Q873" s="118">
        <f>YEAR('BD1'!$N873)</f>
        <v>2025</v>
      </c>
      <c r="R873" s="118">
        <v>1</v>
      </c>
      <c r="S873" s="118" t="s">
        <v>138</v>
      </c>
      <c r="T873" s="118" t="s">
        <v>138</v>
      </c>
      <c r="U873" s="118" t="s">
        <v>138</v>
      </c>
      <c r="V873" s="118" t="s">
        <v>138</v>
      </c>
      <c r="W873" s="118" t="s">
        <v>138</v>
      </c>
      <c r="X873" s="118" t="s">
        <v>138</v>
      </c>
      <c r="Y873" s="118" t="s">
        <v>138</v>
      </c>
      <c r="Z873" s="118" t="s">
        <v>138</v>
      </c>
      <c r="AA873" s="118">
        <v>46.5</v>
      </c>
      <c r="AB873" s="118">
        <v>24.4</v>
      </c>
      <c r="AC873" s="119" t="s">
        <v>967</v>
      </c>
      <c r="AD873" s="119" t="s">
        <v>2436</v>
      </c>
      <c r="AE873" s="118">
        <f t="shared" si="40"/>
        <v>8</v>
      </c>
      <c r="AF873" s="152" t="str">
        <f t="shared" si="41"/>
        <v>Estable</v>
      </c>
    </row>
    <row r="874" spans="1:32" x14ac:dyDescent="0.2">
      <c r="A874" s="121">
        <v>905</v>
      </c>
      <c r="B874" s="122" t="s">
        <v>1204</v>
      </c>
      <c r="C874" s="123" t="s">
        <v>7</v>
      </c>
      <c r="D874" s="123" t="s">
        <v>404</v>
      </c>
      <c r="E874" s="124" t="s">
        <v>1920</v>
      </c>
      <c r="F874" s="124" t="s">
        <v>1921</v>
      </c>
      <c r="G874" s="124" t="s">
        <v>2405</v>
      </c>
      <c r="H874" s="122" t="s">
        <v>1922</v>
      </c>
      <c r="I874" s="123">
        <v>20.685174</v>
      </c>
      <c r="J874" s="123">
        <v>-101.359486</v>
      </c>
      <c r="K874" s="122" t="s">
        <v>139</v>
      </c>
      <c r="L874" s="125" t="str">
        <f t="shared" si="39"/>
        <v>Ver en Google Maps</v>
      </c>
      <c r="M874" s="122">
        <v>1</v>
      </c>
      <c r="N874" s="108">
        <v>45942</v>
      </c>
      <c r="O874" s="109">
        <f>DAY('BD1'!$N874)</f>
        <v>12</v>
      </c>
      <c r="P874" s="109">
        <f>MONTH('BD1'!$N874)</f>
        <v>10</v>
      </c>
      <c r="Q874" s="109">
        <f>YEAR('BD1'!$N874)</f>
        <v>2025</v>
      </c>
      <c r="R874" s="109">
        <v>1</v>
      </c>
      <c r="S874" s="109" t="s">
        <v>138</v>
      </c>
      <c r="T874" s="109" t="s">
        <v>138</v>
      </c>
      <c r="U874" s="109" t="s">
        <v>138</v>
      </c>
      <c r="V874" s="109" t="s">
        <v>138</v>
      </c>
      <c r="W874" s="109" t="s">
        <v>138</v>
      </c>
      <c r="X874" s="109" t="s">
        <v>138</v>
      </c>
      <c r="Y874" s="109" t="s">
        <v>138</v>
      </c>
      <c r="Z874" s="109" t="s">
        <v>138</v>
      </c>
      <c r="AA874" s="109">
        <v>50.4</v>
      </c>
      <c r="AB874" s="109">
        <v>32.5</v>
      </c>
      <c r="AC874" s="110" t="s">
        <v>967</v>
      </c>
      <c r="AD874" s="110" t="s">
        <v>2436</v>
      </c>
      <c r="AE874" s="109">
        <f t="shared" si="40"/>
        <v>8</v>
      </c>
      <c r="AF874" s="151" t="str">
        <f t="shared" si="41"/>
        <v>Estable</v>
      </c>
    </row>
    <row r="875" spans="1:32" x14ac:dyDescent="0.2">
      <c r="A875" s="112">
        <v>906</v>
      </c>
      <c r="B875" s="113" t="s">
        <v>1204</v>
      </c>
      <c r="C875" s="114" t="s">
        <v>14</v>
      </c>
      <c r="D875" s="114" t="s">
        <v>404</v>
      </c>
      <c r="E875" s="115" t="s">
        <v>2248</v>
      </c>
      <c r="F875" s="115" t="s">
        <v>2249</v>
      </c>
      <c r="G875" s="115" t="s">
        <v>2406</v>
      </c>
      <c r="H875" s="113" t="s">
        <v>1922</v>
      </c>
      <c r="I875" s="114">
        <v>20.679279999999999</v>
      </c>
      <c r="J875" s="114">
        <v>-101.337</v>
      </c>
      <c r="K875" s="113"/>
      <c r="L875" s="116" t="str">
        <f t="shared" si="39"/>
        <v>Ver en Google Maps</v>
      </c>
      <c r="M875" s="113">
        <v>1</v>
      </c>
      <c r="N875" s="129"/>
      <c r="O875" s="118"/>
      <c r="P875" s="118"/>
      <c r="Q875" s="118"/>
      <c r="R875" s="118"/>
      <c r="S875" s="118"/>
      <c r="T875" s="118"/>
      <c r="U875" s="118"/>
      <c r="V875" s="118"/>
      <c r="W875" s="118"/>
      <c r="X875" s="118"/>
      <c r="Y875" s="118"/>
      <c r="Z875" s="118"/>
      <c r="AA875" s="118"/>
      <c r="AB875" s="118"/>
      <c r="AC875" s="119"/>
      <c r="AD875" s="119"/>
      <c r="AE875" s="118"/>
      <c r="AF875" s="152"/>
    </row>
    <row r="876" spans="1:32" x14ac:dyDescent="0.2">
      <c r="A876" s="121">
        <v>927</v>
      </c>
      <c r="B876" s="122" t="s">
        <v>1204</v>
      </c>
      <c r="C876" s="123" t="s">
        <v>429</v>
      </c>
      <c r="D876" s="123" t="s">
        <v>336</v>
      </c>
      <c r="E876" s="124" t="s">
        <v>2250</v>
      </c>
      <c r="F876" s="124" t="s">
        <v>2251</v>
      </c>
      <c r="G876" s="124" t="s">
        <v>2407</v>
      </c>
      <c r="H876" s="122" t="s">
        <v>1922</v>
      </c>
      <c r="I876" s="123">
        <v>20.654014</v>
      </c>
      <c r="J876" s="123">
        <v>-101.34995000000001</v>
      </c>
      <c r="K876" s="122"/>
      <c r="L876" s="125" t="str">
        <f t="shared" si="39"/>
        <v>Ver en Google Maps</v>
      </c>
      <c r="M876" s="122">
        <v>2</v>
      </c>
      <c r="N876" s="130"/>
      <c r="O876" s="109"/>
      <c r="P876" s="109"/>
      <c r="Q876" s="109"/>
      <c r="R876" s="109"/>
      <c r="S876" s="109"/>
      <c r="T876" s="109"/>
      <c r="U876" s="109"/>
      <c r="V876" s="109"/>
      <c r="W876" s="109"/>
      <c r="X876" s="109"/>
      <c r="Y876" s="109"/>
      <c r="Z876" s="109"/>
      <c r="AA876" s="109"/>
      <c r="AB876" s="109"/>
      <c r="AC876" s="110"/>
      <c r="AD876" s="110"/>
      <c r="AE876" s="109"/>
      <c r="AF876" s="151"/>
    </row>
    <row r="877" spans="1:32" x14ac:dyDescent="0.2">
      <c r="A877" s="112">
        <v>932</v>
      </c>
      <c r="B877" s="113" t="s">
        <v>1204</v>
      </c>
      <c r="C877" s="114" t="s">
        <v>429</v>
      </c>
      <c r="D877" s="114" t="s">
        <v>336</v>
      </c>
      <c r="E877" s="115" t="s">
        <v>2252</v>
      </c>
      <c r="F877" s="115" t="s">
        <v>2253</v>
      </c>
      <c r="G877" s="115" t="s">
        <v>2316</v>
      </c>
      <c r="H877" s="113" t="s">
        <v>1922</v>
      </c>
      <c r="I877" s="114">
        <v>20.66366</v>
      </c>
      <c r="J877" s="114">
        <v>-101.42324000000001</v>
      </c>
      <c r="K877" s="113"/>
      <c r="L877" s="116" t="str">
        <f t="shared" si="39"/>
        <v>Ver en Google Maps</v>
      </c>
      <c r="M877" s="113">
        <v>2</v>
      </c>
      <c r="N877" s="129"/>
      <c r="O877" s="118"/>
      <c r="P877" s="118"/>
      <c r="Q877" s="118"/>
      <c r="R877" s="118"/>
      <c r="S877" s="118"/>
      <c r="T877" s="118"/>
      <c r="U877" s="118"/>
      <c r="V877" s="118"/>
      <c r="W877" s="118"/>
      <c r="X877" s="118"/>
      <c r="Y877" s="118"/>
      <c r="Z877" s="118"/>
      <c r="AA877" s="118"/>
      <c r="AB877" s="118"/>
      <c r="AC877" s="119"/>
      <c r="AD877" s="119"/>
      <c r="AE877" s="118"/>
      <c r="AF877" s="152"/>
    </row>
    <row r="878" spans="1:32" x14ac:dyDescent="0.2">
      <c r="A878" s="121">
        <v>945</v>
      </c>
      <c r="B878" s="122" t="s">
        <v>1204</v>
      </c>
      <c r="C878" s="123" t="s">
        <v>429</v>
      </c>
      <c r="D878" s="123" t="s">
        <v>132</v>
      </c>
      <c r="E878" s="124" t="s">
        <v>2254</v>
      </c>
      <c r="F878" s="124" t="s">
        <v>2255</v>
      </c>
      <c r="G878" s="124" t="s">
        <v>2408</v>
      </c>
      <c r="H878" s="122" t="s">
        <v>1922</v>
      </c>
      <c r="I878" s="123">
        <v>20.755644</v>
      </c>
      <c r="J878" s="123">
        <v>-101.331361</v>
      </c>
      <c r="K878" s="122"/>
      <c r="L878" s="125" t="str">
        <f t="shared" si="39"/>
        <v>Ver en Google Maps</v>
      </c>
      <c r="M878" s="122">
        <v>2</v>
      </c>
      <c r="N878" s="130"/>
      <c r="O878" s="109"/>
      <c r="P878" s="109"/>
      <c r="Q878" s="109"/>
      <c r="R878" s="109"/>
      <c r="S878" s="109"/>
      <c r="T878" s="109"/>
      <c r="U878" s="109"/>
      <c r="V878" s="109"/>
      <c r="W878" s="109"/>
      <c r="X878" s="109"/>
      <c r="Y878" s="109"/>
      <c r="Z878" s="109"/>
      <c r="AA878" s="109"/>
      <c r="AB878" s="109"/>
      <c r="AC878" s="110"/>
      <c r="AD878" s="110"/>
      <c r="AE878" s="109"/>
      <c r="AF878" s="151"/>
    </row>
    <row r="879" spans="1:32" x14ac:dyDescent="0.2">
      <c r="A879" s="112">
        <v>946</v>
      </c>
      <c r="B879" s="113" t="s">
        <v>1204</v>
      </c>
      <c r="C879" s="114" t="s">
        <v>429</v>
      </c>
      <c r="D879" s="114" t="s">
        <v>132</v>
      </c>
      <c r="E879" s="115" t="s">
        <v>2256</v>
      </c>
      <c r="F879" s="115" t="s">
        <v>2257</v>
      </c>
      <c r="G879" s="115" t="s">
        <v>2316</v>
      </c>
      <c r="H879" s="113" t="s">
        <v>1922</v>
      </c>
      <c r="I879" s="114">
        <v>20.663578999999999</v>
      </c>
      <c r="J879" s="114">
        <v>-101.423513</v>
      </c>
      <c r="K879" s="113"/>
      <c r="L879" s="116" t="str">
        <f t="shared" si="39"/>
        <v>Ver en Google Maps</v>
      </c>
      <c r="M879" s="113">
        <v>2</v>
      </c>
      <c r="N879" s="129"/>
      <c r="O879" s="118"/>
      <c r="P879" s="118"/>
      <c r="Q879" s="118"/>
      <c r="R879" s="118"/>
      <c r="S879" s="118"/>
      <c r="T879" s="118"/>
      <c r="U879" s="118"/>
      <c r="V879" s="118"/>
      <c r="W879" s="118"/>
      <c r="X879" s="118"/>
      <c r="Y879" s="118"/>
      <c r="Z879" s="118"/>
      <c r="AA879" s="118"/>
      <c r="AB879" s="118"/>
      <c r="AC879" s="119"/>
      <c r="AD879" s="119"/>
      <c r="AE879" s="118"/>
      <c r="AF879" s="152"/>
    </row>
    <row r="880" spans="1:32" x14ac:dyDescent="0.2">
      <c r="A880" s="121">
        <v>947</v>
      </c>
      <c r="B880" s="122" t="s">
        <v>1204</v>
      </c>
      <c r="C880" s="123" t="s">
        <v>429</v>
      </c>
      <c r="D880" s="123" t="s">
        <v>132</v>
      </c>
      <c r="E880" s="124" t="s">
        <v>2258</v>
      </c>
      <c r="F880" s="124" t="s">
        <v>2259</v>
      </c>
      <c r="G880" s="124" t="s">
        <v>999</v>
      </c>
      <c r="H880" s="122" t="s">
        <v>1922</v>
      </c>
      <c r="I880" s="123">
        <v>20.651344000000002</v>
      </c>
      <c r="J880" s="123">
        <v>-101.38309599999999</v>
      </c>
      <c r="K880" s="122"/>
      <c r="L880" s="125" t="str">
        <f t="shared" si="39"/>
        <v>Ver en Google Maps</v>
      </c>
      <c r="M880" s="122">
        <v>2</v>
      </c>
      <c r="N880" s="130"/>
      <c r="O880" s="109"/>
      <c r="P880" s="109"/>
      <c r="Q880" s="109"/>
      <c r="R880" s="109"/>
      <c r="S880" s="109"/>
      <c r="T880" s="109"/>
      <c r="U880" s="109"/>
      <c r="V880" s="109"/>
      <c r="W880" s="109"/>
      <c r="X880" s="109"/>
      <c r="Y880" s="109"/>
      <c r="Z880" s="109"/>
      <c r="AA880" s="109"/>
      <c r="AB880" s="109"/>
      <c r="AC880" s="110"/>
      <c r="AD880" s="110"/>
      <c r="AE880" s="109"/>
      <c r="AF880" s="151"/>
    </row>
    <row r="881" spans="1:32" x14ac:dyDescent="0.2">
      <c r="A881" s="112">
        <v>951</v>
      </c>
      <c r="B881" s="113" t="s">
        <v>1204</v>
      </c>
      <c r="C881" s="114" t="s">
        <v>429</v>
      </c>
      <c r="D881" s="114" t="s">
        <v>132</v>
      </c>
      <c r="E881" s="115" t="s">
        <v>2260</v>
      </c>
      <c r="F881" s="115" t="s">
        <v>2261</v>
      </c>
      <c r="G881" s="115" t="s">
        <v>2328</v>
      </c>
      <c r="H881" s="113" t="s">
        <v>1922</v>
      </c>
      <c r="I881" s="114">
        <v>20.647120000000001</v>
      </c>
      <c r="J881" s="114">
        <v>-101.34528299999999</v>
      </c>
      <c r="K881" s="113"/>
      <c r="L881" s="116" t="str">
        <f t="shared" si="39"/>
        <v>Ver en Google Maps</v>
      </c>
      <c r="M881" s="113">
        <v>3</v>
      </c>
      <c r="N881" s="129"/>
      <c r="O881" s="118"/>
      <c r="P881" s="118"/>
      <c r="Q881" s="118"/>
      <c r="R881" s="118"/>
      <c r="S881" s="118"/>
      <c r="T881" s="118"/>
      <c r="U881" s="118"/>
      <c r="V881" s="118"/>
      <c r="W881" s="118"/>
      <c r="X881" s="118"/>
      <c r="Y881" s="118"/>
      <c r="Z881" s="118"/>
      <c r="AA881" s="118"/>
      <c r="AB881" s="118"/>
      <c r="AC881" s="119"/>
      <c r="AD881" s="119"/>
      <c r="AE881" s="118"/>
      <c r="AF881" s="152"/>
    </row>
    <row r="882" spans="1:32" x14ac:dyDescent="0.2">
      <c r="A882" s="121">
        <v>963</v>
      </c>
      <c r="B882" s="122" t="s">
        <v>1204</v>
      </c>
      <c r="C882" s="123" t="s">
        <v>87</v>
      </c>
      <c r="D882" s="123" t="s">
        <v>782</v>
      </c>
      <c r="E882" s="124" t="s">
        <v>2262</v>
      </c>
      <c r="F882" s="124" t="s">
        <v>2263</v>
      </c>
      <c r="G882" s="124" t="s">
        <v>2405</v>
      </c>
      <c r="H882" s="122" t="s">
        <v>1922</v>
      </c>
      <c r="I882" s="123">
        <v>20.686834000000001</v>
      </c>
      <c r="J882" s="123">
        <v>-101.357274</v>
      </c>
      <c r="K882" s="122"/>
      <c r="L882" s="125" t="str">
        <f t="shared" si="39"/>
        <v>Ver en Google Maps</v>
      </c>
      <c r="M882" s="122">
        <v>4</v>
      </c>
      <c r="N882" s="130"/>
      <c r="O882" s="109"/>
      <c r="P882" s="109"/>
      <c r="Q882" s="109"/>
      <c r="R882" s="109"/>
      <c r="S882" s="109"/>
      <c r="T882" s="109"/>
      <c r="U882" s="109"/>
      <c r="V882" s="109"/>
      <c r="W882" s="109"/>
      <c r="X882" s="109"/>
      <c r="Y882" s="109"/>
      <c r="Z882" s="109"/>
      <c r="AA882" s="109"/>
      <c r="AB882" s="109"/>
      <c r="AC882" s="110"/>
      <c r="AD882" s="110"/>
      <c r="AE882" s="109"/>
      <c r="AF882" s="151"/>
    </row>
    <row r="883" spans="1:32" x14ac:dyDescent="0.2">
      <c r="A883" s="112">
        <v>964</v>
      </c>
      <c r="B883" s="113" t="s">
        <v>1204</v>
      </c>
      <c r="C883" s="114" t="s">
        <v>429</v>
      </c>
      <c r="D883" s="114" t="s">
        <v>336</v>
      </c>
      <c r="E883" s="115" t="s">
        <v>2264</v>
      </c>
      <c r="F883" s="115" t="s">
        <v>2265</v>
      </c>
      <c r="G883" s="115" t="s">
        <v>2317</v>
      </c>
      <c r="H883" s="113" t="s">
        <v>1922</v>
      </c>
      <c r="I883" s="114">
        <v>20.67869</v>
      </c>
      <c r="J883" s="114">
        <v>-101.370257</v>
      </c>
      <c r="K883" s="113"/>
      <c r="L883" s="116" t="str">
        <f t="shared" si="39"/>
        <v>Ver en Google Maps</v>
      </c>
      <c r="M883" s="113">
        <v>2</v>
      </c>
      <c r="N883" s="129"/>
      <c r="O883" s="118"/>
      <c r="P883" s="118"/>
      <c r="Q883" s="118"/>
      <c r="R883" s="118"/>
      <c r="S883" s="118"/>
      <c r="T883" s="118"/>
      <c r="U883" s="118"/>
      <c r="V883" s="118"/>
      <c r="W883" s="118"/>
      <c r="X883" s="118"/>
      <c r="Y883" s="118"/>
      <c r="Z883" s="118"/>
      <c r="AA883" s="118"/>
      <c r="AB883" s="118"/>
      <c r="AC883" s="119"/>
      <c r="AD883" s="119"/>
      <c r="AE883" s="118"/>
      <c r="AF883" s="152"/>
    </row>
    <row r="884" spans="1:32" x14ac:dyDescent="0.2">
      <c r="A884" s="121">
        <v>965</v>
      </c>
      <c r="B884" s="122" t="s">
        <v>1204</v>
      </c>
      <c r="C884" s="123" t="s">
        <v>14</v>
      </c>
      <c r="D884" s="123" t="s">
        <v>404</v>
      </c>
      <c r="E884" s="124" t="s">
        <v>2266</v>
      </c>
      <c r="F884" s="124" t="s">
        <v>2267</v>
      </c>
      <c r="G884" s="124" t="s">
        <v>2390</v>
      </c>
      <c r="H884" s="122" t="s">
        <v>1922</v>
      </c>
      <c r="I884" s="123">
        <v>20.693390000000001</v>
      </c>
      <c r="J884" s="123">
        <v>-101.3523</v>
      </c>
      <c r="K884" s="122"/>
      <c r="L884" s="125" t="str">
        <f t="shared" si="39"/>
        <v>Ver en Google Maps</v>
      </c>
      <c r="M884" s="122">
        <v>1</v>
      </c>
      <c r="N884" s="130"/>
      <c r="O884" s="109"/>
      <c r="P884" s="109"/>
      <c r="Q884" s="109"/>
      <c r="R884" s="109"/>
      <c r="S884" s="109"/>
      <c r="T884" s="109"/>
      <c r="U884" s="109"/>
      <c r="V884" s="109"/>
      <c r="W884" s="109"/>
      <c r="X884" s="109"/>
      <c r="Y884" s="109"/>
      <c r="Z884" s="109"/>
      <c r="AA884" s="109"/>
      <c r="AB884" s="109"/>
      <c r="AC884" s="110"/>
      <c r="AD884" s="110"/>
      <c r="AE884" s="109"/>
      <c r="AF884" s="151"/>
    </row>
    <row r="885" spans="1:32" x14ac:dyDescent="0.2">
      <c r="A885" s="112">
        <v>1000</v>
      </c>
      <c r="B885" s="113" t="s">
        <v>1204</v>
      </c>
      <c r="C885" s="114" t="s">
        <v>87</v>
      </c>
      <c r="D885" s="114" t="s">
        <v>805</v>
      </c>
      <c r="E885" s="115" t="s">
        <v>2268</v>
      </c>
      <c r="F885" s="115" t="s">
        <v>2269</v>
      </c>
      <c r="G885" s="115" t="s">
        <v>2409</v>
      </c>
      <c r="H885" s="113" t="s">
        <v>1922</v>
      </c>
      <c r="I885" s="114">
        <v>20.666156000000001</v>
      </c>
      <c r="J885" s="114">
        <v>-101.372714</v>
      </c>
      <c r="K885" s="113" t="s">
        <v>139</v>
      </c>
      <c r="L885" s="116" t="str">
        <f t="shared" si="39"/>
        <v>Ver en Google Maps</v>
      </c>
      <c r="M885" s="113">
        <v>2</v>
      </c>
      <c r="N885" s="117">
        <v>45942</v>
      </c>
      <c r="O885" s="118">
        <f>DAY('BD1'!$N885)</f>
        <v>12</v>
      </c>
      <c r="P885" s="118">
        <f>MONTH('BD1'!$N885)</f>
        <v>10</v>
      </c>
      <c r="Q885" s="118">
        <f>YEAR('BD1'!$N885)</f>
        <v>2025</v>
      </c>
      <c r="R885" s="118">
        <v>1</v>
      </c>
      <c r="S885" s="118" t="s">
        <v>138</v>
      </c>
      <c r="T885" s="118" t="s">
        <v>138</v>
      </c>
      <c r="U885" s="118" t="s">
        <v>138</v>
      </c>
      <c r="V885" s="118" t="s">
        <v>934</v>
      </c>
      <c r="W885" s="118" t="s">
        <v>138</v>
      </c>
      <c r="X885" s="118" t="s">
        <v>934</v>
      </c>
      <c r="Y885" s="118" t="s">
        <v>934</v>
      </c>
      <c r="Z885" s="118" t="s">
        <v>934</v>
      </c>
      <c r="AA885" s="118">
        <v>0</v>
      </c>
      <c r="AB885" s="118">
        <v>0</v>
      </c>
      <c r="AC885" s="119" t="s">
        <v>2445</v>
      </c>
      <c r="AD885" s="119" t="s">
        <v>2436</v>
      </c>
      <c r="AE885" s="118">
        <f t="shared" si="40"/>
        <v>4</v>
      </c>
      <c r="AF885" s="152" t="str">
        <f t="shared" si="41"/>
        <v>Parcialmente funcional</v>
      </c>
    </row>
    <row r="886" spans="1:32" x14ac:dyDescent="0.2">
      <c r="A886" s="121">
        <v>1001</v>
      </c>
      <c r="B886" s="122" t="s">
        <v>1204</v>
      </c>
      <c r="C886" s="123" t="s">
        <v>87</v>
      </c>
      <c r="D886" s="123" t="s">
        <v>805</v>
      </c>
      <c r="E886" s="124" t="s">
        <v>2270</v>
      </c>
      <c r="F886" s="124" t="s">
        <v>2271</v>
      </c>
      <c r="G886" s="124" t="s">
        <v>2410</v>
      </c>
      <c r="H886" s="122" t="s">
        <v>1922</v>
      </c>
      <c r="I886" s="123">
        <v>20.666585999999999</v>
      </c>
      <c r="J886" s="123">
        <v>-101.35790299999999</v>
      </c>
      <c r="K886" s="122"/>
      <c r="L886" s="125" t="str">
        <f t="shared" si="39"/>
        <v>Ver en Google Maps</v>
      </c>
      <c r="M886" s="122">
        <v>2</v>
      </c>
      <c r="N886" s="130"/>
      <c r="O886" s="109"/>
      <c r="P886" s="109"/>
      <c r="Q886" s="109"/>
      <c r="R886" s="109"/>
      <c r="S886" s="109"/>
      <c r="T886" s="109"/>
      <c r="U886" s="109"/>
      <c r="V886" s="109"/>
      <c r="W886" s="109"/>
      <c r="X886" s="109"/>
      <c r="Y886" s="109"/>
      <c r="Z886" s="109"/>
      <c r="AA886" s="109"/>
      <c r="AB886" s="109"/>
      <c r="AC886" s="110"/>
      <c r="AD886" s="110"/>
      <c r="AE886" s="109"/>
      <c r="AF886" s="151"/>
    </row>
    <row r="887" spans="1:32" x14ac:dyDescent="0.2">
      <c r="A887" s="112">
        <v>1009</v>
      </c>
      <c r="B887" s="113" t="s">
        <v>1204</v>
      </c>
      <c r="C887" s="114" t="s">
        <v>87</v>
      </c>
      <c r="D887" s="114" t="s">
        <v>1772</v>
      </c>
      <c r="E887" s="115" t="s">
        <v>2272</v>
      </c>
      <c r="F887" s="115" t="s">
        <v>2273</v>
      </c>
      <c r="G887" s="115" t="s">
        <v>2411</v>
      </c>
      <c r="H887" s="113" t="s">
        <v>1922</v>
      </c>
      <c r="I887" s="114">
        <v>20.653092000000001</v>
      </c>
      <c r="J887" s="114">
        <v>-101.338616</v>
      </c>
      <c r="K887" s="113" t="s">
        <v>3057</v>
      </c>
      <c r="L887" s="116" t="str">
        <f t="shared" si="39"/>
        <v>Ver en Google Maps</v>
      </c>
      <c r="M887" s="113">
        <v>2</v>
      </c>
      <c r="N887" s="117">
        <v>45941</v>
      </c>
      <c r="O887" s="118">
        <f>DAY('BD1'!$N887)</f>
        <v>11</v>
      </c>
      <c r="P887" s="118">
        <f>MONTH('BD1'!$N887)</f>
        <v>10</v>
      </c>
      <c r="Q887" s="118">
        <f>YEAR('BD1'!$N887)</f>
        <v>2025</v>
      </c>
      <c r="R887" s="118">
        <v>1</v>
      </c>
      <c r="S887" s="118" t="s">
        <v>138</v>
      </c>
      <c r="T887" s="118" t="s">
        <v>138</v>
      </c>
      <c r="U887" s="118" t="s">
        <v>138</v>
      </c>
      <c r="V887" s="118" t="s">
        <v>138</v>
      </c>
      <c r="W887" s="118" t="s">
        <v>138</v>
      </c>
      <c r="X887" s="118" t="s">
        <v>138</v>
      </c>
      <c r="Y887" s="118" t="s">
        <v>138</v>
      </c>
      <c r="Z887" s="118" t="s">
        <v>138</v>
      </c>
      <c r="AA887" s="118">
        <v>87</v>
      </c>
      <c r="AB887" s="118">
        <v>39.200000000000003</v>
      </c>
      <c r="AC887" s="119" t="s">
        <v>967</v>
      </c>
      <c r="AD887" s="119" t="s">
        <v>2436</v>
      </c>
      <c r="AE887" s="118">
        <f t="shared" si="40"/>
        <v>8</v>
      </c>
      <c r="AF887" s="152" t="str">
        <f t="shared" si="41"/>
        <v>Estable</v>
      </c>
    </row>
    <row r="888" spans="1:32" x14ac:dyDescent="0.2">
      <c r="A888" s="121">
        <v>1019</v>
      </c>
      <c r="B888" s="122" t="s">
        <v>1204</v>
      </c>
      <c r="C888" s="123" t="s">
        <v>87</v>
      </c>
      <c r="D888" s="123" t="s">
        <v>805</v>
      </c>
      <c r="E888" s="124" t="s">
        <v>2274</v>
      </c>
      <c r="F888" s="124" t="s">
        <v>2275</v>
      </c>
      <c r="G888" s="124" t="s">
        <v>2318</v>
      </c>
      <c r="H888" s="122" t="s">
        <v>1922</v>
      </c>
      <c r="I888" s="123">
        <v>20.671585</v>
      </c>
      <c r="J888" s="123">
        <v>-101.355632</v>
      </c>
      <c r="K888" s="122"/>
      <c r="L888" s="125" t="str">
        <f t="shared" si="39"/>
        <v>Ver en Google Maps</v>
      </c>
      <c r="M888" s="122">
        <v>2</v>
      </c>
      <c r="N888" s="130"/>
      <c r="O888" s="109"/>
      <c r="P888" s="109"/>
      <c r="Q888" s="109"/>
      <c r="R888" s="109"/>
      <c r="S888" s="109"/>
      <c r="T888" s="109"/>
      <c r="U888" s="109"/>
      <c r="V888" s="109"/>
      <c r="W888" s="109"/>
      <c r="X888" s="109"/>
      <c r="Y888" s="109"/>
      <c r="Z888" s="109"/>
      <c r="AA888" s="109"/>
      <c r="AB888" s="109"/>
      <c r="AC888" s="110"/>
      <c r="AD888" s="110"/>
      <c r="AE888" s="109"/>
      <c r="AF888" s="151"/>
    </row>
    <row r="889" spans="1:32" x14ac:dyDescent="0.2">
      <c r="A889" s="112">
        <v>1046</v>
      </c>
      <c r="B889" s="113" t="s">
        <v>1204</v>
      </c>
      <c r="C889" s="114" t="s">
        <v>87</v>
      </c>
      <c r="D889" s="114" t="s">
        <v>805</v>
      </c>
      <c r="E889" s="115" t="s">
        <v>2276</v>
      </c>
      <c r="F889" s="115" t="s">
        <v>2277</v>
      </c>
      <c r="G889" s="115" t="s">
        <v>2412</v>
      </c>
      <c r="H889" s="113" t="s">
        <v>1922</v>
      </c>
      <c r="I889" s="114">
        <v>20.721</v>
      </c>
      <c r="J889" s="114">
        <v>-101.365641</v>
      </c>
      <c r="K889" s="113"/>
      <c r="L889" s="116" t="str">
        <f t="shared" si="39"/>
        <v>Ver en Google Maps</v>
      </c>
      <c r="M889" s="113">
        <v>3</v>
      </c>
      <c r="N889" s="129"/>
      <c r="O889" s="118"/>
      <c r="P889" s="118"/>
      <c r="Q889" s="118"/>
      <c r="R889" s="118"/>
      <c r="S889" s="118"/>
      <c r="T889" s="118"/>
      <c r="U889" s="118"/>
      <c r="V889" s="118"/>
      <c r="W889" s="118"/>
      <c r="X889" s="118"/>
      <c r="Y889" s="118"/>
      <c r="Z889" s="118"/>
      <c r="AA889" s="118"/>
      <c r="AB889" s="118"/>
      <c r="AC889" s="119"/>
      <c r="AD889" s="119"/>
      <c r="AE889" s="118"/>
      <c r="AF889" s="152"/>
    </row>
    <row r="890" spans="1:32" x14ac:dyDescent="0.2">
      <c r="A890" s="121">
        <v>1050</v>
      </c>
      <c r="B890" s="122" t="s">
        <v>1204</v>
      </c>
      <c r="C890" s="123" t="s">
        <v>87</v>
      </c>
      <c r="D890" s="123" t="s">
        <v>805</v>
      </c>
      <c r="E890" s="124" t="s">
        <v>2278</v>
      </c>
      <c r="F890" s="124" t="s">
        <v>2279</v>
      </c>
      <c r="G890" s="124" t="s">
        <v>2397</v>
      </c>
      <c r="H890" s="122" t="s">
        <v>1922</v>
      </c>
      <c r="I890" s="123">
        <v>20.64386</v>
      </c>
      <c r="J890" s="123">
        <v>-101.390384</v>
      </c>
      <c r="K890" s="122" t="s">
        <v>139</v>
      </c>
      <c r="L890" s="125" t="str">
        <f t="shared" si="39"/>
        <v>Ver en Google Maps</v>
      </c>
      <c r="M890" s="122">
        <v>2</v>
      </c>
      <c r="N890" s="108">
        <v>45942</v>
      </c>
      <c r="O890" s="109">
        <f>DAY('BD1'!$N890)</f>
        <v>12</v>
      </c>
      <c r="P890" s="109">
        <f>MONTH('BD1'!$N890)</f>
        <v>10</v>
      </c>
      <c r="Q890" s="109">
        <f>YEAR('BD1'!$N890)</f>
        <v>2025</v>
      </c>
      <c r="R890" s="109">
        <v>1</v>
      </c>
      <c r="S890" s="109" t="s">
        <v>138</v>
      </c>
      <c r="T890" s="109" t="s">
        <v>138</v>
      </c>
      <c r="U890" s="109" t="s">
        <v>138</v>
      </c>
      <c r="V890" s="109" t="s">
        <v>138</v>
      </c>
      <c r="W890" s="109" t="s">
        <v>138</v>
      </c>
      <c r="X890" s="109" t="s">
        <v>138</v>
      </c>
      <c r="Y890" s="109" t="s">
        <v>138</v>
      </c>
      <c r="Z890" s="109" t="s">
        <v>934</v>
      </c>
      <c r="AA890" s="109">
        <v>11.8</v>
      </c>
      <c r="AB890" s="109">
        <v>3.63</v>
      </c>
      <c r="AC890" s="110" t="s">
        <v>2443</v>
      </c>
      <c r="AD890" s="110" t="s">
        <v>2436</v>
      </c>
      <c r="AE890" s="109">
        <f t="shared" si="40"/>
        <v>7</v>
      </c>
      <c r="AF890" s="151" t="str">
        <f t="shared" si="41"/>
        <v>Funcional con observaciones</v>
      </c>
    </row>
    <row r="891" spans="1:32" x14ac:dyDescent="0.2">
      <c r="A891" s="112">
        <v>1052</v>
      </c>
      <c r="B891" s="113" t="s">
        <v>1204</v>
      </c>
      <c r="C891" s="114" t="s">
        <v>87</v>
      </c>
      <c r="D891" s="114" t="s">
        <v>404</v>
      </c>
      <c r="E891" s="115" t="s">
        <v>2280</v>
      </c>
      <c r="F891" s="115" t="s">
        <v>2281</v>
      </c>
      <c r="G891" s="115" t="s">
        <v>2319</v>
      </c>
      <c r="H891" s="113" t="s">
        <v>1922</v>
      </c>
      <c r="I891" s="114">
        <v>20.643791</v>
      </c>
      <c r="J891" s="114">
        <v>-101.389595</v>
      </c>
      <c r="K891" s="113" t="s">
        <v>139</v>
      </c>
      <c r="L891" s="116" t="str">
        <f t="shared" si="39"/>
        <v>Ver en Google Maps</v>
      </c>
      <c r="M891" s="113">
        <v>2</v>
      </c>
      <c r="N891" s="117">
        <v>45942</v>
      </c>
      <c r="O891" s="118">
        <f>DAY('BD1'!$N891)</f>
        <v>12</v>
      </c>
      <c r="P891" s="118">
        <f>MONTH('BD1'!$N891)</f>
        <v>10</v>
      </c>
      <c r="Q891" s="118">
        <f>YEAR('BD1'!$N891)</f>
        <v>2025</v>
      </c>
      <c r="R891" s="118">
        <v>1</v>
      </c>
      <c r="S891" s="118" t="s">
        <v>138</v>
      </c>
      <c r="T891" s="118" t="s">
        <v>138</v>
      </c>
      <c r="U891" s="118" t="s">
        <v>138</v>
      </c>
      <c r="V891" s="118" t="s">
        <v>138</v>
      </c>
      <c r="W891" s="118" t="s">
        <v>138</v>
      </c>
      <c r="X891" s="118" t="s">
        <v>138</v>
      </c>
      <c r="Y891" s="118" t="s">
        <v>138</v>
      </c>
      <c r="Z891" s="118" t="s">
        <v>138</v>
      </c>
      <c r="AA891" s="118">
        <v>113</v>
      </c>
      <c r="AB891" s="118">
        <v>100</v>
      </c>
      <c r="AC891" s="119" t="s">
        <v>967</v>
      </c>
      <c r="AD891" s="119" t="s">
        <v>2436</v>
      </c>
      <c r="AE891" s="118">
        <f t="shared" si="40"/>
        <v>8</v>
      </c>
      <c r="AF891" s="152" t="str">
        <f t="shared" si="41"/>
        <v>Estable</v>
      </c>
    </row>
    <row r="892" spans="1:32" x14ac:dyDescent="0.2">
      <c r="A892" s="121">
        <v>1053</v>
      </c>
      <c r="B892" s="122" t="s">
        <v>1204</v>
      </c>
      <c r="C892" s="123" t="s">
        <v>87</v>
      </c>
      <c r="D892" s="123" t="s">
        <v>842</v>
      </c>
      <c r="E892" s="124" t="s">
        <v>2282</v>
      </c>
      <c r="F892" s="124" t="s">
        <v>2283</v>
      </c>
      <c r="G892" s="124" t="s">
        <v>2320</v>
      </c>
      <c r="H892" s="122" t="s">
        <v>1922</v>
      </c>
      <c r="I892" s="123">
        <v>20.643896000000002</v>
      </c>
      <c r="J892" s="123">
        <v>-101.38999200000001</v>
      </c>
      <c r="K892" s="122" t="s">
        <v>139</v>
      </c>
      <c r="L892" s="125" t="str">
        <f t="shared" si="39"/>
        <v>Ver en Google Maps</v>
      </c>
      <c r="M892" s="122">
        <v>2</v>
      </c>
      <c r="N892" s="108">
        <v>45942</v>
      </c>
      <c r="O892" s="109">
        <f>DAY('BD1'!$N892)</f>
        <v>12</v>
      </c>
      <c r="P892" s="109">
        <f>MONTH('BD1'!$N892)</f>
        <v>10</v>
      </c>
      <c r="Q892" s="109">
        <f>YEAR('BD1'!$N892)</f>
        <v>2025</v>
      </c>
      <c r="R892" s="109">
        <v>1</v>
      </c>
      <c r="S892" s="109" t="s">
        <v>138</v>
      </c>
      <c r="T892" s="109" t="s">
        <v>138</v>
      </c>
      <c r="U892" s="109" t="s">
        <v>138</v>
      </c>
      <c r="V892" s="109" t="s">
        <v>138</v>
      </c>
      <c r="W892" s="109" t="s">
        <v>138</v>
      </c>
      <c r="X892" s="109" t="s">
        <v>138</v>
      </c>
      <c r="Y892" s="109" t="s">
        <v>138</v>
      </c>
      <c r="Z892" s="109" t="s">
        <v>138</v>
      </c>
      <c r="AA892" s="109">
        <v>99.7</v>
      </c>
      <c r="AB892" s="109">
        <v>48.2</v>
      </c>
      <c r="AC892" s="110" t="s">
        <v>967</v>
      </c>
      <c r="AD892" s="110" t="s">
        <v>2436</v>
      </c>
      <c r="AE892" s="109">
        <f t="shared" si="40"/>
        <v>8</v>
      </c>
      <c r="AF892" s="151" t="str">
        <f t="shared" si="41"/>
        <v>Estable</v>
      </c>
    </row>
    <row r="893" spans="1:32" x14ac:dyDescent="0.2">
      <c r="A893" s="112">
        <v>1075</v>
      </c>
      <c r="B893" s="113" t="s">
        <v>1204</v>
      </c>
      <c r="C893" s="114" t="s">
        <v>429</v>
      </c>
      <c r="D893" s="114" t="s">
        <v>132</v>
      </c>
      <c r="E893" s="115" t="s">
        <v>2284</v>
      </c>
      <c r="F893" s="115" t="s">
        <v>2285</v>
      </c>
      <c r="G893" s="115" t="s">
        <v>2321</v>
      </c>
      <c r="H893" s="113" t="s">
        <v>1922</v>
      </c>
      <c r="I893" s="114">
        <v>20.660352</v>
      </c>
      <c r="J893" s="114">
        <v>-101.336877</v>
      </c>
      <c r="K893" s="113"/>
      <c r="L893" s="116" t="str">
        <f t="shared" si="39"/>
        <v>Ver en Google Maps</v>
      </c>
      <c r="M893" s="113">
        <v>2</v>
      </c>
      <c r="N893" s="129"/>
      <c r="O893" s="118"/>
      <c r="P893" s="118"/>
      <c r="Q893" s="118"/>
      <c r="R893" s="118"/>
      <c r="S893" s="118"/>
      <c r="T893" s="118"/>
      <c r="U893" s="118"/>
      <c r="V893" s="118"/>
      <c r="W893" s="118"/>
      <c r="X893" s="118"/>
      <c r="Y893" s="118"/>
      <c r="Z893" s="118"/>
      <c r="AA893" s="118"/>
      <c r="AB893" s="118"/>
      <c r="AC893" s="119"/>
      <c r="AD893" s="119"/>
      <c r="AE893" s="118"/>
      <c r="AF893" s="152"/>
    </row>
    <row r="894" spans="1:32" x14ac:dyDescent="0.2">
      <c r="A894" s="121">
        <v>1085</v>
      </c>
      <c r="B894" s="122" t="s">
        <v>1204</v>
      </c>
      <c r="C894" s="123" t="s">
        <v>18</v>
      </c>
      <c r="D894" s="123" t="s">
        <v>404</v>
      </c>
      <c r="E894" s="124" t="s">
        <v>2286</v>
      </c>
      <c r="F894" s="124" t="s">
        <v>2287</v>
      </c>
      <c r="G894" s="124" t="s">
        <v>2322</v>
      </c>
      <c r="H894" s="122" t="s">
        <v>1922</v>
      </c>
      <c r="I894" s="123">
        <v>20.720413000000001</v>
      </c>
      <c r="J894" s="123">
        <v>-101.32916899999999</v>
      </c>
      <c r="K894" s="122"/>
      <c r="L894" s="125" t="str">
        <f t="shared" si="39"/>
        <v>Ver en Google Maps</v>
      </c>
      <c r="M894" s="122">
        <v>2</v>
      </c>
      <c r="N894" s="130"/>
      <c r="O894" s="109"/>
      <c r="P894" s="109"/>
      <c r="Q894" s="109"/>
      <c r="R894" s="109"/>
      <c r="S894" s="109"/>
      <c r="T894" s="109"/>
      <c r="U894" s="109"/>
      <c r="V894" s="109"/>
      <c r="W894" s="109"/>
      <c r="X894" s="109"/>
      <c r="Y894" s="109"/>
      <c r="Z894" s="109"/>
      <c r="AA894" s="109"/>
      <c r="AB894" s="109"/>
      <c r="AC894" s="110"/>
      <c r="AD894" s="110"/>
      <c r="AE894" s="109"/>
      <c r="AF894" s="151"/>
    </row>
    <row r="895" spans="1:32" x14ac:dyDescent="0.2">
      <c r="A895" s="112">
        <v>1091</v>
      </c>
      <c r="B895" s="113" t="s">
        <v>1204</v>
      </c>
      <c r="C895" s="114" t="s">
        <v>426</v>
      </c>
      <c r="D895" s="114" t="s">
        <v>404</v>
      </c>
      <c r="E895" s="115" t="s">
        <v>2288</v>
      </c>
      <c r="F895" s="115" t="s">
        <v>2289</v>
      </c>
      <c r="G895" s="115" t="s">
        <v>360</v>
      </c>
      <c r="H895" s="113" t="s">
        <v>1922</v>
      </c>
      <c r="I895" s="114">
        <v>20.672595999999999</v>
      </c>
      <c r="J895" s="114">
        <v>-101.34747299999999</v>
      </c>
      <c r="K895" s="113"/>
      <c r="L895" s="116" t="str">
        <f t="shared" si="39"/>
        <v>Ver en Google Maps</v>
      </c>
      <c r="M895" s="113">
        <v>3</v>
      </c>
      <c r="N895" s="129"/>
      <c r="O895" s="118"/>
      <c r="P895" s="118"/>
      <c r="Q895" s="118"/>
      <c r="R895" s="118"/>
      <c r="S895" s="118"/>
      <c r="T895" s="118"/>
      <c r="U895" s="118"/>
      <c r="V895" s="118"/>
      <c r="W895" s="118"/>
      <c r="X895" s="118"/>
      <c r="Y895" s="118"/>
      <c r="Z895" s="118"/>
      <c r="AA895" s="118"/>
      <c r="AB895" s="118"/>
      <c r="AC895" s="119"/>
      <c r="AD895" s="119"/>
      <c r="AE895" s="118"/>
      <c r="AF895" s="152"/>
    </row>
    <row r="896" spans="1:32" x14ac:dyDescent="0.2">
      <c r="A896" s="121">
        <v>1093</v>
      </c>
      <c r="B896" s="122" t="s">
        <v>1204</v>
      </c>
      <c r="C896" s="123" t="s">
        <v>14</v>
      </c>
      <c r="D896" s="123" t="s">
        <v>404</v>
      </c>
      <c r="E896" s="124" t="s">
        <v>2290</v>
      </c>
      <c r="F896" s="124" t="s">
        <v>2291</v>
      </c>
      <c r="G896" s="124" t="s">
        <v>2323</v>
      </c>
      <c r="H896" s="122" t="s">
        <v>1922</v>
      </c>
      <c r="I896" s="123">
        <v>20.689312000000001</v>
      </c>
      <c r="J896" s="123">
        <v>-101.355498</v>
      </c>
      <c r="K896" s="122"/>
      <c r="L896" s="125" t="str">
        <f t="shared" si="39"/>
        <v>Ver en Google Maps</v>
      </c>
      <c r="M896" s="122">
        <v>1</v>
      </c>
      <c r="N896" s="130"/>
      <c r="O896" s="109"/>
      <c r="P896" s="109"/>
      <c r="Q896" s="109"/>
      <c r="R896" s="109"/>
      <c r="S896" s="109"/>
      <c r="T896" s="109"/>
      <c r="U896" s="109"/>
      <c r="V896" s="109"/>
      <c r="W896" s="109"/>
      <c r="X896" s="109"/>
      <c r="Y896" s="109"/>
      <c r="Z896" s="109"/>
      <c r="AA896" s="109"/>
      <c r="AB896" s="109"/>
      <c r="AC896" s="110"/>
      <c r="AD896" s="110"/>
      <c r="AE896" s="109"/>
      <c r="AF896" s="151"/>
    </row>
    <row r="897" spans="1:32" x14ac:dyDescent="0.2">
      <c r="A897" s="112">
        <v>1096</v>
      </c>
      <c r="B897" s="113" t="s">
        <v>1204</v>
      </c>
      <c r="C897" s="114" t="s">
        <v>7</v>
      </c>
      <c r="D897" s="114" t="s">
        <v>404</v>
      </c>
      <c r="E897" s="115" t="s">
        <v>2292</v>
      </c>
      <c r="F897" s="115" t="s">
        <v>2293</v>
      </c>
      <c r="G897" s="115" t="s">
        <v>2413</v>
      </c>
      <c r="H897" s="113" t="s">
        <v>1922</v>
      </c>
      <c r="I897" s="114">
        <v>20.671575000000001</v>
      </c>
      <c r="J897" s="114">
        <v>-101.348878</v>
      </c>
      <c r="K897" s="113" t="s">
        <v>139</v>
      </c>
      <c r="L897" s="116" t="str">
        <f t="shared" si="39"/>
        <v>Ver en Google Maps</v>
      </c>
      <c r="M897" s="113">
        <v>1</v>
      </c>
      <c r="N897" s="117">
        <v>45942</v>
      </c>
      <c r="O897" s="118">
        <f>DAY('BD1'!$N897)</f>
        <v>12</v>
      </c>
      <c r="P897" s="118">
        <f>MONTH('BD1'!$N897)</f>
        <v>10</v>
      </c>
      <c r="Q897" s="118">
        <f>YEAR('BD1'!$N897)</f>
        <v>2025</v>
      </c>
      <c r="R897" s="118">
        <v>1</v>
      </c>
      <c r="S897" s="118" t="s">
        <v>138</v>
      </c>
      <c r="T897" s="118" t="s">
        <v>138</v>
      </c>
      <c r="U897" s="118" t="s">
        <v>138</v>
      </c>
      <c r="V897" s="118" t="s">
        <v>138</v>
      </c>
      <c r="W897" s="118" t="s">
        <v>138</v>
      </c>
      <c r="X897" s="118" t="s">
        <v>138</v>
      </c>
      <c r="Y897" s="118" t="s">
        <v>138</v>
      </c>
      <c r="Z897" s="118" t="s">
        <v>138</v>
      </c>
      <c r="AA897" s="118">
        <v>85.5</v>
      </c>
      <c r="AB897" s="118">
        <v>28.8</v>
      </c>
      <c r="AC897" s="119" t="s">
        <v>967</v>
      </c>
      <c r="AD897" s="119" t="s">
        <v>2436</v>
      </c>
      <c r="AE897" s="118">
        <f t="shared" si="40"/>
        <v>8</v>
      </c>
      <c r="AF897" s="152" t="str">
        <f t="shared" si="41"/>
        <v>Estable</v>
      </c>
    </row>
    <row r="898" spans="1:32" x14ac:dyDescent="0.2">
      <c r="A898" s="121">
        <v>1097</v>
      </c>
      <c r="B898" s="122" t="s">
        <v>1204</v>
      </c>
      <c r="C898" s="123" t="s">
        <v>14</v>
      </c>
      <c r="D898" s="123" t="s">
        <v>404</v>
      </c>
      <c r="E898" s="124" t="s">
        <v>2294</v>
      </c>
      <c r="F898" s="124" t="s">
        <v>2295</v>
      </c>
      <c r="G898" s="124" t="s">
        <v>2324</v>
      </c>
      <c r="H898" s="122" t="s">
        <v>1922</v>
      </c>
      <c r="I898" s="123">
        <v>20.688230000000001</v>
      </c>
      <c r="J898" s="123">
        <v>-101.34976</v>
      </c>
      <c r="K898" s="122"/>
      <c r="L898" s="125" t="str">
        <f t="shared" si="39"/>
        <v>Ver en Google Maps</v>
      </c>
      <c r="M898" s="122">
        <v>1</v>
      </c>
      <c r="N898" s="130"/>
      <c r="O898" s="109"/>
      <c r="P898" s="109"/>
      <c r="Q898" s="109"/>
      <c r="R898" s="109"/>
      <c r="S898" s="109"/>
      <c r="T898" s="109"/>
      <c r="U898" s="109"/>
      <c r="V898" s="109"/>
      <c r="W898" s="109"/>
      <c r="X898" s="109"/>
      <c r="Y898" s="109"/>
      <c r="Z898" s="109"/>
      <c r="AA898" s="109"/>
      <c r="AB898" s="109"/>
      <c r="AC898" s="110"/>
      <c r="AD898" s="110"/>
      <c r="AE898" s="109"/>
      <c r="AF898" s="151"/>
    </row>
    <row r="899" spans="1:32" x14ac:dyDescent="0.2">
      <c r="A899" s="112">
        <v>1102</v>
      </c>
      <c r="B899" s="113" t="s">
        <v>1204</v>
      </c>
      <c r="C899" s="114" t="s">
        <v>429</v>
      </c>
      <c r="D899" s="114" t="s">
        <v>336</v>
      </c>
      <c r="E899" s="115" t="s">
        <v>2296</v>
      </c>
      <c r="F899" s="115" t="s">
        <v>2297</v>
      </c>
      <c r="G899" s="115" t="s">
        <v>2396</v>
      </c>
      <c r="H899" s="113" t="s">
        <v>1922</v>
      </c>
      <c r="I899" s="114">
        <v>20.673047</v>
      </c>
      <c r="J899" s="114">
        <v>-101.33107800000001</v>
      </c>
      <c r="K899" s="113"/>
      <c r="L899" s="116" t="str">
        <f t="shared" si="39"/>
        <v>Ver en Google Maps</v>
      </c>
      <c r="M899" s="113">
        <v>2</v>
      </c>
      <c r="N899" s="129"/>
      <c r="O899" s="118"/>
      <c r="P899" s="118"/>
      <c r="Q899" s="118"/>
      <c r="R899" s="118"/>
      <c r="S899" s="118"/>
      <c r="T899" s="118"/>
      <c r="U899" s="118"/>
      <c r="V899" s="118"/>
      <c r="W899" s="118"/>
      <c r="X899" s="118"/>
      <c r="Y899" s="118"/>
      <c r="Z899" s="118"/>
      <c r="AA899" s="118"/>
      <c r="AB899" s="118"/>
      <c r="AC899" s="119"/>
      <c r="AD899" s="119"/>
      <c r="AE899" s="118"/>
      <c r="AF899" s="152"/>
    </row>
    <row r="900" spans="1:32" ht="12.75" thickBot="1" x14ac:dyDescent="0.25">
      <c r="A900" s="121">
        <v>1119</v>
      </c>
      <c r="B900" s="122" t="s">
        <v>1204</v>
      </c>
      <c r="C900" s="123" t="s">
        <v>18</v>
      </c>
      <c r="D900" s="123" t="s">
        <v>404</v>
      </c>
      <c r="E900" s="124" t="s">
        <v>2298</v>
      </c>
      <c r="F900" s="124" t="s">
        <v>2287</v>
      </c>
      <c r="G900" s="124" t="s">
        <v>2322</v>
      </c>
      <c r="H900" s="122" t="s">
        <v>1922</v>
      </c>
      <c r="I900" s="123">
        <v>20.72024</v>
      </c>
      <c r="J900" s="123">
        <v>-101.33228</v>
      </c>
      <c r="K900" s="122"/>
      <c r="L900" s="125" t="str">
        <f t="shared" si="39"/>
        <v>Ver en Google Maps</v>
      </c>
      <c r="M900" s="122">
        <v>2</v>
      </c>
      <c r="N900" s="130"/>
      <c r="O900" s="109"/>
      <c r="P900" s="109"/>
      <c r="Q900" s="109"/>
      <c r="R900" s="109"/>
      <c r="S900" s="109"/>
      <c r="T900" s="109"/>
      <c r="U900" s="109"/>
      <c r="V900" s="109"/>
      <c r="W900" s="109"/>
      <c r="X900" s="109"/>
      <c r="Y900" s="109"/>
      <c r="Z900" s="109"/>
      <c r="AA900" s="109"/>
      <c r="AB900" s="109"/>
      <c r="AC900" s="110"/>
      <c r="AD900" s="110"/>
      <c r="AE900" s="109"/>
      <c r="AF900" s="151"/>
    </row>
    <row r="901" spans="1:32" x14ac:dyDescent="0.2">
      <c r="A901" s="132">
        <v>17</v>
      </c>
      <c r="B901" s="133" t="s">
        <v>1204</v>
      </c>
      <c r="C901" s="134" t="s">
        <v>429</v>
      </c>
      <c r="D901" s="134" t="s">
        <v>15</v>
      </c>
      <c r="E901" s="134" t="s">
        <v>2447</v>
      </c>
      <c r="F901" s="135" t="s">
        <v>2448</v>
      </c>
      <c r="G901" s="135" t="s">
        <v>2636</v>
      </c>
      <c r="H901" s="135" t="s">
        <v>2449</v>
      </c>
      <c r="I901" s="134">
        <v>20.588695999999999</v>
      </c>
      <c r="J901" s="134">
        <v>-101.216317</v>
      </c>
      <c r="K901" s="133"/>
      <c r="L901" s="136" t="str">
        <f t="shared" si="39"/>
        <v>Ver en Google Maps</v>
      </c>
      <c r="M901" s="136">
        <v>1</v>
      </c>
      <c r="N901" s="129"/>
      <c r="O901" s="118"/>
      <c r="P901" s="118"/>
      <c r="Q901" s="118"/>
      <c r="R901" s="118"/>
      <c r="S901" s="118"/>
      <c r="T901" s="118"/>
      <c r="U901" s="118"/>
      <c r="V901" s="118"/>
      <c r="W901" s="118"/>
      <c r="X901" s="118"/>
      <c r="Y901" s="118"/>
      <c r="Z901" s="118"/>
      <c r="AA901" s="118"/>
      <c r="AB901" s="118"/>
      <c r="AC901" s="119"/>
      <c r="AD901" s="119"/>
      <c r="AE901" s="118"/>
      <c r="AF901" s="152"/>
    </row>
    <row r="902" spans="1:32" x14ac:dyDescent="0.2">
      <c r="A902" s="121">
        <v>18</v>
      </c>
      <c r="B902" s="122" t="s">
        <v>1204</v>
      </c>
      <c r="C902" s="123" t="s">
        <v>429</v>
      </c>
      <c r="D902" s="123" t="s">
        <v>15</v>
      </c>
      <c r="E902" s="123" t="s">
        <v>2450</v>
      </c>
      <c r="F902" s="124" t="s">
        <v>2451</v>
      </c>
      <c r="G902" s="124" t="s">
        <v>1785</v>
      </c>
      <c r="H902" s="124" t="s">
        <v>2449</v>
      </c>
      <c r="I902" s="123">
        <v>20.559449000000001</v>
      </c>
      <c r="J902" s="123">
        <v>-101.206067</v>
      </c>
      <c r="K902" s="122"/>
      <c r="L902" s="125" t="str">
        <f t="shared" si="39"/>
        <v>Ver en Google Maps</v>
      </c>
      <c r="M902" s="125">
        <v>2</v>
      </c>
      <c r="N902" s="130"/>
      <c r="O902" s="109"/>
      <c r="P902" s="109"/>
      <c r="Q902" s="109"/>
      <c r="R902" s="109"/>
      <c r="S902" s="109"/>
      <c r="T902" s="109"/>
      <c r="U902" s="109"/>
      <c r="V902" s="109"/>
      <c r="W902" s="109"/>
      <c r="X902" s="109"/>
      <c r="Y902" s="109"/>
      <c r="Z902" s="109"/>
      <c r="AA902" s="109"/>
      <c r="AB902" s="109"/>
      <c r="AC902" s="110"/>
      <c r="AD902" s="110"/>
      <c r="AE902" s="109"/>
      <c r="AF902" s="151"/>
    </row>
    <row r="903" spans="1:32" x14ac:dyDescent="0.2">
      <c r="A903" s="112">
        <v>19</v>
      </c>
      <c r="B903" s="113" t="s">
        <v>1204</v>
      </c>
      <c r="C903" s="114" t="s">
        <v>429</v>
      </c>
      <c r="D903" s="114" t="s">
        <v>15</v>
      </c>
      <c r="E903" s="114" t="s">
        <v>2452</v>
      </c>
      <c r="F903" s="115" t="s">
        <v>2453</v>
      </c>
      <c r="G903" s="115" t="s">
        <v>2307</v>
      </c>
      <c r="H903" s="115" t="s">
        <v>2449</v>
      </c>
      <c r="I903" s="114">
        <v>20.593619</v>
      </c>
      <c r="J903" s="114">
        <v>-101.194165</v>
      </c>
      <c r="K903" s="113" t="s">
        <v>139</v>
      </c>
      <c r="L903" s="116" t="str">
        <f t="shared" si="39"/>
        <v>Ver en Google Maps</v>
      </c>
      <c r="M903" s="116">
        <v>1</v>
      </c>
      <c r="N903" s="117">
        <v>45941</v>
      </c>
      <c r="O903" s="118">
        <f>DAY('BD1'!$N903)</f>
        <v>11</v>
      </c>
      <c r="P903" s="118">
        <f>MONTH('BD1'!$N903)</f>
        <v>10</v>
      </c>
      <c r="Q903" s="118">
        <f>YEAR('BD1'!$N903)</f>
        <v>2025</v>
      </c>
      <c r="R903" s="118">
        <v>1</v>
      </c>
      <c r="S903" s="118" t="s">
        <v>138</v>
      </c>
      <c r="T903" s="118" t="s">
        <v>138</v>
      </c>
      <c r="U903" s="118" t="s">
        <v>138</v>
      </c>
      <c r="V903" s="118" t="s">
        <v>138</v>
      </c>
      <c r="W903" s="118" t="s">
        <v>138</v>
      </c>
      <c r="X903" s="118" t="s">
        <v>138</v>
      </c>
      <c r="Y903" s="118" t="s">
        <v>138</v>
      </c>
      <c r="Z903" s="118" t="s">
        <v>934</v>
      </c>
      <c r="AA903" s="118">
        <v>12.6</v>
      </c>
      <c r="AB903" s="118">
        <v>10.5</v>
      </c>
      <c r="AC903" s="119" t="s">
        <v>3024</v>
      </c>
      <c r="AD903" s="119" t="s">
        <v>957</v>
      </c>
      <c r="AE903" s="118">
        <f t="shared" ref="AE903:AE964" si="42">COUNTIF(S903:Z903, "si")</f>
        <v>7</v>
      </c>
      <c r="AF903" s="152" t="str">
        <f t="shared" ref="AF898:AF961" si="43">IF(AE903=8,"Estable",(IF(AE903=7,"Funcional con observaciones", (IF(AE903=6,"Funcional con observaciones",(IF(AE903=5,"Rendimiento bajo",(IF(AE903=4,"Parcialmente funcional",(IF(AE903=3,"Parcialmente funcional",(IF(AE903=2,"Inoperativo",(IF(AE903=1,"Inoperativo","Crítico")))))))))))))))</f>
        <v>Funcional con observaciones</v>
      </c>
    </row>
    <row r="904" spans="1:32" x14ac:dyDescent="0.2">
      <c r="A904" s="121">
        <v>20</v>
      </c>
      <c r="B904" s="122" t="s">
        <v>1204</v>
      </c>
      <c r="C904" s="123" t="s">
        <v>429</v>
      </c>
      <c r="D904" s="123" t="s">
        <v>16</v>
      </c>
      <c r="E904" s="123" t="s">
        <v>2454</v>
      </c>
      <c r="F904" s="124" t="s">
        <v>2455</v>
      </c>
      <c r="G904" s="124" t="s">
        <v>2637</v>
      </c>
      <c r="H904" s="124" t="s">
        <v>2449</v>
      </c>
      <c r="I904" s="123">
        <v>20.588165</v>
      </c>
      <c r="J904" s="123">
        <v>-101.21615300000001</v>
      </c>
      <c r="K904" s="122"/>
      <c r="L904" s="125" t="str">
        <f t="shared" si="39"/>
        <v>Ver en Google Maps</v>
      </c>
      <c r="M904" s="125">
        <v>2</v>
      </c>
      <c r="N904" s="130"/>
      <c r="O904" s="109"/>
      <c r="P904" s="109"/>
      <c r="Q904" s="109"/>
      <c r="R904" s="109"/>
      <c r="S904" s="109"/>
      <c r="T904" s="109"/>
      <c r="U904" s="109"/>
      <c r="V904" s="109"/>
      <c r="W904" s="109"/>
      <c r="X904" s="109"/>
      <c r="Y904" s="109"/>
      <c r="Z904" s="109"/>
      <c r="AA904" s="109"/>
      <c r="AB904" s="109"/>
      <c r="AC904" s="110"/>
      <c r="AD904" s="110"/>
      <c r="AE904" s="109"/>
      <c r="AF904" s="151"/>
    </row>
    <row r="905" spans="1:32" x14ac:dyDescent="0.2">
      <c r="A905" s="112">
        <v>21</v>
      </c>
      <c r="B905" s="113" t="s">
        <v>1204</v>
      </c>
      <c r="C905" s="114" t="s">
        <v>429</v>
      </c>
      <c r="D905" s="114" t="s">
        <v>16</v>
      </c>
      <c r="E905" s="114" t="s">
        <v>2456</v>
      </c>
      <c r="F905" s="115" t="s">
        <v>2457</v>
      </c>
      <c r="G905" s="115" t="s">
        <v>1789</v>
      </c>
      <c r="H905" s="115" t="s">
        <v>2449</v>
      </c>
      <c r="I905" s="114">
        <v>20.593267000000001</v>
      </c>
      <c r="J905" s="114">
        <v>-101.200383</v>
      </c>
      <c r="K905" s="113" t="s">
        <v>139</v>
      </c>
      <c r="L905" s="116" t="str">
        <f t="shared" si="39"/>
        <v>Ver en Google Maps</v>
      </c>
      <c r="M905" s="116">
        <v>2</v>
      </c>
      <c r="N905" s="117">
        <v>45941</v>
      </c>
      <c r="O905" s="118">
        <f>DAY('BD1'!$N905)</f>
        <v>11</v>
      </c>
      <c r="P905" s="118">
        <f>MONTH('BD1'!$N905)</f>
        <v>10</v>
      </c>
      <c r="Q905" s="118">
        <f>YEAR('BD1'!$N905)</f>
        <v>2025</v>
      </c>
      <c r="R905" s="118">
        <v>1</v>
      </c>
      <c r="S905" s="118" t="s">
        <v>138</v>
      </c>
      <c r="T905" s="118" t="s">
        <v>138</v>
      </c>
      <c r="U905" s="118" t="s">
        <v>138</v>
      </c>
      <c r="V905" s="118" t="s">
        <v>138</v>
      </c>
      <c r="W905" s="118" t="s">
        <v>138</v>
      </c>
      <c r="X905" s="118" t="s">
        <v>138</v>
      </c>
      <c r="Y905" s="118" t="s">
        <v>138</v>
      </c>
      <c r="Z905" s="118" t="s">
        <v>138</v>
      </c>
      <c r="AA905" s="118">
        <v>75.599999999999994</v>
      </c>
      <c r="AB905" s="118">
        <v>53.4</v>
      </c>
      <c r="AC905" s="119" t="s">
        <v>967</v>
      </c>
      <c r="AD905" s="119" t="s">
        <v>957</v>
      </c>
      <c r="AE905" s="118">
        <f t="shared" si="42"/>
        <v>8</v>
      </c>
      <c r="AF905" s="152" t="str">
        <f t="shared" si="43"/>
        <v>Estable</v>
      </c>
    </row>
    <row r="906" spans="1:32" x14ac:dyDescent="0.2">
      <c r="A906" s="121">
        <v>22</v>
      </c>
      <c r="B906" s="122" t="s">
        <v>1204</v>
      </c>
      <c r="C906" s="123" t="s">
        <v>14</v>
      </c>
      <c r="D906" s="123" t="s">
        <v>404</v>
      </c>
      <c r="E906" s="123" t="s">
        <v>2458</v>
      </c>
      <c r="F906" s="124" t="s">
        <v>2459</v>
      </c>
      <c r="G906" s="124" t="s">
        <v>1231</v>
      </c>
      <c r="H906" s="124" t="s">
        <v>2449</v>
      </c>
      <c r="I906" s="123">
        <v>20.573319999999999</v>
      </c>
      <c r="J906" s="123">
        <v>-101.194174</v>
      </c>
      <c r="K906" s="122" t="s">
        <v>139</v>
      </c>
      <c r="L906" s="125" t="str">
        <f t="shared" si="39"/>
        <v>Ver en Google Maps</v>
      </c>
      <c r="M906" s="125">
        <v>1</v>
      </c>
      <c r="N906" s="108">
        <v>45941</v>
      </c>
      <c r="O906" s="109">
        <f>DAY('BD1'!$N906)</f>
        <v>11</v>
      </c>
      <c r="P906" s="109">
        <f>MONTH('BD1'!$N906)</f>
        <v>10</v>
      </c>
      <c r="Q906" s="109">
        <f>YEAR('BD1'!$N906)</f>
        <v>2025</v>
      </c>
      <c r="R906" s="109">
        <v>1</v>
      </c>
      <c r="S906" s="109" t="s">
        <v>138</v>
      </c>
      <c r="T906" s="109" t="s">
        <v>138</v>
      </c>
      <c r="U906" s="109" t="s">
        <v>138</v>
      </c>
      <c r="V906" s="109" t="s">
        <v>138</v>
      </c>
      <c r="W906" s="109" t="s">
        <v>138</v>
      </c>
      <c r="X906" s="109" t="s">
        <v>138</v>
      </c>
      <c r="Y906" s="109" t="s">
        <v>138</v>
      </c>
      <c r="Z906" s="109" t="s">
        <v>138</v>
      </c>
      <c r="AA906" s="109">
        <v>20</v>
      </c>
      <c r="AB906" s="109">
        <v>7.58</v>
      </c>
      <c r="AC906" s="110" t="s">
        <v>967</v>
      </c>
      <c r="AD906" s="110" t="s">
        <v>957</v>
      </c>
      <c r="AE906" s="109">
        <f t="shared" si="42"/>
        <v>8</v>
      </c>
      <c r="AF906" s="151" t="str">
        <f t="shared" si="43"/>
        <v>Estable</v>
      </c>
    </row>
    <row r="907" spans="1:32" x14ac:dyDescent="0.2">
      <c r="A907" s="112">
        <v>23</v>
      </c>
      <c r="B907" s="113" t="s">
        <v>1204</v>
      </c>
      <c r="C907" s="114" t="s">
        <v>14</v>
      </c>
      <c r="D907" s="114" t="s">
        <v>404</v>
      </c>
      <c r="E907" s="114" t="s">
        <v>2460</v>
      </c>
      <c r="F907" s="115" t="s">
        <v>2461</v>
      </c>
      <c r="G907" s="115" t="s">
        <v>2638</v>
      </c>
      <c r="H907" s="115" t="s">
        <v>2449</v>
      </c>
      <c r="I907" s="114">
        <v>20.547091000000002</v>
      </c>
      <c r="J907" s="114">
        <v>-101.206521</v>
      </c>
      <c r="K907" s="113"/>
      <c r="L907" s="116" t="str">
        <f t="shared" si="39"/>
        <v>Ver en Google Maps</v>
      </c>
      <c r="M907" s="116">
        <v>1</v>
      </c>
      <c r="N907" s="129"/>
      <c r="O907" s="118"/>
      <c r="P907" s="118"/>
      <c r="Q907" s="118"/>
      <c r="R907" s="118"/>
      <c r="S907" s="118"/>
      <c r="T907" s="118"/>
      <c r="U907" s="118"/>
      <c r="V907" s="118"/>
      <c r="W907" s="118"/>
      <c r="X907" s="118"/>
      <c r="Y907" s="118"/>
      <c r="Z907" s="118"/>
      <c r="AA907" s="118"/>
      <c r="AB907" s="118"/>
      <c r="AC907" s="119"/>
      <c r="AD907" s="119"/>
      <c r="AE907" s="118"/>
      <c r="AF907" s="152"/>
    </row>
    <row r="908" spans="1:32" x14ac:dyDescent="0.2">
      <c r="A908" s="121">
        <v>24</v>
      </c>
      <c r="B908" s="122" t="s">
        <v>1204</v>
      </c>
      <c r="C908" s="123" t="s">
        <v>350</v>
      </c>
      <c r="D908" s="123" t="s">
        <v>404</v>
      </c>
      <c r="E908" s="123" t="s">
        <v>2462</v>
      </c>
      <c r="F908" s="124" t="s">
        <v>2463</v>
      </c>
      <c r="G908" s="124" t="s">
        <v>2639</v>
      </c>
      <c r="H908" s="124" t="s">
        <v>2449</v>
      </c>
      <c r="I908" s="123">
        <v>20.591663</v>
      </c>
      <c r="J908" s="123">
        <v>-101.187224</v>
      </c>
      <c r="K908" s="122" t="s">
        <v>139</v>
      </c>
      <c r="L908" s="125" t="str">
        <f t="shared" si="39"/>
        <v>Ver en Google Maps</v>
      </c>
      <c r="M908" s="125">
        <v>1</v>
      </c>
      <c r="N908" s="108">
        <v>45941</v>
      </c>
      <c r="O908" s="109">
        <f>DAY('BD1'!$N908)</f>
        <v>11</v>
      </c>
      <c r="P908" s="109">
        <f>MONTH('BD1'!$N908)</f>
        <v>10</v>
      </c>
      <c r="Q908" s="109">
        <f>YEAR('BD1'!$N908)</f>
        <v>2025</v>
      </c>
      <c r="R908" s="109">
        <v>1</v>
      </c>
      <c r="S908" s="109" t="s">
        <v>138</v>
      </c>
      <c r="T908" s="109" t="s">
        <v>138</v>
      </c>
      <c r="U908" s="109" t="s">
        <v>138</v>
      </c>
      <c r="V908" s="109" t="s">
        <v>138</v>
      </c>
      <c r="W908" s="109" t="s">
        <v>138</v>
      </c>
      <c r="X908" s="109" t="s">
        <v>138</v>
      </c>
      <c r="Y908" s="109" t="s">
        <v>138</v>
      </c>
      <c r="Z908" s="109" t="s">
        <v>138</v>
      </c>
      <c r="AA908" s="109">
        <v>31</v>
      </c>
      <c r="AB908" s="109">
        <v>35.6</v>
      </c>
      <c r="AC908" s="110" t="s">
        <v>967</v>
      </c>
      <c r="AD908" s="110" t="s">
        <v>957</v>
      </c>
      <c r="AE908" s="109">
        <f t="shared" si="42"/>
        <v>8</v>
      </c>
      <c r="AF908" s="151" t="str">
        <f t="shared" si="43"/>
        <v>Estable</v>
      </c>
    </row>
    <row r="909" spans="1:32" x14ac:dyDescent="0.2">
      <c r="A909" s="112">
        <v>25</v>
      </c>
      <c r="B909" s="113" t="s">
        <v>1204</v>
      </c>
      <c r="C909" s="114" t="s">
        <v>429</v>
      </c>
      <c r="D909" s="114" t="s">
        <v>16</v>
      </c>
      <c r="E909" s="114" t="s">
        <v>2464</v>
      </c>
      <c r="F909" s="115" t="s">
        <v>2465</v>
      </c>
      <c r="G909" s="115" t="s">
        <v>2640</v>
      </c>
      <c r="H909" s="115" t="s">
        <v>2449</v>
      </c>
      <c r="I909" s="114">
        <v>20.561471999999998</v>
      </c>
      <c r="J909" s="114">
        <v>-101.203316</v>
      </c>
      <c r="K909" s="113"/>
      <c r="L909" s="116" t="str">
        <f t="shared" si="39"/>
        <v>Ver en Google Maps</v>
      </c>
      <c r="M909" s="116">
        <v>1</v>
      </c>
      <c r="N909" s="129"/>
      <c r="O909" s="118"/>
      <c r="P909" s="118"/>
      <c r="Q909" s="118"/>
      <c r="R909" s="118"/>
      <c r="S909" s="118"/>
      <c r="T909" s="118"/>
      <c r="U909" s="118"/>
      <c r="V909" s="118"/>
      <c r="W909" s="118"/>
      <c r="X909" s="118"/>
      <c r="Y909" s="118"/>
      <c r="Z909" s="118"/>
      <c r="AA909" s="118"/>
      <c r="AB909" s="118"/>
      <c r="AC909" s="119"/>
      <c r="AD909" s="119"/>
      <c r="AE909" s="118"/>
      <c r="AF909" s="152"/>
    </row>
    <row r="910" spans="1:32" x14ac:dyDescent="0.2">
      <c r="A910" s="121">
        <v>26</v>
      </c>
      <c r="B910" s="122" t="s">
        <v>1204</v>
      </c>
      <c r="C910" s="123" t="s">
        <v>429</v>
      </c>
      <c r="D910" s="123" t="s">
        <v>17</v>
      </c>
      <c r="E910" s="123" t="s">
        <v>2466</v>
      </c>
      <c r="F910" s="124" t="s">
        <v>2467</v>
      </c>
      <c r="G910" s="124" t="s">
        <v>2307</v>
      </c>
      <c r="H910" s="124" t="s">
        <v>2449</v>
      </c>
      <c r="I910" s="123">
        <v>20.593361000000002</v>
      </c>
      <c r="J910" s="123">
        <v>-101.194881</v>
      </c>
      <c r="K910" s="122" t="s">
        <v>139</v>
      </c>
      <c r="L910" s="125" t="str">
        <f t="shared" si="39"/>
        <v>Ver en Google Maps</v>
      </c>
      <c r="M910" s="125">
        <v>1</v>
      </c>
      <c r="N910" s="108">
        <v>45941</v>
      </c>
      <c r="O910" s="109">
        <f>DAY('BD1'!$N910)</f>
        <v>11</v>
      </c>
      <c r="P910" s="109">
        <f>MONTH('BD1'!$N910)</f>
        <v>10</v>
      </c>
      <c r="Q910" s="109">
        <f>YEAR('BD1'!$N910)</f>
        <v>2025</v>
      </c>
      <c r="R910" s="109">
        <v>1</v>
      </c>
      <c r="S910" s="109" t="s">
        <v>138</v>
      </c>
      <c r="T910" s="109" t="s">
        <v>138</v>
      </c>
      <c r="U910" s="109" t="s">
        <v>138</v>
      </c>
      <c r="V910" s="109" t="s">
        <v>138</v>
      </c>
      <c r="W910" s="109" t="s">
        <v>138</v>
      </c>
      <c r="X910" s="109" t="s">
        <v>138</v>
      </c>
      <c r="Y910" s="109" t="s">
        <v>138</v>
      </c>
      <c r="Z910" s="109" t="s">
        <v>138</v>
      </c>
      <c r="AA910" s="109">
        <v>93.6</v>
      </c>
      <c r="AB910" s="109">
        <v>59.8</v>
      </c>
      <c r="AC910" s="110" t="s">
        <v>967</v>
      </c>
      <c r="AD910" s="110" t="s">
        <v>957</v>
      </c>
      <c r="AE910" s="109">
        <f t="shared" si="42"/>
        <v>8</v>
      </c>
      <c r="AF910" s="151" t="str">
        <f t="shared" si="43"/>
        <v>Estable</v>
      </c>
    </row>
    <row r="911" spans="1:32" x14ac:dyDescent="0.2">
      <c r="A911" s="112">
        <v>97</v>
      </c>
      <c r="B911" s="113" t="s">
        <v>1204</v>
      </c>
      <c r="C911" s="114" t="s">
        <v>429</v>
      </c>
      <c r="D911" s="114" t="s">
        <v>15</v>
      </c>
      <c r="E911" s="114" t="s">
        <v>2468</v>
      </c>
      <c r="F911" s="115" t="s">
        <v>2469</v>
      </c>
      <c r="G911" s="115" t="s">
        <v>1785</v>
      </c>
      <c r="H911" s="115" t="s">
        <v>2449</v>
      </c>
      <c r="I911" s="114">
        <v>20.560140000000001</v>
      </c>
      <c r="J911" s="114">
        <v>-101.20538500000001</v>
      </c>
      <c r="K911" s="113"/>
      <c r="L911" s="116" t="str">
        <f t="shared" ref="L911:L974" si="44">HYPERLINK("https://www.google.com/maps?q=" &amp; I911 &amp; "," &amp; J911, "Ver en Google Maps")</f>
        <v>Ver en Google Maps</v>
      </c>
      <c r="M911" s="116">
        <v>2</v>
      </c>
      <c r="N911" s="129"/>
      <c r="O911" s="118"/>
      <c r="P911" s="118"/>
      <c r="Q911" s="118"/>
      <c r="R911" s="118"/>
      <c r="S911" s="118"/>
      <c r="T911" s="118"/>
      <c r="U911" s="118"/>
      <c r="V911" s="118"/>
      <c r="W911" s="118"/>
      <c r="X911" s="118"/>
      <c r="Y911" s="118"/>
      <c r="Z911" s="118"/>
      <c r="AA911" s="118"/>
      <c r="AB911" s="118"/>
      <c r="AC911" s="119"/>
      <c r="AD911" s="119"/>
      <c r="AE911" s="118"/>
      <c r="AF911" s="152"/>
    </row>
    <row r="912" spans="1:32" x14ac:dyDescent="0.2">
      <c r="A912" s="121">
        <v>132</v>
      </c>
      <c r="B912" s="122" t="s">
        <v>1204</v>
      </c>
      <c r="C912" s="123" t="s">
        <v>429</v>
      </c>
      <c r="D912" s="123" t="s">
        <v>17</v>
      </c>
      <c r="E912" s="123" t="s">
        <v>2470</v>
      </c>
      <c r="F912" s="124" t="s">
        <v>2471</v>
      </c>
      <c r="G912" s="124" t="s">
        <v>2641</v>
      </c>
      <c r="H912" s="124" t="s">
        <v>2449</v>
      </c>
      <c r="I912" s="123">
        <v>20.58278</v>
      </c>
      <c r="J912" s="123">
        <v>-101.19239</v>
      </c>
      <c r="K912" s="122" t="s">
        <v>139</v>
      </c>
      <c r="L912" s="125" t="str">
        <f t="shared" si="44"/>
        <v>Ver en Google Maps</v>
      </c>
      <c r="M912" s="125">
        <v>2</v>
      </c>
      <c r="N912" s="108">
        <v>45941</v>
      </c>
      <c r="O912" s="109">
        <f>DAY('BD1'!$N912)</f>
        <v>11</v>
      </c>
      <c r="P912" s="109">
        <f>MONTH('BD1'!$N912)</f>
        <v>10</v>
      </c>
      <c r="Q912" s="109">
        <f>YEAR('BD1'!$N912)</f>
        <v>2025</v>
      </c>
      <c r="R912" s="109">
        <v>1</v>
      </c>
      <c r="S912" s="109" t="s">
        <v>138</v>
      </c>
      <c r="T912" s="109" t="s">
        <v>138</v>
      </c>
      <c r="U912" s="109" t="s">
        <v>138</v>
      </c>
      <c r="V912" s="109" t="s">
        <v>138</v>
      </c>
      <c r="W912" s="109" t="s">
        <v>138</v>
      </c>
      <c r="X912" s="109" t="s">
        <v>138</v>
      </c>
      <c r="Y912" s="109" t="s">
        <v>138</v>
      </c>
      <c r="Z912" s="109" t="s">
        <v>934</v>
      </c>
      <c r="AA912" s="109">
        <v>2.0299999999999998</v>
      </c>
      <c r="AB912" s="109">
        <v>1.86</v>
      </c>
      <c r="AC912" s="110" t="s">
        <v>3022</v>
      </c>
      <c r="AD912" s="110" t="s">
        <v>957</v>
      </c>
      <c r="AE912" s="109">
        <f t="shared" si="42"/>
        <v>7</v>
      </c>
      <c r="AF912" s="151" t="str">
        <f t="shared" si="43"/>
        <v>Funcional con observaciones</v>
      </c>
    </row>
    <row r="913" spans="1:32" x14ac:dyDescent="0.2">
      <c r="A913" s="112">
        <v>133</v>
      </c>
      <c r="B913" s="113" t="s">
        <v>1204</v>
      </c>
      <c r="C913" s="114" t="s">
        <v>429</v>
      </c>
      <c r="D913" s="114" t="s">
        <v>17</v>
      </c>
      <c r="E913" s="114" t="s">
        <v>2472</v>
      </c>
      <c r="F913" s="115" t="s">
        <v>2473</v>
      </c>
      <c r="G913" s="115" t="s">
        <v>1785</v>
      </c>
      <c r="H913" s="115" t="s">
        <v>2449</v>
      </c>
      <c r="I913" s="114">
        <v>20.559560000000001</v>
      </c>
      <c r="J913" s="114">
        <v>-101.20493399999999</v>
      </c>
      <c r="K913" s="113"/>
      <c r="L913" s="116" t="str">
        <f t="shared" si="44"/>
        <v>Ver en Google Maps</v>
      </c>
      <c r="M913" s="116">
        <v>1</v>
      </c>
      <c r="N913" s="129"/>
      <c r="O913" s="118"/>
      <c r="P913" s="118"/>
      <c r="Q913" s="118"/>
      <c r="R913" s="118"/>
      <c r="S913" s="118"/>
      <c r="T913" s="118"/>
      <c r="U913" s="118"/>
      <c r="V913" s="118"/>
      <c r="W913" s="118"/>
      <c r="X913" s="118"/>
      <c r="Y913" s="118"/>
      <c r="Z913" s="118"/>
      <c r="AA913" s="118"/>
      <c r="AB913" s="118"/>
      <c r="AC913" s="119"/>
      <c r="AD913" s="119"/>
      <c r="AE913" s="118"/>
      <c r="AF913" s="152"/>
    </row>
    <row r="914" spans="1:32" x14ac:dyDescent="0.2">
      <c r="A914" s="121">
        <v>140</v>
      </c>
      <c r="B914" s="122" t="s">
        <v>1204</v>
      </c>
      <c r="C914" s="123" t="s">
        <v>429</v>
      </c>
      <c r="D914" s="123" t="s">
        <v>17</v>
      </c>
      <c r="E914" s="123" t="s">
        <v>2474</v>
      </c>
      <c r="F914" s="124" t="s">
        <v>2475</v>
      </c>
      <c r="G914" s="124" t="s">
        <v>1212</v>
      </c>
      <c r="H914" s="124" t="s">
        <v>2449</v>
      </c>
      <c r="I914" s="123">
        <v>20.566953000000002</v>
      </c>
      <c r="J914" s="123">
        <v>-101.200051</v>
      </c>
      <c r="K914" s="122"/>
      <c r="L914" s="125" t="str">
        <f t="shared" si="44"/>
        <v>Ver en Google Maps</v>
      </c>
      <c r="M914" s="125">
        <v>1</v>
      </c>
      <c r="N914" s="130"/>
      <c r="O914" s="109"/>
      <c r="P914" s="109"/>
      <c r="Q914" s="109"/>
      <c r="R914" s="109"/>
      <c r="S914" s="109"/>
      <c r="T914" s="109"/>
      <c r="U914" s="109"/>
      <c r="V914" s="109"/>
      <c r="W914" s="109"/>
      <c r="X914" s="109"/>
      <c r="Y914" s="109"/>
      <c r="Z914" s="109"/>
      <c r="AA914" s="109"/>
      <c r="AB914" s="109"/>
      <c r="AC914" s="110"/>
      <c r="AD914" s="110"/>
      <c r="AE914" s="109"/>
      <c r="AF914" s="151"/>
    </row>
    <row r="915" spans="1:32" x14ac:dyDescent="0.2">
      <c r="A915" s="112">
        <v>154</v>
      </c>
      <c r="B915" s="113" t="s">
        <v>1204</v>
      </c>
      <c r="C915" s="114" t="s">
        <v>429</v>
      </c>
      <c r="D915" s="114" t="s">
        <v>17</v>
      </c>
      <c r="E915" s="114" t="s">
        <v>2476</v>
      </c>
      <c r="F915" s="115" t="s">
        <v>2477</v>
      </c>
      <c r="G915" s="115" t="s">
        <v>2642</v>
      </c>
      <c r="H915" s="115" t="s">
        <v>2449</v>
      </c>
      <c r="I915" s="114">
        <v>20.578088000000001</v>
      </c>
      <c r="J915" s="114">
        <v>-101.20366</v>
      </c>
      <c r="K915" s="113"/>
      <c r="L915" s="116" t="str">
        <f t="shared" si="44"/>
        <v>Ver en Google Maps</v>
      </c>
      <c r="M915" s="116">
        <v>1</v>
      </c>
      <c r="N915" s="129"/>
      <c r="O915" s="118"/>
      <c r="P915" s="118"/>
      <c r="Q915" s="118"/>
      <c r="R915" s="118"/>
      <c r="S915" s="118"/>
      <c r="T915" s="118"/>
      <c r="U915" s="118"/>
      <c r="V915" s="118"/>
      <c r="W915" s="118"/>
      <c r="X915" s="118"/>
      <c r="Y915" s="118"/>
      <c r="Z915" s="118"/>
      <c r="AA915" s="118"/>
      <c r="AB915" s="118"/>
      <c r="AC915" s="119"/>
      <c r="AD915" s="119"/>
      <c r="AE915" s="118"/>
      <c r="AF915" s="152"/>
    </row>
    <row r="916" spans="1:32" x14ac:dyDescent="0.2">
      <c r="A916" s="121">
        <v>168</v>
      </c>
      <c r="B916" s="122" t="s">
        <v>1204</v>
      </c>
      <c r="C916" s="123" t="s">
        <v>429</v>
      </c>
      <c r="D916" s="123" t="s">
        <v>17</v>
      </c>
      <c r="E916" s="123" t="s">
        <v>2478</v>
      </c>
      <c r="F916" s="124" t="s">
        <v>2479</v>
      </c>
      <c r="G916" s="124" t="s">
        <v>2643</v>
      </c>
      <c r="H916" s="124" t="s">
        <v>2449</v>
      </c>
      <c r="I916" s="123">
        <v>20.582262</v>
      </c>
      <c r="J916" s="123">
        <v>-101.20609399999999</v>
      </c>
      <c r="K916" s="122"/>
      <c r="L916" s="125" t="str">
        <f t="shared" si="44"/>
        <v>Ver en Google Maps</v>
      </c>
      <c r="M916" s="125">
        <v>1</v>
      </c>
      <c r="N916" s="130"/>
      <c r="O916" s="109"/>
      <c r="P916" s="109"/>
      <c r="Q916" s="109"/>
      <c r="R916" s="109"/>
      <c r="S916" s="109"/>
      <c r="T916" s="109"/>
      <c r="U916" s="109"/>
      <c r="V916" s="109"/>
      <c r="W916" s="109"/>
      <c r="X916" s="109"/>
      <c r="Y916" s="109"/>
      <c r="Z916" s="109"/>
      <c r="AA916" s="109"/>
      <c r="AB916" s="109"/>
      <c r="AC916" s="110"/>
      <c r="AD916" s="110"/>
      <c r="AE916" s="109"/>
      <c r="AF916" s="151"/>
    </row>
    <row r="917" spans="1:32" x14ac:dyDescent="0.2">
      <c r="A917" s="112">
        <v>169</v>
      </c>
      <c r="B917" s="113" t="s">
        <v>1204</v>
      </c>
      <c r="C917" s="114" t="s">
        <v>429</v>
      </c>
      <c r="D917" s="114" t="s">
        <v>17</v>
      </c>
      <c r="E917" s="114" t="s">
        <v>2480</v>
      </c>
      <c r="F917" s="115" t="s">
        <v>2481</v>
      </c>
      <c r="G917" s="115" t="s">
        <v>2644</v>
      </c>
      <c r="H917" s="115" t="s">
        <v>2449</v>
      </c>
      <c r="I917" s="114">
        <v>20.569579999999998</v>
      </c>
      <c r="J917" s="114">
        <v>-101.1879</v>
      </c>
      <c r="K917" s="113" t="s">
        <v>139</v>
      </c>
      <c r="L917" s="116" t="str">
        <f t="shared" si="44"/>
        <v>Ver en Google Maps</v>
      </c>
      <c r="M917" s="116">
        <v>1</v>
      </c>
      <c r="N917" s="117">
        <v>45941</v>
      </c>
      <c r="O917" s="118">
        <f>DAY('BD1'!$N917)</f>
        <v>11</v>
      </c>
      <c r="P917" s="118">
        <f>MONTH('BD1'!$N917)</f>
        <v>10</v>
      </c>
      <c r="Q917" s="118">
        <f>YEAR('BD1'!$N917)</f>
        <v>2025</v>
      </c>
      <c r="R917" s="118">
        <v>1</v>
      </c>
      <c r="S917" s="118" t="s">
        <v>934</v>
      </c>
      <c r="T917" s="118" t="s">
        <v>934</v>
      </c>
      <c r="U917" s="118" t="s">
        <v>934</v>
      </c>
      <c r="V917" s="118" t="s">
        <v>934</v>
      </c>
      <c r="W917" s="118" t="s">
        <v>934</v>
      </c>
      <c r="X917" s="118" t="s">
        <v>934</v>
      </c>
      <c r="Y917" s="118" t="s">
        <v>934</v>
      </c>
      <c r="Z917" s="118" t="s">
        <v>934</v>
      </c>
      <c r="AA917" s="118">
        <v>0</v>
      </c>
      <c r="AB917" s="118">
        <v>0</v>
      </c>
      <c r="AC917" s="119" t="s">
        <v>3020</v>
      </c>
      <c r="AD917" s="119" t="s">
        <v>957</v>
      </c>
      <c r="AE917" s="118">
        <f t="shared" si="42"/>
        <v>0</v>
      </c>
      <c r="AF917" s="152" t="str">
        <f t="shared" si="43"/>
        <v>Crítico</v>
      </c>
    </row>
    <row r="918" spans="1:32" x14ac:dyDescent="0.2">
      <c r="A918" s="121">
        <v>170</v>
      </c>
      <c r="B918" s="122" t="s">
        <v>1204</v>
      </c>
      <c r="C918" s="123" t="s">
        <v>429</v>
      </c>
      <c r="D918" s="123" t="s">
        <v>17</v>
      </c>
      <c r="E918" s="123" t="s">
        <v>2482</v>
      </c>
      <c r="F918" s="124" t="s">
        <v>2483</v>
      </c>
      <c r="G918" s="124" t="s">
        <v>2645</v>
      </c>
      <c r="H918" s="124" t="s">
        <v>2449</v>
      </c>
      <c r="I918" s="123">
        <v>20.552579999999999</v>
      </c>
      <c r="J918" s="123">
        <v>-101.19943000000001</v>
      </c>
      <c r="K918" s="122"/>
      <c r="L918" s="125" t="str">
        <f t="shared" si="44"/>
        <v>Ver en Google Maps</v>
      </c>
      <c r="M918" s="125">
        <v>1</v>
      </c>
      <c r="N918" s="130"/>
      <c r="O918" s="109"/>
      <c r="P918" s="109"/>
      <c r="Q918" s="109"/>
      <c r="R918" s="109"/>
      <c r="S918" s="109"/>
      <c r="T918" s="109"/>
      <c r="U918" s="109"/>
      <c r="V918" s="109"/>
      <c r="W918" s="109"/>
      <c r="X918" s="109"/>
      <c r="Y918" s="109"/>
      <c r="Z918" s="109"/>
      <c r="AA918" s="109"/>
      <c r="AB918" s="109"/>
      <c r="AC918" s="110"/>
      <c r="AD918" s="110"/>
      <c r="AE918" s="109"/>
      <c r="AF918" s="151"/>
    </row>
    <row r="919" spans="1:32" x14ac:dyDescent="0.2">
      <c r="A919" s="112">
        <v>171</v>
      </c>
      <c r="B919" s="113" t="s">
        <v>1204</v>
      </c>
      <c r="C919" s="114" t="s">
        <v>429</v>
      </c>
      <c r="D919" s="114" t="s">
        <v>17</v>
      </c>
      <c r="E919" s="114" t="s">
        <v>2484</v>
      </c>
      <c r="F919" s="115" t="s">
        <v>2485</v>
      </c>
      <c r="G919" s="115" t="s">
        <v>2646</v>
      </c>
      <c r="H919" s="115" t="s">
        <v>2449</v>
      </c>
      <c r="I919" s="114">
        <v>20.539957999999999</v>
      </c>
      <c r="J919" s="114">
        <v>-101.207488</v>
      </c>
      <c r="K919" s="113"/>
      <c r="L919" s="116" t="str">
        <f t="shared" si="44"/>
        <v>Ver en Google Maps</v>
      </c>
      <c r="M919" s="116">
        <v>1</v>
      </c>
      <c r="N919" s="129"/>
      <c r="O919" s="118"/>
      <c r="P919" s="118"/>
      <c r="Q919" s="118"/>
      <c r="R919" s="118"/>
      <c r="S919" s="118"/>
      <c r="T919" s="118"/>
      <c r="U919" s="118"/>
      <c r="V919" s="118"/>
      <c r="W919" s="118"/>
      <c r="X919" s="118"/>
      <c r="Y919" s="118"/>
      <c r="Z919" s="118"/>
      <c r="AA919" s="118"/>
      <c r="AB919" s="118"/>
      <c r="AC919" s="119"/>
      <c r="AD919" s="119"/>
      <c r="AE919" s="118"/>
      <c r="AF919" s="152"/>
    </row>
    <row r="920" spans="1:32" x14ac:dyDescent="0.2">
      <c r="A920" s="121">
        <v>172</v>
      </c>
      <c r="B920" s="122" t="s">
        <v>1204</v>
      </c>
      <c r="C920" s="123" t="s">
        <v>429</v>
      </c>
      <c r="D920" s="123" t="s">
        <v>17</v>
      </c>
      <c r="E920" s="123" t="s">
        <v>2486</v>
      </c>
      <c r="F920" s="124" t="s">
        <v>2487</v>
      </c>
      <c r="G920" s="124" t="s">
        <v>2647</v>
      </c>
      <c r="H920" s="124" t="s">
        <v>2449</v>
      </c>
      <c r="I920" s="123">
        <v>20.562930000000001</v>
      </c>
      <c r="J920" s="123">
        <v>-101.19511799999999</v>
      </c>
      <c r="K920" s="122"/>
      <c r="L920" s="125" t="str">
        <f t="shared" si="44"/>
        <v>Ver en Google Maps</v>
      </c>
      <c r="M920" s="125">
        <v>1</v>
      </c>
      <c r="N920" s="130"/>
      <c r="O920" s="109"/>
      <c r="P920" s="109"/>
      <c r="Q920" s="109"/>
      <c r="R920" s="109"/>
      <c r="S920" s="109"/>
      <c r="T920" s="109"/>
      <c r="U920" s="109"/>
      <c r="V920" s="109"/>
      <c r="W920" s="109"/>
      <c r="X920" s="109"/>
      <c r="Y920" s="109"/>
      <c r="Z920" s="109"/>
      <c r="AA920" s="109"/>
      <c r="AB920" s="109"/>
      <c r="AC920" s="110"/>
      <c r="AD920" s="110"/>
      <c r="AE920" s="109"/>
      <c r="AF920" s="151"/>
    </row>
    <row r="921" spans="1:32" x14ac:dyDescent="0.2">
      <c r="A921" s="112">
        <v>173</v>
      </c>
      <c r="B921" s="113" t="s">
        <v>1204</v>
      </c>
      <c r="C921" s="114" t="s">
        <v>429</v>
      </c>
      <c r="D921" s="114" t="s">
        <v>17</v>
      </c>
      <c r="E921" s="114" t="s">
        <v>2488</v>
      </c>
      <c r="F921" s="115" t="s">
        <v>2489</v>
      </c>
      <c r="G921" s="115" t="s">
        <v>2648</v>
      </c>
      <c r="H921" s="115" t="s">
        <v>2449</v>
      </c>
      <c r="I921" s="114">
        <v>20.56653</v>
      </c>
      <c r="J921" s="114">
        <v>-101.18259999999999</v>
      </c>
      <c r="K921" s="113" t="s">
        <v>139</v>
      </c>
      <c r="L921" s="116" t="str">
        <f t="shared" si="44"/>
        <v>Ver en Google Maps</v>
      </c>
      <c r="M921" s="116">
        <v>1</v>
      </c>
      <c r="N921" s="117">
        <v>45941</v>
      </c>
      <c r="O921" s="118">
        <f>DAY('BD1'!$N921)</f>
        <v>11</v>
      </c>
      <c r="P921" s="118">
        <f>MONTH('BD1'!$N921)</f>
        <v>10</v>
      </c>
      <c r="Q921" s="118">
        <f>YEAR('BD1'!$N921)</f>
        <v>2025</v>
      </c>
      <c r="R921" s="118">
        <v>1</v>
      </c>
      <c r="S921" s="118" t="s">
        <v>138</v>
      </c>
      <c r="T921" s="118" t="s">
        <v>138</v>
      </c>
      <c r="U921" s="118" t="s">
        <v>138</v>
      </c>
      <c r="V921" s="118" t="s">
        <v>138</v>
      </c>
      <c r="W921" s="118" t="s">
        <v>138</v>
      </c>
      <c r="X921" s="118" t="s">
        <v>138</v>
      </c>
      <c r="Y921" s="118" t="s">
        <v>138</v>
      </c>
      <c r="Z921" s="118" t="s">
        <v>138</v>
      </c>
      <c r="AA921" s="118">
        <v>128</v>
      </c>
      <c r="AB921" s="118">
        <v>56.3</v>
      </c>
      <c r="AC921" s="119" t="s">
        <v>967</v>
      </c>
      <c r="AD921" s="119" t="s">
        <v>957</v>
      </c>
      <c r="AE921" s="118">
        <f t="shared" si="42"/>
        <v>8</v>
      </c>
      <c r="AF921" s="152" t="str">
        <f t="shared" si="43"/>
        <v>Estable</v>
      </c>
    </row>
    <row r="922" spans="1:32" x14ac:dyDescent="0.2">
      <c r="A922" s="121">
        <v>178</v>
      </c>
      <c r="B922" s="122" t="s">
        <v>1204</v>
      </c>
      <c r="C922" s="123" t="s">
        <v>429</v>
      </c>
      <c r="D922" s="123" t="s">
        <v>17</v>
      </c>
      <c r="E922" s="123" t="s">
        <v>2490</v>
      </c>
      <c r="F922" s="124" t="s">
        <v>2491</v>
      </c>
      <c r="G922" s="124" t="s">
        <v>2649</v>
      </c>
      <c r="H922" s="124" t="s">
        <v>2449</v>
      </c>
      <c r="I922" s="123">
        <v>20.554666000000001</v>
      </c>
      <c r="J922" s="123">
        <v>-101.181972</v>
      </c>
      <c r="K922" s="122"/>
      <c r="L922" s="125" t="str">
        <f t="shared" si="44"/>
        <v>Ver en Google Maps</v>
      </c>
      <c r="M922" s="125">
        <v>1</v>
      </c>
      <c r="N922" s="130"/>
      <c r="O922" s="109"/>
      <c r="P922" s="109"/>
      <c r="Q922" s="109"/>
      <c r="R922" s="109"/>
      <c r="S922" s="109"/>
      <c r="T922" s="109"/>
      <c r="U922" s="109"/>
      <c r="V922" s="109"/>
      <c r="W922" s="109"/>
      <c r="X922" s="109"/>
      <c r="Y922" s="109"/>
      <c r="Z922" s="109"/>
      <c r="AA922" s="109"/>
      <c r="AB922" s="109"/>
      <c r="AC922" s="110"/>
      <c r="AD922" s="110"/>
      <c r="AE922" s="109"/>
      <c r="AF922" s="151"/>
    </row>
    <row r="923" spans="1:32" x14ac:dyDescent="0.2">
      <c r="A923" s="112">
        <v>218</v>
      </c>
      <c r="B923" s="113" t="s">
        <v>1204</v>
      </c>
      <c r="C923" s="114" t="s">
        <v>429</v>
      </c>
      <c r="D923" s="114" t="s">
        <v>17</v>
      </c>
      <c r="E923" s="114" t="s">
        <v>2492</v>
      </c>
      <c r="F923" s="115" t="s">
        <v>2493</v>
      </c>
      <c r="G923" s="115" t="s">
        <v>2650</v>
      </c>
      <c r="H923" s="115" t="s">
        <v>2449</v>
      </c>
      <c r="I923" s="114">
        <v>20.567447000000001</v>
      </c>
      <c r="J923" s="114">
        <v>-101.21789200000001</v>
      </c>
      <c r="K923" s="113"/>
      <c r="L923" s="116" t="str">
        <f t="shared" si="44"/>
        <v>Ver en Google Maps</v>
      </c>
      <c r="M923" s="116">
        <v>1</v>
      </c>
      <c r="N923" s="129"/>
      <c r="O923" s="118"/>
      <c r="P923" s="118"/>
      <c r="Q923" s="118"/>
      <c r="R923" s="118"/>
      <c r="S923" s="118"/>
      <c r="T923" s="118"/>
      <c r="U923" s="118"/>
      <c r="V923" s="118"/>
      <c r="W923" s="118"/>
      <c r="X923" s="118"/>
      <c r="Y923" s="118"/>
      <c r="Z923" s="118"/>
      <c r="AA923" s="118"/>
      <c r="AB923" s="118"/>
      <c r="AC923" s="119"/>
      <c r="AD923" s="119"/>
      <c r="AE923" s="118"/>
      <c r="AF923" s="152"/>
    </row>
    <row r="924" spans="1:32" x14ac:dyDescent="0.2">
      <c r="A924" s="121">
        <v>232</v>
      </c>
      <c r="B924" s="122" t="s">
        <v>1204</v>
      </c>
      <c r="C924" s="123" t="s">
        <v>429</v>
      </c>
      <c r="D924" s="123" t="s">
        <v>17</v>
      </c>
      <c r="E924" s="123" t="s">
        <v>2494</v>
      </c>
      <c r="F924" s="124" t="s">
        <v>2495</v>
      </c>
      <c r="G924" s="124" t="s">
        <v>2651</v>
      </c>
      <c r="H924" s="124" t="s">
        <v>2449</v>
      </c>
      <c r="I924" s="123">
        <v>20.553643999999998</v>
      </c>
      <c r="J924" s="123">
        <v>-101.228267</v>
      </c>
      <c r="K924" s="122"/>
      <c r="L924" s="125" t="str">
        <f t="shared" si="44"/>
        <v>Ver en Google Maps</v>
      </c>
      <c r="M924" s="125">
        <v>1</v>
      </c>
      <c r="N924" s="130"/>
      <c r="O924" s="109"/>
      <c r="P924" s="109"/>
      <c r="Q924" s="109"/>
      <c r="R924" s="109"/>
      <c r="S924" s="109"/>
      <c r="T924" s="109"/>
      <c r="U924" s="109"/>
      <c r="V924" s="109"/>
      <c r="W924" s="109"/>
      <c r="X924" s="109"/>
      <c r="Y924" s="109"/>
      <c r="Z924" s="109"/>
      <c r="AA924" s="109"/>
      <c r="AB924" s="109"/>
      <c r="AC924" s="110"/>
      <c r="AD924" s="110"/>
      <c r="AE924" s="109"/>
      <c r="AF924" s="151"/>
    </row>
    <row r="925" spans="1:32" x14ac:dyDescent="0.2">
      <c r="A925" s="112">
        <v>236</v>
      </c>
      <c r="B925" s="113" t="s">
        <v>1204</v>
      </c>
      <c r="C925" s="114" t="s">
        <v>429</v>
      </c>
      <c r="D925" s="114" t="s">
        <v>17</v>
      </c>
      <c r="E925" s="114" t="s">
        <v>2496</v>
      </c>
      <c r="F925" s="115" t="s">
        <v>2497</v>
      </c>
      <c r="G925" s="115" t="s">
        <v>2652</v>
      </c>
      <c r="H925" s="115" t="s">
        <v>2449</v>
      </c>
      <c r="I925" s="114">
        <v>20.55903</v>
      </c>
      <c r="J925" s="114">
        <v>-101.16477999999999</v>
      </c>
      <c r="K925" s="113" t="s">
        <v>139</v>
      </c>
      <c r="L925" s="116" t="str">
        <f t="shared" si="44"/>
        <v>Ver en Google Maps</v>
      </c>
      <c r="M925" s="116">
        <v>1</v>
      </c>
      <c r="N925" s="117">
        <v>45941</v>
      </c>
      <c r="O925" s="118">
        <f>DAY('BD1'!$N925)</f>
        <v>11</v>
      </c>
      <c r="P925" s="118">
        <f>MONTH('BD1'!$N925)</f>
        <v>10</v>
      </c>
      <c r="Q925" s="118">
        <f>YEAR('BD1'!$N925)</f>
        <v>2025</v>
      </c>
      <c r="R925" s="118">
        <v>1</v>
      </c>
      <c r="S925" s="118" t="s">
        <v>138</v>
      </c>
      <c r="T925" s="118" t="s">
        <v>138</v>
      </c>
      <c r="U925" s="118" t="s">
        <v>138</v>
      </c>
      <c r="V925" s="118" t="s">
        <v>138</v>
      </c>
      <c r="W925" s="118" t="s">
        <v>138</v>
      </c>
      <c r="X925" s="118" t="s">
        <v>138</v>
      </c>
      <c r="Y925" s="118" t="s">
        <v>138</v>
      </c>
      <c r="Z925" s="118" t="s">
        <v>138</v>
      </c>
      <c r="AA925" s="118">
        <v>60</v>
      </c>
      <c r="AB925" s="118">
        <v>41.2</v>
      </c>
      <c r="AC925" s="119" t="s">
        <v>967</v>
      </c>
      <c r="AD925" s="119" t="s">
        <v>957</v>
      </c>
      <c r="AE925" s="118">
        <f t="shared" si="42"/>
        <v>8</v>
      </c>
      <c r="AF925" s="152" t="str">
        <f t="shared" si="43"/>
        <v>Estable</v>
      </c>
    </row>
    <row r="926" spans="1:32" x14ac:dyDescent="0.2">
      <c r="A926" s="121">
        <v>243</v>
      </c>
      <c r="B926" s="122" t="s">
        <v>1204</v>
      </c>
      <c r="C926" s="123" t="s">
        <v>429</v>
      </c>
      <c r="D926" s="123" t="s">
        <v>17</v>
      </c>
      <c r="E926" s="123" t="s">
        <v>2498</v>
      </c>
      <c r="F926" s="124" t="s">
        <v>2499</v>
      </c>
      <c r="G926" s="124" t="s">
        <v>2653</v>
      </c>
      <c r="H926" s="124" t="s">
        <v>2449</v>
      </c>
      <c r="I926" s="123">
        <v>20.568556999999998</v>
      </c>
      <c r="J926" s="123">
        <v>-101.22153900000001</v>
      </c>
      <c r="K926" s="122"/>
      <c r="L926" s="125" t="str">
        <f t="shared" si="44"/>
        <v>Ver en Google Maps</v>
      </c>
      <c r="M926" s="125">
        <v>1</v>
      </c>
      <c r="N926" s="130"/>
      <c r="O926" s="109"/>
      <c r="P926" s="109"/>
      <c r="Q926" s="109"/>
      <c r="R926" s="109"/>
      <c r="S926" s="109"/>
      <c r="T926" s="109"/>
      <c r="U926" s="109"/>
      <c r="V926" s="109"/>
      <c r="W926" s="109"/>
      <c r="X926" s="109"/>
      <c r="Y926" s="109"/>
      <c r="Z926" s="109"/>
      <c r="AA926" s="109"/>
      <c r="AB926" s="109"/>
      <c r="AC926" s="110"/>
      <c r="AD926" s="110"/>
      <c r="AE926" s="109"/>
      <c r="AF926" s="151"/>
    </row>
    <row r="927" spans="1:32" x14ac:dyDescent="0.2">
      <c r="A927" s="112">
        <v>255</v>
      </c>
      <c r="B927" s="113" t="s">
        <v>1204</v>
      </c>
      <c r="C927" s="114" t="s">
        <v>429</v>
      </c>
      <c r="D927" s="114" t="s">
        <v>17</v>
      </c>
      <c r="E927" s="114" t="s">
        <v>2500</v>
      </c>
      <c r="F927" s="115" t="s">
        <v>2501</v>
      </c>
      <c r="G927" s="115" t="s">
        <v>2654</v>
      </c>
      <c r="H927" s="115" t="s">
        <v>2449</v>
      </c>
      <c r="I927" s="114">
        <v>20.51717</v>
      </c>
      <c r="J927" s="114">
        <v>-101.20253</v>
      </c>
      <c r="K927" s="113"/>
      <c r="L927" s="116" t="str">
        <f t="shared" si="44"/>
        <v>Ver en Google Maps</v>
      </c>
      <c r="M927" s="116">
        <v>1</v>
      </c>
      <c r="N927" s="129"/>
      <c r="O927" s="118"/>
      <c r="P927" s="118"/>
      <c r="Q927" s="118"/>
      <c r="R927" s="118"/>
      <c r="S927" s="118"/>
      <c r="T927" s="118"/>
      <c r="U927" s="118"/>
      <c r="V927" s="118"/>
      <c r="W927" s="118"/>
      <c r="X927" s="118"/>
      <c r="Y927" s="118"/>
      <c r="Z927" s="118"/>
      <c r="AA927" s="118"/>
      <c r="AB927" s="118"/>
      <c r="AC927" s="119"/>
      <c r="AD927" s="119"/>
      <c r="AE927" s="118"/>
      <c r="AF927" s="152"/>
    </row>
    <row r="928" spans="1:32" x14ac:dyDescent="0.2">
      <c r="A928" s="121">
        <v>258</v>
      </c>
      <c r="B928" s="122" t="s">
        <v>1204</v>
      </c>
      <c r="C928" s="123" t="s">
        <v>429</v>
      </c>
      <c r="D928" s="123" t="s">
        <v>17</v>
      </c>
      <c r="E928" s="123" t="s">
        <v>2502</v>
      </c>
      <c r="F928" s="124" t="s">
        <v>2503</v>
      </c>
      <c r="G928" s="124" t="s">
        <v>2655</v>
      </c>
      <c r="H928" s="124" t="s">
        <v>2449</v>
      </c>
      <c r="I928" s="123">
        <v>20.548397000000001</v>
      </c>
      <c r="J928" s="123">
        <v>-101.205664</v>
      </c>
      <c r="K928" s="122"/>
      <c r="L928" s="125" t="str">
        <f t="shared" si="44"/>
        <v>Ver en Google Maps</v>
      </c>
      <c r="M928" s="125">
        <v>1</v>
      </c>
      <c r="N928" s="130"/>
      <c r="O928" s="109"/>
      <c r="P928" s="109"/>
      <c r="Q928" s="109"/>
      <c r="R928" s="109"/>
      <c r="S928" s="109"/>
      <c r="T928" s="109"/>
      <c r="U928" s="109"/>
      <c r="V928" s="109"/>
      <c r="W928" s="109"/>
      <c r="X928" s="109"/>
      <c r="Y928" s="109"/>
      <c r="Z928" s="109"/>
      <c r="AA928" s="109"/>
      <c r="AB928" s="109"/>
      <c r="AC928" s="110"/>
      <c r="AD928" s="110"/>
      <c r="AE928" s="109"/>
      <c r="AF928" s="151"/>
    </row>
    <row r="929" spans="1:32" x14ac:dyDescent="0.2">
      <c r="A929" s="112">
        <v>261</v>
      </c>
      <c r="B929" s="113" t="s">
        <v>1204</v>
      </c>
      <c r="C929" s="114" t="s">
        <v>429</v>
      </c>
      <c r="D929" s="114" t="s">
        <v>17</v>
      </c>
      <c r="E929" s="114" t="s">
        <v>2504</v>
      </c>
      <c r="F929" s="115" t="s">
        <v>2505</v>
      </c>
      <c r="G929" s="115" t="s">
        <v>2656</v>
      </c>
      <c r="H929" s="115" t="s">
        <v>2449</v>
      </c>
      <c r="I929" s="114">
        <v>20.54515</v>
      </c>
      <c r="J929" s="114">
        <v>-101.19359</v>
      </c>
      <c r="K929" s="113"/>
      <c r="L929" s="116" t="str">
        <f t="shared" si="44"/>
        <v>Ver en Google Maps</v>
      </c>
      <c r="M929" s="116">
        <v>1</v>
      </c>
      <c r="N929" s="129"/>
      <c r="O929" s="118"/>
      <c r="P929" s="118"/>
      <c r="Q929" s="118"/>
      <c r="R929" s="118"/>
      <c r="S929" s="118"/>
      <c r="T929" s="118"/>
      <c r="U929" s="118"/>
      <c r="V929" s="118"/>
      <c r="W929" s="118"/>
      <c r="X929" s="118"/>
      <c r="Y929" s="118"/>
      <c r="Z929" s="118"/>
      <c r="AA929" s="118"/>
      <c r="AB929" s="118"/>
      <c r="AC929" s="119"/>
      <c r="AD929" s="119"/>
      <c r="AE929" s="118"/>
      <c r="AF929" s="152"/>
    </row>
    <row r="930" spans="1:32" x14ac:dyDescent="0.2">
      <c r="A930" s="121">
        <v>270</v>
      </c>
      <c r="B930" s="122" t="s">
        <v>1204</v>
      </c>
      <c r="C930" s="123" t="s">
        <v>429</v>
      </c>
      <c r="D930" s="123" t="s">
        <v>17</v>
      </c>
      <c r="E930" s="123" t="s">
        <v>2506</v>
      </c>
      <c r="F930" s="124" t="s">
        <v>2507</v>
      </c>
      <c r="G930" s="124" t="s">
        <v>2657</v>
      </c>
      <c r="H930" s="124" t="s">
        <v>2449</v>
      </c>
      <c r="I930" s="123">
        <v>20.553830000000001</v>
      </c>
      <c r="J930" s="123">
        <v>-101.16846</v>
      </c>
      <c r="K930" s="122"/>
      <c r="L930" s="125" t="str">
        <f t="shared" si="44"/>
        <v>Ver en Google Maps</v>
      </c>
      <c r="M930" s="125">
        <v>1</v>
      </c>
      <c r="N930" s="130"/>
      <c r="O930" s="109"/>
      <c r="P930" s="109"/>
      <c r="Q930" s="109"/>
      <c r="R930" s="109"/>
      <c r="S930" s="109"/>
      <c r="T930" s="109"/>
      <c r="U930" s="109"/>
      <c r="V930" s="109"/>
      <c r="W930" s="109"/>
      <c r="X930" s="109"/>
      <c r="Y930" s="109"/>
      <c r="Z930" s="109"/>
      <c r="AA930" s="109"/>
      <c r="AB930" s="109"/>
      <c r="AC930" s="110"/>
      <c r="AD930" s="110"/>
      <c r="AE930" s="109"/>
      <c r="AF930" s="151"/>
    </row>
    <row r="931" spans="1:32" x14ac:dyDescent="0.2">
      <c r="A931" s="112">
        <v>276</v>
      </c>
      <c r="B931" s="113" t="s">
        <v>1204</v>
      </c>
      <c r="C931" s="114" t="s">
        <v>429</v>
      </c>
      <c r="D931" s="114" t="s">
        <v>17</v>
      </c>
      <c r="E931" s="114" t="s">
        <v>2508</v>
      </c>
      <c r="F931" s="115" t="s">
        <v>2509</v>
      </c>
      <c r="G931" s="115" t="s">
        <v>2658</v>
      </c>
      <c r="H931" s="115" t="s">
        <v>2449</v>
      </c>
      <c r="I931" s="114">
        <v>20.56653</v>
      </c>
      <c r="J931" s="114">
        <v>-101.20569999999999</v>
      </c>
      <c r="K931" s="113"/>
      <c r="L931" s="116" t="str">
        <f t="shared" si="44"/>
        <v>Ver en Google Maps</v>
      </c>
      <c r="M931" s="116">
        <v>1</v>
      </c>
      <c r="N931" s="129"/>
      <c r="O931" s="118"/>
      <c r="P931" s="118"/>
      <c r="Q931" s="118"/>
      <c r="R931" s="118"/>
      <c r="S931" s="118"/>
      <c r="T931" s="118"/>
      <c r="U931" s="118"/>
      <c r="V931" s="118"/>
      <c r="W931" s="118"/>
      <c r="X931" s="118"/>
      <c r="Y931" s="118"/>
      <c r="Z931" s="118"/>
      <c r="AA931" s="118"/>
      <c r="AB931" s="118"/>
      <c r="AC931" s="119"/>
      <c r="AD931" s="119"/>
      <c r="AE931" s="118"/>
      <c r="AF931" s="152"/>
    </row>
    <row r="932" spans="1:32" x14ac:dyDescent="0.2">
      <c r="A932" s="121">
        <v>282</v>
      </c>
      <c r="B932" s="122" t="s">
        <v>1204</v>
      </c>
      <c r="C932" s="123" t="s">
        <v>429</v>
      </c>
      <c r="D932" s="123" t="s">
        <v>17</v>
      </c>
      <c r="E932" s="123" t="s">
        <v>2510</v>
      </c>
      <c r="F932" s="124" t="s">
        <v>2511</v>
      </c>
      <c r="G932" s="124" t="s">
        <v>2659</v>
      </c>
      <c r="H932" s="124" t="s">
        <v>2449</v>
      </c>
      <c r="I932" s="123">
        <v>20.547329999999999</v>
      </c>
      <c r="J932" s="123">
        <v>-101.22539</v>
      </c>
      <c r="K932" s="122"/>
      <c r="L932" s="125" t="str">
        <f t="shared" si="44"/>
        <v>Ver en Google Maps</v>
      </c>
      <c r="M932" s="125">
        <v>1</v>
      </c>
      <c r="N932" s="130"/>
      <c r="O932" s="109"/>
      <c r="P932" s="109"/>
      <c r="Q932" s="109"/>
      <c r="R932" s="109"/>
      <c r="S932" s="109"/>
      <c r="T932" s="109"/>
      <c r="U932" s="109"/>
      <c r="V932" s="109"/>
      <c r="W932" s="109"/>
      <c r="X932" s="109"/>
      <c r="Y932" s="109"/>
      <c r="Z932" s="109"/>
      <c r="AA932" s="109"/>
      <c r="AB932" s="109"/>
      <c r="AC932" s="110"/>
      <c r="AD932" s="110"/>
      <c r="AE932" s="109"/>
      <c r="AF932" s="151"/>
    </row>
    <row r="933" spans="1:32" x14ac:dyDescent="0.2">
      <c r="A933" s="112">
        <v>294</v>
      </c>
      <c r="B933" s="113" t="s">
        <v>1204</v>
      </c>
      <c r="C933" s="114" t="s">
        <v>350</v>
      </c>
      <c r="D933" s="114" t="s">
        <v>404</v>
      </c>
      <c r="E933" s="114" t="s">
        <v>2512</v>
      </c>
      <c r="F933" s="115" t="s">
        <v>2513</v>
      </c>
      <c r="G933" s="115" t="s">
        <v>1231</v>
      </c>
      <c r="H933" s="115" t="s">
        <v>2449</v>
      </c>
      <c r="I933" s="114">
        <v>20.570195999999999</v>
      </c>
      <c r="J933" s="114">
        <v>-101.198503</v>
      </c>
      <c r="K933" s="113"/>
      <c r="L933" s="116" t="str">
        <f t="shared" si="44"/>
        <v>Ver en Google Maps</v>
      </c>
      <c r="M933" s="116">
        <v>1</v>
      </c>
      <c r="N933" s="129"/>
      <c r="O933" s="118"/>
      <c r="P933" s="118"/>
      <c r="Q933" s="118"/>
      <c r="R933" s="118"/>
      <c r="S933" s="118"/>
      <c r="T933" s="118"/>
      <c r="U933" s="118"/>
      <c r="V933" s="118"/>
      <c r="W933" s="118"/>
      <c r="X933" s="118"/>
      <c r="Y933" s="118"/>
      <c r="Z933" s="118"/>
      <c r="AA933" s="118"/>
      <c r="AB933" s="118"/>
      <c r="AC933" s="119"/>
      <c r="AD933" s="119"/>
      <c r="AE933" s="118"/>
      <c r="AF933" s="152"/>
    </row>
    <row r="934" spans="1:32" x14ac:dyDescent="0.2">
      <c r="A934" s="121">
        <v>299</v>
      </c>
      <c r="B934" s="122" t="s">
        <v>1204</v>
      </c>
      <c r="C934" s="123" t="s">
        <v>429</v>
      </c>
      <c r="D934" s="123" t="s">
        <v>16</v>
      </c>
      <c r="E934" s="123" t="s">
        <v>2514</v>
      </c>
      <c r="F934" s="124" t="s">
        <v>2515</v>
      </c>
      <c r="G934" s="124" t="s">
        <v>2310</v>
      </c>
      <c r="H934" s="124" t="s">
        <v>2449</v>
      </c>
      <c r="I934" s="123">
        <v>20.571936000000001</v>
      </c>
      <c r="J934" s="123">
        <v>-101.212946</v>
      </c>
      <c r="K934" s="122"/>
      <c r="L934" s="125" t="str">
        <f t="shared" si="44"/>
        <v>Ver en Google Maps</v>
      </c>
      <c r="M934" s="125">
        <v>1</v>
      </c>
      <c r="N934" s="130"/>
      <c r="O934" s="109"/>
      <c r="P934" s="109"/>
      <c r="Q934" s="109"/>
      <c r="R934" s="109"/>
      <c r="S934" s="109"/>
      <c r="T934" s="109"/>
      <c r="U934" s="109"/>
      <c r="V934" s="109"/>
      <c r="W934" s="109"/>
      <c r="X934" s="109"/>
      <c r="Y934" s="109"/>
      <c r="Z934" s="109"/>
      <c r="AA934" s="109"/>
      <c r="AB934" s="109"/>
      <c r="AC934" s="110"/>
      <c r="AD934" s="110"/>
      <c r="AE934" s="109"/>
      <c r="AF934" s="151"/>
    </row>
    <row r="935" spans="1:32" x14ac:dyDescent="0.2">
      <c r="A935" s="112">
        <v>327</v>
      </c>
      <c r="B935" s="113" t="s">
        <v>1204</v>
      </c>
      <c r="C935" s="114" t="s">
        <v>429</v>
      </c>
      <c r="D935" s="114" t="s">
        <v>16</v>
      </c>
      <c r="E935" s="114" t="s">
        <v>2516</v>
      </c>
      <c r="F935" s="115" t="s">
        <v>2517</v>
      </c>
      <c r="G935" s="115" t="s">
        <v>2660</v>
      </c>
      <c r="H935" s="115" t="s">
        <v>2449</v>
      </c>
      <c r="I935" s="114">
        <v>20.560604999999999</v>
      </c>
      <c r="J935" s="114">
        <v>-101.209672</v>
      </c>
      <c r="K935" s="113"/>
      <c r="L935" s="116" t="str">
        <f t="shared" si="44"/>
        <v>Ver en Google Maps</v>
      </c>
      <c r="M935" s="116">
        <v>1</v>
      </c>
      <c r="N935" s="129"/>
      <c r="O935" s="118"/>
      <c r="P935" s="118"/>
      <c r="Q935" s="118"/>
      <c r="R935" s="118"/>
      <c r="S935" s="118"/>
      <c r="T935" s="118"/>
      <c r="U935" s="118"/>
      <c r="V935" s="118"/>
      <c r="W935" s="118"/>
      <c r="X935" s="118"/>
      <c r="Y935" s="118"/>
      <c r="Z935" s="118"/>
      <c r="AA935" s="118"/>
      <c r="AB935" s="118"/>
      <c r="AC935" s="119"/>
      <c r="AD935" s="119"/>
      <c r="AE935" s="118"/>
      <c r="AF935" s="152"/>
    </row>
    <row r="936" spans="1:32" x14ac:dyDescent="0.2">
      <c r="A936" s="121">
        <v>328</v>
      </c>
      <c r="B936" s="122" t="s">
        <v>1204</v>
      </c>
      <c r="C936" s="123" t="s">
        <v>429</v>
      </c>
      <c r="D936" s="123" t="s">
        <v>16</v>
      </c>
      <c r="E936" s="123" t="s">
        <v>2518</v>
      </c>
      <c r="F936" s="124" t="s">
        <v>2519</v>
      </c>
      <c r="G936" s="124" t="s">
        <v>2641</v>
      </c>
      <c r="H936" s="124" t="s">
        <v>2449</v>
      </c>
      <c r="I936" s="123">
        <v>20.579906000000001</v>
      </c>
      <c r="J936" s="123">
        <v>-101.19257399999999</v>
      </c>
      <c r="K936" s="122" t="s">
        <v>139</v>
      </c>
      <c r="L936" s="125" t="str">
        <f t="shared" si="44"/>
        <v>Ver en Google Maps</v>
      </c>
      <c r="M936" s="125">
        <v>2</v>
      </c>
      <c r="N936" s="108">
        <v>45941</v>
      </c>
      <c r="O936" s="109">
        <f>DAY('BD1'!$N936)</f>
        <v>11</v>
      </c>
      <c r="P936" s="109">
        <f>MONTH('BD1'!$N936)</f>
        <v>10</v>
      </c>
      <c r="Q936" s="109">
        <f>YEAR('BD1'!$N936)</f>
        <v>2025</v>
      </c>
      <c r="R936" s="109">
        <v>1</v>
      </c>
      <c r="S936" s="109" t="s">
        <v>138</v>
      </c>
      <c r="T936" s="109" t="s">
        <v>138</v>
      </c>
      <c r="U936" s="109" t="s">
        <v>138</v>
      </c>
      <c r="V936" s="109" t="s">
        <v>138</v>
      </c>
      <c r="W936" s="109" t="s">
        <v>138</v>
      </c>
      <c r="X936" s="109" t="s">
        <v>138</v>
      </c>
      <c r="Y936" s="109" t="s">
        <v>138</v>
      </c>
      <c r="Z936" s="109" t="s">
        <v>138</v>
      </c>
      <c r="AA936" s="109">
        <v>0.76</v>
      </c>
      <c r="AB936" s="109">
        <v>3.76</v>
      </c>
      <c r="AC936" s="110" t="s">
        <v>1412</v>
      </c>
      <c r="AD936" s="110" t="s">
        <v>957</v>
      </c>
      <c r="AE936" s="109">
        <f t="shared" si="42"/>
        <v>8</v>
      </c>
      <c r="AF936" s="151" t="str">
        <f t="shared" si="43"/>
        <v>Estable</v>
      </c>
    </row>
    <row r="937" spans="1:32" x14ac:dyDescent="0.2">
      <c r="A937" s="112">
        <v>330</v>
      </c>
      <c r="B937" s="113" t="s">
        <v>1204</v>
      </c>
      <c r="C937" s="114" t="s">
        <v>429</v>
      </c>
      <c r="D937" s="114" t="s">
        <v>16</v>
      </c>
      <c r="E937" s="114" t="s">
        <v>2520</v>
      </c>
      <c r="F937" s="115" t="s">
        <v>2521</v>
      </c>
      <c r="G937" s="115" t="s">
        <v>2640</v>
      </c>
      <c r="H937" s="115" t="s">
        <v>2449</v>
      </c>
      <c r="I937" s="114">
        <v>20.575977000000002</v>
      </c>
      <c r="J937" s="114">
        <v>-101.20453000000001</v>
      </c>
      <c r="K937" s="113"/>
      <c r="L937" s="116" t="str">
        <f t="shared" si="44"/>
        <v>Ver en Google Maps</v>
      </c>
      <c r="M937" s="116">
        <v>2</v>
      </c>
      <c r="N937" s="129"/>
      <c r="O937" s="118"/>
      <c r="P937" s="118"/>
      <c r="Q937" s="118"/>
      <c r="R937" s="118"/>
      <c r="S937" s="118"/>
      <c r="T937" s="118"/>
      <c r="U937" s="118"/>
      <c r="V937" s="118"/>
      <c r="W937" s="118"/>
      <c r="X937" s="118"/>
      <c r="Y937" s="118"/>
      <c r="Z937" s="118"/>
      <c r="AA937" s="118"/>
      <c r="AB937" s="118"/>
      <c r="AC937" s="119"/>
      <c r="AD937" s="119"/>
      <c r="AE937" s="118"/>
      <c r="AF937" s="152"/>
    </row>
    <row r="938" spans="1:32" x14ac:dyDescent="0.2">
      <c r="A938" s="121">
        <v>364</v>
      </c>
      <c r="B938" s="122" t="s">
        <v>1204</v>
      </c>
      <c r="C938" s="123" t="s">
        <v>429</v>
      </c>
      <c r="D938" s="123" t="s">
        <v>16</v>
      </c>
      <c r="E938" s="123" t="s">
        <v>2522</v>
      </c>
      <c r="F938" s="124" t="s">
        <v>2523</v>
      </c>
      <c r="G938" s="124" t="s">
        <v>2645</v>
      </c>
      <c r="H938" s="124" t="s">
        <v>2449</v>
      </c>
      <c r="I938" s="123">
        <v>20.553525</v>
      </c>
      <c r="J938" s="123">
        <v>-101.199313</v>
      </c>
      <c r="K938" s="122"/>
      <c r="L938" s="125" t="str">
        <f t="shared" si="44"/>
        <v>Ver en Google Maps</v>
      </c>
      <c r="M938" s="125">
        <v>1</v>
      </c>
      <c r="N938" s="130"/>
      <c r="O938" s="109"/>
      <c r="P938" s="109"/>
      <c r="Q938" s="109"/>
      <c r="R938" s="109"/>
      <c r="S938" s="109"/>
      <c r="T938" s="109"/>
      <c r="U938" s="109"/>
      <c r="V938" s="109"/>
      <c r="W938" s="109"/>
      <c r="X938" s="109"/>
      <c r="Y938" s="109"/>
      <c r="Z938" s="109"/>
      <c r="AA938" s="109"/>
      <c r="AB938" s="109"/>
      <c r="AC938" s="110"/>
      <c r="AD938" s="110"/>
      <c r="AE938" s="109"/>
      <c r="AF938" s="151"/>
    </row>
    <row r="939" spans="1:32" x14ac:dyDescent="0.2">
      <c r="A939" s="112">
        <v>395</v>
      </c>
      <c r="B939" s="113" t="s">
        <v>1204</v>
      </c>
      <c r="C939" s="114" t="s">
        <v>429</v>
      </c>
      <c r="D939" s="114" t="s">
        <v>16</v>
      </c>
      <c r="E939" s="114" t="s">
        <v>2524</v>
      </c>
      <c r="F939" s="115" t="s">
        <v>2525</v>
      </c>
      <c r="G939" s="115" t="s">
        <v>1785</v>
      </c>
      <c r="H939" s="115" t="s">
        <v>2449</v>
      </c>
      <c r="I939" s="114">
        <v>20.558962999999999</v>
      </c>
      <c r="J939" s="114">
        <v>-101.205202</v>
      </c>
      <c r="K939" s="113"/>
      <c r="L939" s="116" t="str">
        <f t="shared" si="44"/>
        <v>Ver en Google Maps</v>
      </c>
      <c r="M939" s="116">
        <v>2</v>
      </c>
      <c r="N939" s="129"/>
      <c r="O939" s="118"/>
      <c r="P939" s="118"/>
      <c r="Q939" s="118"/>
      <c r="R939" s="118"/>
      <c r="S939" s="118"/>
      <c r="T939" s="118"/>
      <c r="U939" s="118"/>
      <c r="V939" s="118"/>
      <c r="W939" s="118"/>
      <c r="X939" s="118"/>
      <c r="Y939" s="118"/>
      <c r="Z939" s="118"/>
      <c r="AA939" s="118"/>
      <c r="AB939" s="118"/>
      <c r="AC939" s="119"/>
      <c r="AD939" s="119"/>
      <c r="AE939" s="118"/>
      <c r="AF939" s="152"/>
    </row>
    <row r="940" spans="1:32" x14ac:dyDescent="0.2">
      <c r="A940" s="121">
        <v>421</v>
      </c>
      <c r="B940" s="122" t="s">
        <v>1204</v>
      </c>
      <c r="C940" s="123" t="s">
        <v>429</v>
      </c>
      <c r="D940" s="123" t="s">
        <v>16</v>
      </c>
      <c r="E940" s="123" t="s">
        <v>2526</v>
      </c>
      <c r="F940" s="124" t="s">
        <v>2527</v>
      </c>
      <c r="G940" s="124" t="s">
        <v>2661</v>
      </c>
      <c r="H940" s="124" t="s">
        <v>2449</v>
      </c>
      <c r="I940" s="123">
        <v>20.566459999999999</v>
      </c>
      <c r="J940" s="123">
        <v>-101.18326</v>
      </c>
      <c r="K940" s="122" t="s">
        <v>139</v>
      </c>
      <c r="L940" s="125" t="str">
        <f t="shared" si="44"/>
        <v>Ver en Google Maps</v>
      </c>
      <c r="M940" s="125">
        <v>1</v>
      </c>
      <c r="N940" s="108">
        <v>45941</v>
      </c>
      <c r="O940" s="109">
        <f>DAY('BD1'!$N940)</f>
        <v>11</v>
      </c>
      <c r="P940" s="109">
        <f>MONTH('BD1'!$N940)</f>
        <v>10</v>
      </c>
      <c r="Q940" s="109">
        <f>YEAR('BD1'!$N940)</f>
        <v>2025</v>
      </c>
      <c r="R940" s="109">
        <v>1</v>
      </c>
      <c r="S940" s="109" t="s">
        <v>138</v>
      </c>
      <c r="T940" s="109" t="s">
        <v>138</v>
      </c>
      <c r="U940" s="109" t="s">
        <v>138</v>
      </c>
      <c r="V940" s="109" t="s">
        <v>138</v>
      </c>
      <c r="W940" s="109" t="s">
        <v>138</v>
      </c>
      <c r="X940" s="109" t="s">
        <v>138</v>
      </c>
      <c r="Y940" s="109" t="s">
        <v>138</v>
      </c>
      <c r="Z940" s="109" t="s">
        <v>138</v>
      </c>
      <c r="AA940" s="109">
        <v>121</v>
      </c>
      <c r="AB940" s="109">
        <v>94.7</v>
      </c>
      <c r="AC940" s="110" t="s">
        <v>967</v>
      </c>
      <c r="AD940" s="110" t="s">
        <v>957</v>
      </c>
      <c r="AE940" s="109">
        <f t="shared" si="42"/>
        <v>8</v>
      </c>
      <c r="AF940" s="151" t="str">
        <f t="shared" si="43"/>
        <v>Estable</v>
      </c>
    </row>
    <row r="941" spans="1:32" x14ac:dyDescent="0.2">
      <c r="A941" s="112">
        <v>425</v>
      </c>
      <c r="B941" s="113" t="s">
        <v>1204</v>
      </c>
      <c r="C941" s="114" t="s">
        <v>429</v>
      </c>
      <c r="D941" s="114" t="s">
        <v>16</v>
      </c>
      <c r="E941" s="114" t="s">
        <v>2528</v>
      </c>
      <c r="F941" s="115" t="s">
        <v>2529</v>
      </c>
      <c r="G941" s="115" t="s">
        <v>1783</v>
      </c>
      <c r="H941" s="115" t="s">
        <v>2449</v>
      </c>
      <c r="I941" s="114">
        <v>20.558827000000001</v>
      </c>
      <c r="J941" s="114">
        <v>-101.208491</v>
      </c>
      <c r="K941" s="113"/>
      <c r="L941" s="116" t="str">
        <f t="shared" si="44"/>
        <v>Ver en Google Maps</v>
      </c>
      <c r="M941" s="116">
        <v>2</v>
      </c>
      <c r="N941" s="129"/>
      <c r="O941" s="118"/>
      <c r="P941" s="118"/>
      <c r="Q941" s="118"/>
      <c r="R941" s="118"/>
      <c r="S941" s="118"/>
      <c r="T941" s="118"/>
      <c r="U941" s="118"/>
      <c r="V941" s="118"/>
      <c r="W941" s="118"/>
      <c r="X941" s="118"/>
      <c r="Y941" s="118"/>
      <c r="Z941" s="118"/>
      <c r="AA941" s="118"/>
      <c r="AB941" s="118"/>
      <c r="AC941" s="119"/>
      <c r="AD941" s="119"/>
      <c r="AE941" s="118"/>
      <c r="AF941" s="152"/>
    </row>
    <row r="942" spans="1:32" x14ac:dyDescent="0.2">
      <c r="A942" s="121">
        <v>459</v>
      </c>
      <c r="B942" s="122" t="s">
        <v>1204</v>
      </c>
      <c r="C942" s="123" t="s">
        <v>429</v>
      </c>
      <c r="D942" s="123" t="s">
        <v>16</v>
      </c>
      <c r="E942" s="123" t="s">
        <v>2530</v>
      </c>
      <c r="F942" s="124" t="s">
        <v>2531</v>
      </c>
      <c r="G942" s="124" t="s">
        <v>2641</v>
      </c>
      <c r="H942" s="124" t="s">
        <v>2449</v>
      </c>
      <c r="I942" s="123">
        <v>20.578807000000001</v>
      </c>
      <c r="J942" s="123">
        <v>-101.192341</v>
      </c>
      <c r="K942" s="122" t="s">
        <v>139</v>
      </c>
      <c r="L942" s="125" t="str">
        <f t="shared" si="44"/>
        <v>Ver en Google Maps</v>
      </c>
      <c r="M942" s="125">
        <v>2</v>
      </c>
      <c r="N942" s="108">
        <v>45941</v>
      </c>
      <c r="O942" s="109">
        <f>DAY('BD1'!$N942)</f>
        <v>11</v>
      </c>
      <c r="P942" s="109">
        <f>MONTH('BD1'!$N942)</f>
        <v>10</v>
      </c>
      <c r="Q942" s="109">
        <f>YEAR('BD1'!$N942)</f>
        <v>2025</v>
      </c>
      <c r="R942" s="109">
        <v>1</v>
      </c>
      <c r="S942" s="109" t="s">
        <v>138</v>
      </c>
      <c r="T942" s="109" t="s">
        <v>138</v>
      </c>
      <c r="U942" s="109" t="s">
        <v>138</v>
      </c>
      <c r="V942" s="109" t="s">
        <v>138</v>
      </c>
      <c r="W942" s="109" t="s">
        <v>138</v>
      </c>
      <c r="X942" s="109" t="s">
        <v>138</v>
      </c>
      <c r="Y942" s="109" t="s">
        <v>138</v>
      </c>
      <c r="Z942" s="109" t="s">
        <v>934</v>
      </c>
      <c r="AA942" s="109">
        <v>11.4</v>
      </c>
      <c r="AB942" s="109">
        <v>25</v>
      </c>
      <c r="AC942" s="110" t="s">
        <v>967</v>
      </c>
      <c r="AD942" s="110" t="s">
        <v>957</v>
      </c>
      <c r="AE942" s="109">
        <f t="shared" si="42"/>
        <v>7</v>
      </c>
      <c r="AF942" s="151" t="str">
        <f t="shared" si="43"/>
        <v>Funcional con observaciones</v>
      </c>
    </row>
    <row r="943" spans="1:32" x14ac:dyDescent="0.2">
      <c r="A943" s="112">
        <v>461</v>
      </c>
      <c r="B943" s="113" t="s">
        <v>1204</v>
      </c>
      <c r="C943" s="114" t="s">
        <v>429</v>
      </c>
      <c r="D943" s="114" t="s">
        <v>16</v>
      </c>
      <c r="E943" s="114" t="s">
        <v>2532</v>
      </c>
      <c r="F943" s="115" t="s">
        <v>2533</v>
      </c>
      <c r="G943" s="115" t="s">
        <v>2653</v>
      </c>
      <c r="H943" s="115" t="s">
        <v>2449</v>
      </c>
      <c r="I943" s="114">
        <v>20.568760999999999</v>
      </c>
      <c r="J943" s="114">
        <v>-101.220896</v>
      </c>
      <c r="K943" s="113"/>
      <c r="L943" s="116" t="str">
        <f t="shared" si="44"/>
        <v>Ver en Google Maps</v>
      </c>
      <c r="M943" s="116">
        <v>1</v>
      </c>
      <c r="N943" s="129"/>
      <c r="O943" s="118"/>
      <c r="P943" s="118"/>
      <c r="Q943" s="118"/>
      <c r="R943" s="118"/>
      <c r="S943" s="118"/>
      <c r="T943" s="118"/>
      <c r="U943" s="118"/>
      <c r="V943" s="118"/>
      <c r="W943" s="118"/>
      <c r="X943" s="118"/>
      <c r="Y943" s="118"/>
      <c r="Z943" s="118"/>
      <c r="AA943" s="118"/>
      <c r="AB943" s="118"/>
      <c r="AC943" s="119"/>
      <c r="AD943" s="119"/>
      <c r="AE943" s="118"/>
      <c r="AF943" s="152"/>
    </row>
    <row r="944" spans="1:32" x14ac:dyDescent="0.2">
      <c r="A944" s="121">
        <v>463</v>
      </c>
      <c r="B944" s="122" t="s">
        <v>1204</v>
      </c>
      <c r="C944" s="123" t="s">
        <v>429</v>
      </c>
      <c r="D944" s="123" t="s">
        <v>16</v>
      </c>
      <c r="E944" s="123" t="s">
        <v>2534</v>
      </c>
      <c r="F944" s="124" t="s">
        <v>2535</v>
      </c>
      <c r="G944" s="124" t="s">
        <v>2650</v>
      </c>
      <c r="H944" s="124" t="s">
        <v>2449</v>
      </c>
      <c r="I944" s="123">
        <v>20.566873000000001</v>
      </c>
      <c r="J944" s="123">
        <v>-101.217889</v>
      </c>
      <c r="K944" s="122"/>
      <c r="L944" s="125" t="str">
        <f t="shared" si="44"/>
        <v>Ver en Google Maps</v>
      </c>
      <c r="M944" s="125">
        <v>1</v>
      </c>
      <c r="N944" s="130"/>
      <c r="O944" s="109"/>
      <c r="P944" s="109"/>
      <c r="Q944" s="109"/>
      <c r="R944" s="109"/>
      <c r="S944" s="109"/>
      <c r="T944" s="109"/>
      <c r="U944" s="109"/>
      <c r="V944" s="109"/>
      <c r="W944" s="109"/>
      <c r="X944" s="109"/>
      <c r="Y944" s="109"/>
      <c r="Z944" s="109"/>
      <c r="AA944" s="109"/>
      <c r="AB944" s="109"/>
      <c r="AC944" s="110"/>
      <c r="AD944" s="110"/>
      <c r="AE944" s="109"/>
      <c r="AF944" s="151"/>
    </row>
    <row r="945" spans="1:32" x14ac:dyDescent="0.2">
      <c r="A945" s="112">
        <v>464</v>
      </c>
      <c r="B945" s="113" t="s">
        <v>1204</v>
      </c>
      <c r="C945" s="114" t="s">
        <v>18</v>
      </c>
      <c r="D945" s="114" t="s">
        <v>404</v>
      </c>
      <c r="E945" s="114" t="s">
        <v>2536</v>
      </c>
      <c r="F945" s="115" t="s">
        <v>2537</v>
      </c>
      <c r="G945" s="115" t="s">
        <v>2662</v>
      </c>
      <c r="H945" s="115" t="s">
        <v>2449</v>
      </c>
      <c r="I945" s="114">
        <v>20.511140000000001</v>
      </c>
      <c r="J945" s="114">
        <v>-101.19574</v>
      </c>
      <c r="K945" s="113"/>
      <c r="L945" s="116" t="str">
        <f t="shared" si="44"/>
        <v>Ver en Google Maps</v>
      </c>
      <c r="M945" s="116">
        <v>1</v>
      </c>
      <c r="N945" s="129"/>
      <c r="O945" s="118"/>
      <c r="P945" s="118"/>
      <c r="Q945" s="118"/>
      <c r="R945" s="118"/>
      <c r="S945" s="118"/>
      <c r="T945" s="118"/>
      <c r="U945" s="118"/>
      <c r="V945" s="118"/>
      <c r="W945" s="118"/>
      <c r="X945" s="118"/>
      <c r="Y945" s="118"/>
      <c r="Z945" s="118"/>
      <c r="AA945" s="118"/>
      <c r="AB945" s="118"/>
      <c r="AC945" s="119"/>
      <c r="AD945" s="119"/>
      <c r="AE945" s="118"/>
      <c r="AF945" s="152"/>
    </row>
    <row r="946" spans="1:32" x14ac:dyDescent="0.2">
      <c r="A946" s="121">
        <v>473</v>
      </c>
      <c r="B946" s="122" t="s">
        <v>1204</v>
      </c>
      <c r="C946" s="123" t="s">
        <v>429</v>
      </c>
      <c r="D946" s="123" t="s">
        <v>16</v>
      </c>
      <c r="E946" s="123" t="s">
        <v>2538</v>
      </c>
      <c r="F946" s="124" t="s">
        <v>2539</v>
      </c>
      <c r="G946" s="124" t="s">
        <v>2652</v>
      </c>
      <c r="H946" s="124" t="s">
        <v>2449</v>
      </c>
      <c r="I946" s="123">
        <v>20.560359999999999</v>
      </c>
      <c r="J946" s="123">
        <v>-101.16647</v>
      </c>
      <c r="K946" s="122" t="s">
        <v>139</v>
      </c>
      <c r="L946" s="125" t="str">
        <f t="shared" si="44"/>
        <v>Ver en Google Maps</v>
      </c>
      <c r="M946" s="125">
        <v>1</v>
      </c>
      <c r="N946" s="108">
        <v>45941</v>
      </c>
      <c r="O946" s="109">
        <f>DAY('BD1'!$N946)</f>
        <v>11</v>
      </c>
      <c r="P946" s="109">
        <f>MONTH('BD1'!$N946)</f>
        <v>10</v>
      </c>
      <c r="Q946" s="109">
        <f>YEAR('BD1'!$N946)</f>
        <v>2025</v>
      </c>
      <c r="R946" s="109">
        <v>1</v>
      </c>
      <c r="S946" s="109" t="s">
        <v>138</v>
      </c>
      <c r="T946" s="109" t="s">
        <v>138</v>
      </c>
      <c r="U946" s="109" t="s">
        <v>138</v>
      </c>
      <c r="V946" s="109" t="s">
        <v>138</v>
      </c>
      <c r="W946" s="109" t="s">
        <v>138</v>
      </c>
      <c r="X946" s="109" t="s">
        <v>138</v>
      </c>
      <c r="Y946" s="109" t="s">
        <v>138</v>
      </c>
      <c r="Z946" s="109" t="s">
        <v>138</v>
      </c>
      <c r="AA946" s="109">
        <v>52.5</v>
      </c>
      <c r="AB946" s="109">
        <v>35.700000000000003</v>
      </c>
      <c r="AC946" s="110" t="s">
        <v>967</v>
      </c>
      <c r="AD946" s="110" t="s">
        <v>957</v>
      </c>
      <c r="AE946" s="109">
        <f t="shared" si="42"/>
        <v>8</v>
      </c>
      <c r="AF946" s="151" t="str">
        <f t="shared" si="43"/>
        <v>Estable</v>
      </c>
    </row>
    <row r="947" spans="1:32" x14ac:dyDescent="0.2">
      <c r="A947" s="112">
        <v>476</v>
      </c>
      <c r="B947" s="113" t="s">
        <v>1204</v>
      </c>
      <c r="C947" s="114" t="s">
        <v>429</v>
      </c>
      <c r="D947" s="114" t="s">
        <v>16</v>
      </c>
      <c r="E947" s="114" t="s">
        <v>2540</v>
      </c>
      <c r="F947" s="115" t="s">
        <v>2541</v>
      </c>
      <c r="G947" s="115" t="s">
        <v>2663</v>
      </c>
      <c r="H947" s="115" t="s">
        <v>2449</v>
      </c>
      <c r="I947" s="114">
        <v>20.544974</v>
      </c>
      <c r="J947" s="114">
        <v>-101.19481399999999</v>
      </c>
      <c r="K947" s="113"/>
      <c r="L947" s="116" t="str">
        <f t="shared" si="44"/>
        <v>Ver en Google Maps</v>
      </c>
      <c r="M947" s="116">
        <v>2</v>
      </c>
      <c r="N947" s="129"/>
      <c r="O947" s="118"/>
      <c r="P947" s="118"/>
      <c r="Q947" s="118"/>
      <c r="R947" s="118"/>
      <c r="S947" s="118"/>
      <c r="T947" s="118"/>
      <c r="U947" s="118"/>
      <c r="V947" s="118"/>
      <c r="W947" s="118"/>
      <c r="X947" s="118"/>
      <c r="Y947" s="118"/>
      <c r="Z947" s="118"/>
      <c r="AA947" s="118"/>
      <c r="AB947" s="118"/>
      <c r="AC947" s="119"/>
      <c r="AD947" s="119"/>
      <c r="AE947" s="118"/>
      <c r="AF947" s="152"/>
    </row>
    <row r="948" spans="1:32" x14ac:dyDescent="0.2">
      <c r="A948" s="121">
        <v>482</v>
      </c>
      <c r="B948" s="122" t="s">
        <v>1204</v>
      </c>
      <c r="C948" s="123" t="s">
        <v>429</v>
      </c>
      <c r="D948" s="123" t="s">
        <v>16</v>
      </c>
      <c r="E948" s="123" t="s">
        <v>2542</v>
      </c>
      <c r="F948" s="124" t="s">
        <v>2543</v>
      </c>
      <c r="G948" s="124" t="s">
        <v>2664</v>
      </c>
      <c r="H948" s="124" t="s">
        <v>2449</v>
      </c>
      <c r="I948" s="123">
        <v>20.548909999999999</v>
      </c>
      <c r="J948" s="123">
        <v>-101.208692</v>
      </c>
      <c r="K948" s="122"/>
      <c r="L948" s="125" t="str">
        <f t="shared" si="44"/>
        <v>Ver en Google Maps</v>
      </c>
      <c r="M948" s="125">
        <v>2</v>
      </c>
      <c r="N948" s="130"/>
      <c r="O948" s="109"/>
      <c r="P948" s="109"/>
      <c r="Q948" s="109"/>
      <c r="R948" s="109"/>
      <c r="S948" s="109"/>
      <c r="T948" s="109"/>
      <c r="U948" s="109"/>
      <c r="V948" s="109"/>
      <c r="W948" s="109"/>
      <c r="X948" s="109"/>
      <c r="Y948" s="109"/>
      <c r="Z948" s="109"/>
      <c r="AA948" s="109"/>
      <c r="AB948" s="109"/>
      <c r="AC948" s="110"/>
      <c r="AD948" s="110"/>
      <c r="AE948" s="109"/>
      <c r="AF948" s="151"/>
    </row>
    <row r="949" spans="1:32" x14ac:dyDescent="0.2">
      <c r="A949" s="112">
        <v>485</v>
      </c>
      <c r="B949" s="113" t="s">
        <v>1204</v>
      </c>
      <c r="C949" s="114" t="s">
        <v>429</v>
      </c>
      <c r="D949" s="114" t="s">
        <v>16</v>
      </c>
      <c r="E949" s="114" t="s">
        <v>2544</v>
      </c>
      <c r="F949" s="115" t="s">
        <v>2545</v>
      </c>
      <c r="G949" s="115" t="s">
        <v>2665</v>
      </c>
      <c r="H949" s="115" t="s">
        <v>2449</v>
      </c>
      <c r="I949" s="114">
        <v>20.557130000000001</v>
      </c>
      <c r="J949" s="114">
        <v>-101.197332</v>
      </c>
      <c r="K949" s="113"/>
      <c r="L949" s="116" t="str">
        <f t="shared" si="44"/>
        <v>Ver en Google Maps</v>
      </c>
      <c r="M949" s="116">
        <v>1</v>
      </c>
      <c r="N949" s="129"/>
      <c r="O949" s="118"/>
      <c r="P949" s="118"/>
      <c r="Q949" s="118"/>
      <c r="R949" s="118"/>
      <c r="S949" s="118"/>
      <c r="T949" s="118"/>
      <c r="U949" s="118"/>
      <c r="V949" s="118"/>
      <c r="W949" s="118"/>
      <c r="X949" s="118"/>
      <c r="Y949" s="118"/>
      <c r="Z949" s="118"/>
      <c r="AA949" s="118"/>
      <c r="AB949" s="118"/>
      <c r="AC949" s="119"/>
      <c r="AD949" s="119"/>
      <c r="AE949" s="118"/>
      <c r="AF949" s="152"/>
    </row>
    <row r="950" spans="1:32" x14ac:dyDescent="0.2">
      <c r="A950" s="121">
        <v>492</v>
      </c>
      <c r="B950" s="122" t="s">
        <v>1204</v>
      </c>
      <c r="C950" s="123" t="s">
        <v>429</v>
      </c>
      <c r="D950" s="123" t="s">
        <v>16</v>
      </c>
      <c r="E950" s="123" t="s">
        <v>2546</v>
      </c>
      <c r="F950" s="124" t="s">
        <v>2547</v>
      </c>
      <c r="G950" s="124" t="s">
        <v>1786</v>
      </c>
      <c r="H950" s="124" t="s">
        <v>2449</v>
      </c>
      <c r="I950" s="123">
        <v>20.548703</v>
      </c>
      <c r="J950" s="123">
        <v>-101.20005999999999</v>
      </c>
      <c r="K950" s="122"/>
      <c r="L950" s="125" t="str">
        <f t="shared" si="44"/>
        <v>Ver en Google Maps</v>
      </c>
      <c r="M950" s="125">
        <v>1</v>
      </c>
      <c r="N950" s="130"/>
      <c r="O950" s="109"/>
      <c r="P950" s="109"/>
      <c r="Q950" s="109"/>
      <c r="R950" s="109"/>
      <c r="S950" s="109"/>
      <c r="T950" s="109"/>
      <c r="U950" s="109"/>
      <c r="V950" s="109"/>
      <c r="W950" s="109"/>
      <c r="X950" s="109"/>
      <c r="Y950" s="109"/>
      <c r="Z950" s="109"/>
      <c r="AA950" s="109"/>
      <c r="AB950" s="109"/>
      <c r="AC950" s="110"/>
      <c r="AD950" s="110"/>
      <c r="AE950" s="109"/>
      <c r="AF950" s="151"/>
    </row>
    <row r="951" spans="1:32" x14ac:dyDescent="0.2">
      <c r="A951" s="112">
        <v>507</v>
      </c>
      <c r="B951" s="113" t="s">
        <v>1204</v>
      </c>
      <c r="C951" s="114" t="s">
        <v>429</v>
      </c>
      <c r="D951" s="114" t="s">
        <v>15</v>
      </c>
      <c r="E951" s="114" t="s">
        <v>2548</v>
      </c>
      <c r="F951" s="115" t="s">
        <v>2549</v>
      </c>
      <c r="G951" s="115" t="s">
        <v>2310</v>
      </c>
      <c r="H951" s="115" t="s">
        <v>2449</v>
      </c>
      <c r="I951" s="114">
        <v>20.574560000000002</v>
      </c>
      <c r="J951" s="114">
        <v>-101.21684</v>
      </c>
      <c r="K951" s="113"/>
      <c r="L951" s="116" t="str">
        <f t="shared" si="44"/>
        <v>Ver en Google Maps</v>
      </c>
      <c r="M951" s="116">
        <v>2</v>
      </c>
      <c r="N951" s="129"/>
      <c r="O951" s="118"/>
      <c r="P951" s="118"/>
      <c r="Q951" s="118"/>
      <c r="R951" s="118"/>
      <c r="S951" s="118"/>
      <c r="T951" s="118"/>
      <c r="U951" s="118"/>
      <c r="V951" s="118"/>
      <c r="W951" s="118"/>
      <c r="X951" s="118"/>
      <c r="Y951" s="118"/>
      <c r="Z951" s="118"/>
      <c r="AA951" s="118"/>
      <c r="AB951" s="118"/>
      <c r="AC951" s="119"/>
      <c r="AD951" s="119"/>
      <c r="AE951" s="118"/>
      <c r="AF951" s="152"/>
    </row>
    <row r="952" spans="1:32" x14ac:dyDescent="0.2">
      <c r="A952" s="121">
        <v>512</v>
      </c>
      <c r="B952" s="122" t="s">
        <v>1204</v>
      </c>
      <c r="C952" s="123" t="s">
        <v>429</v>
      </c>
      <c r="D952" s="123" t="s">
        <v>15</v>
      </c>
      <c r="E952" s="123" t="s">
        <v>2550</v>
      </c>
      <c r="F952" s="124" t="s">
        <v>2551</v>
      </c>
      <c r="G952" s="124" t="s">
        <v>1786</v>
      </c>
      <c r="H952" s="124" t="s">
        <v>2449</v>
      </c>
      <c r="I952" s="123">
        <v>20.54936</v>
      </c>
      <c r="J952" s="123">
        <v>-101.20331</v>
      </c>
      <c r="K952" s="122"/>
      <c r="L952" s="125" t="str">
        <f t="shared" si="44"/>
        <v>Ver en Google Maps</v>
      </c>
      <c r="M952" s="125">
        <v>2</v>
      </c>
      <c r="N952" s="130"/>
      <c r="O952" s="109"/>
      <c r="P952" s="109"/>
      <c r="Q952" s="109"/>
      <c r="R952" s="109"/>
      <c r="S952" s="109"/>
      <c r="T952" s="109"/>
      <c r="U952" s="109"/>
      <c r="V952" s="109"/>
      <c r="W952" s="109"/>
      <c r="X952" s="109"/>
      <c r="Y952" s="109"/>
      <c r="Z952" s="109"/>
      <c r="AA952" s="109"/>
      <c r="AB952" s="109"/>
      <c r="AC952" s="110"/>
      <c r="AD952" s="110"/>
      <c r="AE952" s="109"/>
      <c r="AF952" s="151"/>
    </row>
    <row r="953" spans="1:32" x14ac:dyDescent="0.2">
      <c r="A953" s="112">
        <v>530</v>
      </c>
      <c r="B953" s="113" t="s">
        <v>1204</v>
      </c>
      <c r="C953" s="114" t="s">
        <v>429</v>
      </c>
      <c r="D953" s="114" t="s">
        <v>15</v>
      </c>
      <c r="E953" s="114" t="s">
        <v>2552</v>
      </c>
      <c r="F953" s="115" t="s">
        <v>2553</v>
      </c>
      <c r="G953" s="115" t="s">
        <v>1212</v>
      </c>
      <c r="H953" s="115" t="s">
        <v>2449</v>
      </c>
      <c r="I953" s="114">
        <v>20.572208</v>
      </c>
      <c r="J953" s="114">
        <v>-101.19388600000001</v>
      </c>
      <c r="K953" s="113" t="s">
        <v>139</v>
      </c>
      <c r="L953" s="116" t="str">
        <f t="shared" si="44"/>
        <v>Ver en Google Maps</v>
      </c>
      <c r="M953" s="116">
        <v>2</v>
      </c>
      <c r="N953" s="117">
        <v>45941</v>
      </c>
      <c r="O953" s="118">
        <f>DAY('BD1'!$N953)</f>
        <v>11</v>
      </c>
      <c r="P953" s="118">
        <f>MONTH('BD1'!$N953)</f>
        <v>10</v>
      </c>
      <c r="Q953" s="118">
        <f>YEAR('BD1'!$N953)</f>
        <v>2025</v>
      </c>
      <c r="R953" s="118">
        <v>1</v>
      </c>
      <c r="S953" s="118" t="s">
        <v>934</v>
      </c>
      <c r="T953" s="118" t="s">
        <v>934</v>
      </c>
      <c r="U953" s="118" t="s">
        <v>934</v>
      </c>
      <c r="V953" s="118" t="s">
        <v>934</v>
      </c>
      <c r="W953" s="118" t="s">
        <v>934</v>
      </c>
      <c r="X953" s="118" t="s">
        <v>934</v>
      </c>
      <c r="Y953" s="118" t="s">
        <v>934</v>
      </c>
      <c r="Z953" s="118" t="s">
        <v>934</v>
      </c>
      <c r="AA953" s="118">
        <v>0</v>
      </c>
      <c r="AB953" s="118">
        <v>0</v>
      </c>
      <c r="AC953" s="119" t="s">
        <v>3021</v>
      </c>
      <c r="AD953" s="119" t="s">
        <v>957</v>
      </c>
      <c r="AE953" s="118">
        <f t="shared" si="42"/>
        <v>0</v>
      </c>
      <c r="AF953" s="152" t="str">
        <f t="shared" si="43"/>
        <v>Crítico</v>
      </c>
    </row>
    <row r="954" spans="1:32" x14ac:dyDescent="0.2">
      <c r="A954" s="121">
        <v>542</v>
      </c>
      <c r="B954" s="122" t="s">
        <v>1204</v>
      </c>
      <c r="C954" s="123" t="s">
        <v>429</v>
      </c>
      <c r="D954" s="123" t="s">
        <v>17</v>
      </c>
      <c r="E954" s="123" t="s">
        <v>2554</v>
      </c>
      <c r="F954" s="124" t="s">
        <v>2555</v>
      </c>
      <c r="G954" s="124" t="s">
        <v>2666</v>
      </c>
      <c r="H954" s="124" t="s">
        <v>2449</v>
      </c>
      <c r="I954" s="123">
        <v>20.552575999999998</v>
      </c>
      <c r="J954" s="123">
        <v>-101.19684100000001</v>
      </c>
      <c r="K954" s="122"/>
      <c r="L954" s="125" t="str">
        <f t="shared" si="44"/>
        <v>Ver en Google Maps</v>
      </c>
      <c r="M954" s="125">
        <v>1</v>
      </c>
      <c r="N954" s="130"/>
      <c r="O954" s="109"/>
      <c r="P954" s="109"/>
      <c r="Q954" s="109"/>
      <c r="R954" s="109"/>
      <c r="S954" s="109"/>
      <c r="T954" s="109"/>
      <c r="U954" s="109"/>
      <c r="V954" s="109"/>
      <c r="W954" s="109"/>
      <c r="X954" s="109"/>
      <c r="Y954" s="109"/>
      <c r="Z954" s="109"/>
      <c r="AA954" s="109"/>
      <c r="AB954" s="109"/>
      <c r="AC954" s="110"/>
      <c r="AD954" s="110"/>
      <c r="AE954" s="109"/>
      <c r="AF954" s="151"/>
    </row>
    <row r="955" spans="1:32" x14ac:dyDescent="0.2">
      <c r="A955" s="112">
        <v>546</v>
      </c>
      <c r="B955" s="113" t="s">
        <v>1204</v>
      </c>
      <c r="C955" s="114" t="s">
        <v>429</v>
      </c>
      <c r="D955" s="114" t="s">
        <v>17</v>
      </c>
      <c r="E955" s="114" t="s">
        <v>2556</v>
      </c>
      <c r="F955" s="115" t="s">
        <v>2557</v>
      </c>
      <c r="G955" s="115" t="s">
        <v>2667</v>
      </c>
      <c r="H955" s="115" t="s">
        <v>2449</v>
      </c>
      <c r="I955" s="114">
        <v>20.565064</v>
      </c>
      <c r="J955" s="114">
        <v>-101.21736199999999</v>
      </c>
      <c r="K955" s="113"/>
      <c r="L955" s="116" t="str">
        <f t="shared" si="44"/>
        <v>Ver en Google Maps</v>
      </c>
      <c r="M955" s="116">
        <v>1</v>
      </c>
      <c r="N955" s="129"/>
      <c r="O955" s="118"/>
      <c r="P955" s="118"/>
      <c r="Q955" s="118"/>
      <c r="R955" s="118"/>
      <c r="S955" s="118"/>
      <c r="T955" s="118"/>
      <c r="U955" s="118"/>
      <c r="V955" s="118"/>
      <c r="W955" s="118"/>
      <c r="X955" s="118"/>
      <c r="Y955" s="118"/>
      <c r="Z955" s="118"/>
      <c r="AA955" s="118"/>
      <c r="AB955" s="118"/>
      <c r="AC955" s="119"/>
      <c r="AD955" s="119"/>
      <c r="AE955" s="118"/>
      <c r="AF955" s="152"/>
    </row>
    <row r="956" spans="1:32" x14ac:dyDescent="0.2">
      <c r="A956" s="121">
        <v>548</v>
      </c>
      <c r="B956" s="122" t="s">
        <v>1204</v>
      </c>
      <c r="C956" s="123" t="s">
        <v>429</v>
      </c>
      <c r="D956" s="123" t="s">
        <v>17</v>
      </c>
      <c r="E956" s="123" t="s">
        <v>2558</v>
      </c>
      <c r="F956" s="124" t="s">
        <v>2559</v>
      </c>
      <c r="G956" s="124" t="s">
        <v>2668</v>
      </c>
      <c r="H956" s="124" t="s">
        <v>2449</v>
      </c>
      <c r="I956" s="123">
        <v>20.579291000000001</v>
      </c>
      <c r="J956" s="123">
        <v>-101.214769</v>
      </c>
      <c r="K956" s="122"/>
      <c r="L956" s="125" t="str">
        <f t="shared" si="44"/>
        <v>Ver en Google Maps</v>
      </c>
      <c r="M956" s="125">
        <v>1</v>
      </c>
      <c r="N956" s="130"/>
      <c r="O956" s="109"/>
      <c r="P956" s="109"/>
      <c r="Q956" s="109"/>
      <c r="R956" s="109"/>
      <c r="S956" s="109"/>
      <c r="T956" s="109"/>
      <c r="U956" s="109"/>
      <c r="V956" s="109"/>
      <c r="W956" s="109"/>
      <c r="X956" s="109"/>
      <c r="Y956" s="109"/>
      <c r="Z956" s="109"/>
      <c r="AA956" s="109"/>
      <c r="AB956" s="109"/>
      <c r="AC956" s="110"/>
      <c r="AD956" s="110"/>
      <c r="AE956" s="109"/>
      <c r="AF956" s="151"/>
    </row>
    <row r="957" spans="1:32" x14ac:dyDescent="0.2">
      <c r="A957" s="112">
        <v>574</v>
      </c>
      <c r="B957" s="113" t="s">
        <v>1204</v>
      </c>
      <c r="C957" s="114" t="s">
        <v>350</v>
      </c>
      <c r="D957" s="114" t="s">
        <v>404</v>
      </c>
      <c r="E957" s="114" t="s">
        <v>2560</v>
      </c>
      <c r="F957" s="115" t="s">
        <v>2561</v>
      </c>
      <c r="G957" s="115" t="s">
        <v>2641</v>
      </c>
      <c r="H957" s="115" t="s">
        <v>2449</v>
      </c>
      <c r="I957" s="114">
        <v>20.58201</v>
      </c>
      <c r="J957" s="114">
        <v>-101.198156</v>
      </c>
      <c r="K957" s="113" t="s">
        <v>139</v>
      </c>
      <c r="L957" s="116" t="str">
        <f t="shared" si="44"/>
        <v>Ver en Google Maps</v>
      </c>
      <c r="M957" s="116">
        <v>1</v>
      </c>
      <c r="N957" s="117">
        <v>45941</v>
      </c>
      <c r="O957" s="118">
        <f>DAY('BD1'!$N957)</f>
        <v>11</v>
      </c>
      <c r="P957" s="118">
        <f>MONTH('BD1'!$N957)</f>
        <v>10</v>
      </c>
      <c r="Q957" s="118">
        <f>YEAR('BD1'!$N957)</f>
        <v>2025</v>
      </c>
      <c r="R957" s="118">
        <v>1</v>
      </c>
      <c r="S957" s="118" t="s">
        <v>138</v>
      </c>
      <c r="T957" s="118" t="s">
        <v>138</v>
      </c>
      <c r="U957" s="118" t="s">
        <v>138</v>
      </c>
      <c r="V957" s="118" t="s">
        <v>934</v>
      </c>
      <c r="W957" s="118" t="s">
        <v>138</v>
      </c>
      <c r="X957" s="118" t="s">
        <v>138</v>
      </c>
      <c r="Y957" s="118" t="s">
        <v>138</v>
      </c>
      <c r="Z957" s="118" t="s">
        <v>934</v>
      </c>
      <c r="AA957" s="118">
        <v>4.1100000000000003</v>
      </c>
      <c r="AB957" s="118">
        <v>7.09</v>
      </c>
      <c r="AC957" s="119" t="s">
        <v>3023</v>
      </c>
      <c r="AD957" s="119" t="s">
        <v>957</v>
      </c>
      <c r="AE957" s="118">
        <f t="shared" si="42"/>
        <v>6</v>
      </c>
      <c r="AF957" s="152" t="str">
        <f t="shared" si="43"/>
        <v>Funcional con observaciones</v>
      </c>
    </row>
    <row r="958" spans="1:32" x14ac:dyDescent="0.2">
      <c r="A958" s="121">
        <v>576</v>
      </c>
      <c r="B958" s="122" t="s">
        <v>1204</v>
      </c>
      <c r="C958" s="123" t="s">
        <v>429</v>
      </c>
      <c r="D958" s="123" t="s">
        <v>17</v>
      </c>
      <c r="E958" s="123" t="s">
        <v>2562</v>
      </c>
      <c r="F958" s="124" t="s">
        <v>2563</v>
      </c>
      <c r="G958" s="124" t="s">
        <v>2669</v>
      </c>
      <c r="H958" s="124" t="s">
        <v>2449</v>
      </c>
      <c r="I958" s="123">
        <v>20.549841000000001</v>
      </c>
      <c r="J958" s="123">
        <v>-101.19877099999999</v>
      </c>
      <c r="K958" s="122"/>
      <c r="L958" s="125" t="str">
        <f t="shared" si="44"/>
        <v>Ver en Google Maps</v>
      </c>
      <c r="M958" s="125">
        <v>1</v>
      </c>
      <c r="N958" s="130"/>
      <c r="O958" s="109"/>
      <c r="P958" s="109"/>
      <c r="Q958" s="109"/>
      <c r="R958" s="109"/>
      <c r="S958" s="109"/>
      <c r="T958" s="109"/>
      <c r="U958" s="109"/>
      <c r="V958" s="109"/>
      <c r="W958" s="109"/>
      <c r="X958" s="109"/>
      <c r="Y958" s="109"/>
      <c r="Z958" s="109"/>
      <c r="AA958" s="109"/>
      <c r="AB958" s="109"/>
      <c r="AC958" s="110"/>
      <c r="AD958" s="110"/>
      <c r="AE958" s="109"/>
      <c r="AF958" s="151"/>
    </row>
    <row r="959" spans="1:32" x14ac:dyDescent="0.2">
      <c r="A959" s="112">
        <v>597</v>
      </c>
      <c r="B959" s="113" t="s">
        <v>1204</v>
      </c>
      <c r="C959" s="114" t="s">
        <v>429</v>
      </c>
      <c r="D959" s="114" t="s">
        <v>17</v>
      </c>
      <c r="E959" s="114" t="s">
        <v>2564</v>
      </c>
      <c r="F959" s="115" t="s">
        <v>2565</v>
      </c>
      <c r="G959" s="115" t="s">
        <v>2670</v>
      </c>
      <c r="H959" s="115" t="s">
        <v>2449</v>
      </c>
      <c r="I959" s="114">
        <v>20.556719999999999</v>
      </c>
      <c r="J959" s="114">
        <v>-101.19102599999999</v>
      </c>
      <c r="K959" s="113"/>
      <c r="L959" s="116" t="str">
        <f t="shared" si="44"/>
        <v>Ver en Google Maps</v>
      </c>
      <c r="M959" s="116">
        <v>1</v>
      </c>
      <c r="N959" s="129"/>
      <c r="O959" s="118"/>
      <c r="P959" s="118"/>
      <c r="Q959" s="118"/>
      <c r="R959" s="118"/>
      <c r="S959" s="118"/>
      <c r="T959" s="118"/>
      <c r="U959" s="118"/>
      <c r="V959" s="118"/>
      <c r="W959" s="118"/>
      <c r="X959" s="118"/>
      <c r="Y959" s="118"/>
      <c r="Z959" s="118"/>
      <c r="AA959" s="118"/>
      <c r="AB959" s="118"/>
      <c r="AC959" s="119"/>
      <c r="AD959" s="119"/>
      <c r="AE959" s="118"/>
      <c r="AF959" s="152"/>
    </row>
    <row r="960" spans="1:32" x14ac:dyDescent="0.2">
      <c r="A960" s="121">
        <v>603</v>
      </c>
      <c r="B960" s="122" t="s">
        <v>1204</v>
      </c>
      <c r="C960" s="123" t="s">
        <v>429</v>
      </c>
      <c r="D960" s="123" t="s">
        <v>17</v>
      </c>
      <c r="E960" s="123" t="s">
        <v>2566</v>
      </c>
      <c r="F960" s="124" t="s">
        <v>2567</v>
      </c>
      <c r="G960" s="124" t="s">
        <v>2671</v>
      </c>
      <c r="H960" s="124" t="s">
        <v>2449</v>
      </c>
      <c r="I960" s="123">
        <v>20.553578000000002</v>
      </c>
      <c r="J960" s="123">
        <v>-101.21917999999999</v>
      </c>
      <c r="K960" s="122"/>
      <c r="L960" s="125" t="str">
        <f t="shared" si="44"/>
        <v>Ver en Google Maps</v>
      </c>
      <c r="M960" s="125">
        <v>1</v>
      </c>
      <c r="N960" s="130"/>
      <c r="O960" s="109"/>
      <c r="P960" s="109"/>
      <c r="Q960" s="109"/>
      <c r="R960" s="109"/>
      <c r="S960" s="109"/>
      <c r="T960" s="109"/>
      <c r="U960" s="109"/>
      <c r="V960" s="109"/>
      <c r="W960" s="109"/>
      <c r="X960" s="109"/>
      <c r="Y960" s="109"/>
      <c r="Z960" s="109"/>
      <c r="AA960" s="109"/>
      <c r="AB960" s="109"/>
      <c r="AC960" s="110"/>
      <c r="AD960" s="110"/>
      <c r="AE960" s="109"/>
      <c r="AF960" s="151"/>
    </row>
    <row r="961" spans="1:32" x14ac:dyDescent="0.2">
      <c r="A961" s="112">
        <v>605</v>
      </c>
      <c r="B961" s="113" t="s">
        <v>1204</v>
      </c>
      <c r="C961" s="114" t="s">
        <v>429</v>
      </c>
      <c r="D961" s="114" t="s">
        <v>17</v>
      </c>
      <c r="E961" s="114" t="s">
        <v>2568</v>
      </c>
      <c r="F961" s="115" t="s">
        <v>2569</v>
      </c>
      <c r="G961" s="115" t="s">
        <v>2672</v>
      </c>
      <c r="H961" s="115" t="s">
        <v>2449</v>
      </c>
      <c r="I961" s="114">
        <v>20.555686000000001</v>
      </c>
      <c r="J961" s="114">
        <v>-101.20978700000001</v>
      </c>
      <c r="K961" s="113"/>
      <c r="L961" s="116" t="str">
        <f t="shared" si="44"/>
        <v>Ver en Google Maps</v>
      </c>
      <c r="M961" s="116">
        <v>1</v>
      </c>
      <c r="N961" s="129"/>
      <c r="O961" s="118"/>
      <c r="P961" s="118"/>
      <c r="Q961" s="118"/>
      <c r="R961" s="118"/>
      <c r="S961" s="118"/>
      <c r="T961" s="118"/>
      <c r="U961" s="118"/>
      <c r="V961" s="118"/>
      <c r="W961" s="118"/>
      <c r="X961" s="118"/>
      <c r="Y961" s="118"/>
      <c r="Z961" s="118"/>
      <c r="AA961" s="118"/>
      <c r="AB961" s="118"/>
      <c r="AC961" s="119"/>
      <c r="AD961" s="119"/>
      <c r="AE961" s="118"/>
      <c r="AF961" s="152"/>
    </row>
    <row r="962" spans="1:32" x14ac:dyDescent="0.2">
      <c r="A962" s="121">
        <v>643</v>
      </c>
      <c r="B962" s="122" t="s">
        <v>1204</v>
      </c>
      <c r="C962" s="123" t="s">
        <v>429</v>
      </c>
      <c r="D962" s="123" t="s">
        <v>16</v>
      </c>
      <c r="E962" s="123" t="s">
        <v>2570</v>
      </c>
      <c r="F962" s="124" t="s">
        <v>2571</v>
      </c>
      <c r="G962" s="124" t="s">
        <v>2668</v>
      </c>
      <c r="H962" s="124" t="s">
        <v>2449</v>
      </c>
      <c r="I962" s="123">
        <v>20.578499999999998</v>
      </c>
      <c r="J962" s="123">
        <v>-101.21536</v>
      </c>
      <c r="K962" s="122"/>
      <c r="L962" s="125" t="str">
        <f t="shared" si="44"/>
        <v>Ver en Google Maps</v>
      </c>
      <c r="M962" s="125">
        <v>1</v>
      </c>
      <c r="N962" s="130"/>
      <c r="O962" s="109"/>
      <c r="P962" s="109"/>
      <c r="Q962" s="109"/>
      <c r="R962" s="109"/>
      <c r="S962" s="109"/>
      <c r="T962" s="109"/>
      <c r="U962" s="109"/>
      <c r="V962" s="109"/>
      <c r="W962" s="109"/>
      <c r="X962" s="109"/>
      <c r="Y962" s="109"/>
      <c r="Z962" s="109"/>
      <c r="AA962" s="109"/>
      <c r="AB962" s="109"/>
      <c r="AC962" s="110"/>
      <c r="AD962" s="110"/>
      <c r="AE962" s="109"/>
      <c r="AF962" s="151"/>
    </row>
    <row r="963" spans="1:32" x14ac:dyDescent="0.2">
      <c r="A963" s="112">
        <v>644</v>
      </c>
      <c r="B963" s="113" t="s">
        <v>1204</v>
      </c>
      <c r="C963" s="114" t="s">
        <v>429</v>
      </c>
      <c r="D963" s="114" t="s">
        <v>16</v>
      </c>
      <c r="E963" s="114" t="s">
        <v>2572</v>
      </c>
      <c r="F963" s="115" t="s">
        <v>2573</v>
      </c>
      <c r="G963" s="115" t="s">
        <v>2673</v>
      </c>
      <c r="H963" s="115" t="s">
        <v>2449</v>
      </c>
      <c r="I963" s="114">
        <v>20.565117999999998</v>
      </c>
      <c r="J963" s="114">
        <v>-101.188423</v>
      </c>
      <c r="K963" s="113"/>
      <c r="L963" s="116" t="str">
        <f t="shared" si="44"/>
        <v>Ver en Google Maps</v>
      </c>
      <c r="M963" s="116">
        <v>2</v>
      </c>
      <c r="N963" s="129"/>
      <c r="O963" s="118"/>
      <c r="P963" s="118"/>
      <c r="Q963" s="118"/>
      <c r="R963" s="118"/>
      <c r="S963" s="118"/>
      <c r="T963" s="118"/>
      <c r="U963" s="118"/>
      <c r="V963" s="118"/>
      <c r="W963" s="118"/>
      <c r="X963" s="118"/>
      <c r="Y963" s="118"/>
      <c r="Z963" s="118"/>
      <c r="AA963" s="118"/>
      <c r="AB963" s="118"/>
      <c r="AC963" s="119"/>
      <c r="AD963" s="119"/>
      <c r="AE963" s="118"/>
      <c r="AF963" s="152"/>
    </row>
    <row r="964" spans="1:32" x14ac:dyDescent="0.2">
      <c r="A964" s="121">
        <v>645</v>
      </c>
      <c r="B964" s="122" t="s">
        <v>1204</v>
      </c>
      <c r="C964" s="123" t="s">
        <v>429</v>
      </c>
      <c r="D964" s="123" t="s">
        <v>16</v>
      </c>
      <c r="E964" s="123" t="s">
        <v>2574</v>
      </c>
      <c r="F964" s="124" t="s">
        <v>2575</v>
      </c>
      <c r="G964" s="124" t="s">
        <v>2640</v>
      </c>
      <c r="H964" s="124" t="s">
        <v>2449</v>
      </c>
      <c r="I964" s="123">
        <v>20.571905999999998</v>
      </c>
      <c r="J964" s="123">
        <v>-101.192876</v>
      </c>
      <c r="K964" s="122" t="s">
        <v>139</v>
      </c>
      <c r="L964" s="125" t="str">
        <f t="shared" si="44"/>
        <v>Ver en Google Maps</v>
      </c>
      <c r="M964" s="125">
        <v>2</v>
      </c>
      <c r="N964" s="108">
        <v>45941</v>
      </c>
      <c r="O964" s="109">
        <f>DAY('BD1'!$N964)</f>
        <v>11</v>
      </c>
      <c r="P964" s="109">
        <f>MONTH('BD1'!$N964)</f>
        <v>10</v>
      </c>
      <c r="Q964" s="109">
        <f>YEAR('BD1'!$N964)</f>
        <v>2025</v>
      </c>
      <c r="R964" s="109">
        <v>1</v>
      </c>
      <c r="S964" s="109" t="s">
        <v>934</v>
      </c>
      <c r="T964" s="109" t="s">
        <v>934</v>
      </c>
      <c r="U964" s="109" t="s">
        <v>934</v>
      </c>
      <c r="V964" s="109" t="s">
        <v>934</v>
      </c>
      <c r="W964" s="109" t="s">
        <v>934</v>
      </c>
      <c r="X964" s="109" t="s">
        <v>934</v>
      </c>
      <c r="Y964" s="109" t="s">
        <v>934</v>
      </c>
      <c r="Z964" s="109" t="s">
        <v>934</v>
      </c>
      <c r="AA964" s="109">
        <v>0</v>
      </c>
      <c r="AB964" s="109">
        <v>0</v>
      </c>
      <c r="AC964" s="110" t="s">
        <v>3021</v>
      </c>
      <c r="AD964" s="110" t="s">
        <v>957</v>
      </c>
      <c r="AE964" s="109">
        <f t="shared" si="42"/>
        <v>0</v>
      </c>
      <c r="AF964" s="151" t="str">
        <f t="shared" ref="AF962:AF1025" si="45">IF(AE964=8,"Estable",(IF(AE964=7,"Funcional con observaciones", (IF(AE964=6,"Funcional con observaciones",(IF(AE964=5,"Rendimiento bajo",(IF(AE964=4,"Parcialmente funcional",(IF(AE964=3,"Parcialmente funcional",(IF(AE964=2,"Inoperativo",(IF(AE964=1,"Inoperativo","Crítico")))))))))))))))</f>
        <v>Crítico</v>
      </c>
    </row>
    <row r="965" spans="1:32" x14ac:dyDescent="0.2">
      <c r="A965" s="112">
        <v>660</v>
      </c>
      <c r="B965" s="113" t="s">
        <v>1204</v>
      </c>
      <c r="C965" s="114" t="s">
        <v>429</v>
      </c>
      <c r="D965" s="114" t="s">
        <v>16</v>
      </c>
      <c r="E965" s="114" t="s">
        <v>2576</v>
      </c>
      <c r="F965" s="115" t="s">
        <v>2577</v>
      </c>
      <c r="G965" s="115" t="s">
        <v>1242</v>
      </c>
      <c r="H965" s="115" t="s">
        <v>2449</v>
      </c>
      <c r="I965" s="114">
        <v>20.553737000000002</v>
      </c>
      <c r="J965" s="114">
        <v>-101.21882100000001</v>
      </c>
      <c r="K965" s="113"/>
      <c r="L965" s="116" t="str">
        <f t="shared" si="44"/>
        <v>Ver en Google Maps</v>
      </c>
      <c r="M965" s="116">
        <v>1</v>
      </c>
      <c r="N965" s="129"/>
      <c r="O965" s="118"/>
      <c r="P965" s="118"/>
      <c r="Q965" s="118"/>
      <c r="R965" s="118"/>
      <c r="S965" s="118"/>
      <c r="T965" s="118"/>
      <c r="U965" s="118"/>
      <c r="V965" s="118"/>
      <c r="W965" s="118"/>
      <c r="X965" s="118"/>
      <c r="Y965" s="118"/>
      <c r="Z965" s="118"/>
      <c r="AA965" s="118"/>
      <c r="AB965" s="118"/>
      <c r="AC965" s="119"/>
      <c r="AD965" s="119"/>
      <c r="AE965" s="118"/>
      <c r="AF965" s="152"/>
    </row>
    <row r="966" spans="1:32" x14ac:dyDescent="0.2">
      <c r="A966" s="121">
        <v>661</v>
      </c>
      <c r="B966" s="122" t="s">
        <v>1204</v>
      </c>
      <c r="C966" s="123" t="s">
        <v>429</v>
      </c>
      <c r="D966" s="123" t="s">
        <v>16</v>
      </c>
      <c r="E966" s="123" t="s">
        <v>2578</v>
      </c>
      <c r="F966" s="124" t="s">
        <v>2579</v>
      </c>
      <c r="G966" s="124" t="s">
        <v>2651</v>
      </c>
      <c r="H966" s="124" t="s">
        <v>2449</v>
      </c>
      <c r="I966" s="123">
        <v>20.554683000000001</v>
      </c>
      <c r="J966" s="123">
        <v>-101.227311</v>
      </c>
      <c r="K966" s="122"/>
      <c r="L966" s="125" t="str">
        <f t="shared" si="44"/>
        <v>Ver en Google Maps</v>
      </c>
      <c r="M966" s="125">
        <v>2</v>
      </c>
      <c r="N966" s="130"/>
      <c r="O966" s="109"/>
      <c r="P966" s="109"/>
      <c r="Q966" s="109"/>
      <c r="R966" s="109"/>
      <c r="S966" s="109"/>
      <c r="T966" s="109"/>
      <c r="U966" s="109"/>
      <c r="V966" s="109"/>
      <c r="W966" s="109"/>
      <c r="X966" s="109"/>
      <c r="Y966" s="109"/>
      <c r="Z966" s="109"/>
      <c r="AA966" s="109"/>
      <c r="AB966" s="109"/>
      <c r="AC966" s="110"/>
      <c r="AD966" s="110"/>
      <c r="AE966" s="109"/>
      <c r="AF966" s="151"/>
    </row>
    <row r="967" spans="1:32" x14ac:dyDescent="0.2">
      <c r="A967" s="112">
        <v>662</v>
      </c>
      <c r="B967" s="113" t="s">
        <v>1204</v>
      </c>
      <c r="C967" s="114" t="s">
        <v>429</v>
      </c>
      <c r="D967" s="114" t="s">
        <v>16</v>
      </c>
      <c r="E967" s="114" t="s">
        <v>2580</v>
      </c>
      <c r="F967" s="115" t="s">
        <v>2581</v>
      </c>
      <c r="G967" s="115" t="s">
        <v>2640</v>
      </c>
      <c r="H967" s="115" t="s">
        <v>2449</v>
      </c>
      <c r="I967" s="114">
        <v>20.567224</v>
      </c>
      <c r="J967" s="114">
        <v>-101.201489</v>
      </c>
      <c r="K967" s="113"/>
      <c r="L967" s="116" t="str">
        <f t="shared" si="44"/>
        <v>Ver en Google Maps</v>
      </c>
      <c r="M967" s="116">
        <v>2</v>
      </c>
      <c r="N967" s="129"/>
      <c r="O967" s="118"/>
      <c r="P967" s="118"/>
      <c r="Q967" s="118"/>
      <c r="R967" s="118"/>
      <c r="S967" s="118"/>
      <c r="T967" s="118"/>
      <c r="U967" s="118"/>
      <c r="V967" s="118"/>
      <c r="W967" s="118"/>
      <c r="X967" s="118"/>
      <c r="Y967" s="118"/>
      <c r="Z967" s="118"/>
      <c r="AA967" s="118"/>
      <c r="AB967" s="118"/>
      <c r="AC967" s="119"/>
      <c r="AD967" s="119"/>
      <c r="AE967" s="118"/>
      <c r="AF967" s="152"/>
    </row>
    <row r="968" spans="1:32" x14ac:dyDescent="0.2">
      <c r="A968" s="121">
        <v>677</v>
      </c>
      <c r="B968" s="122" t="s">
        <v>1204</v>
      </c>
      <c r="C968" s="123" t="s">
        <v>429</v>
      </c>
      <c r="D968" s="123" t="s">
        <v>16</v>
      </c>
      <c r="E968" s="123" t="s">
        <v>2582</v>
      </c>
      <c r="F968" s="124" t="s">
        <v>2583</v>
      </c>
      <c r="G968" s="124" t="s">
        <v>2674</v>
      </c>
      <c r="H968" s="124" t="s">
        <v>2449</v>
      </c>
      <c r="I968" s="123">
        <v>20.562560000000001</v>
      </c>
      <c r="J968" s="123">
        <v>-101.19156</v>
      </c>
      <c r="K968" s="122"/>
      <c r="L968" s="125" t="str">
        <f t="shared" si="44"/>
        <v>Ver en Google Maps</v>
      </c>
      <c r="M968" s="125">
        <v>2</v>
      </c>
      <c r="N968" s="130"/>
      <c r="O968" s="109"/>
      <c r="P968" s="109"/>
      <c r="Q968" s="109"/>
      <c r="R968" s="109"/>
      <c r="S968" s="109"/>
      <c r="T968" s="109"/>
      <c r="U968" s="109"/>
      <c r="V968" s="109"/>
      <c r="W968" s="109"/>
      <c r="X968" s="109"/>
      <c r="Y968" s="109"/>
      <c r="Z968" s="109"/>
      <c r="AA968" s="109"/>
      <c r="AB968" s="109"/>
      <c r="AC968" s="110"/>
      <c r="AD968" s="110"/>
      <c r="AE968" s="109"/>
      <c r="AF968" s="151"/>
    </row>
    <row r="969" spans="1:32" x14ac:dyDescent="0.2">
      <c r="A969" s="112">
        <v>678</v>
      </c>
      <c r="B969" s="113" t="s">
        <v>1204</v>
      </c>
      <c r="C969" s="114" t="s">
        <v>429</v>
      </c>
      <c r="D969" s="114" t="s">
        <v>16</v>
      </c>
      <c r="E969" s="114" t="s">
        <v>2584</v>
      </c>
      <c r="F969" s="115" t="s">
        <v>2585</v>
      </c>
      <c r="G969" s="115" t="s">
        <v>2675</v>
      </c>
      <c r="H969" s="115" t="s">
        <v>2449</v>
      </c>
      <c r="I969" s="114">
        <v>20.538961</v>
      </c>
      <c r="J969" s="114">
        <v>-101.207762</v>
      </c>
      <c r="K969" s="113"/>
      <c r="L969" s="116" t="str">
        <f t="shared" si="44"/>
        <v>Ver en Google Maps</v>
      </c>
      <c r="M969" s="116">
        <v>1</v>
      </c>
      <c r="N969" s="129"/>
      <c r="O969" s="118"/>
      <c r="P969" s="118"/>
      <c r="Q969" s="118"/>
      <c r="R969" s="118"/>
      <c r="S969" s="118"/>
      <c r="T969" s="118"/>
      <c r="U969" s="118"/>
      <c r="V969" s="118"/>
      <c r="W969" s="118"/>
      <c r="X969" s="118"/>
      <c r="Y969" s="118"/>
      <c r="Z969" s="118"/>
      <c r="AA969" s="118"/>
      <c r="AB969" s="118"/>
      <c r="AC969" s="119"/>
      <c r="AD969" s="119"/>
      <c r="AE969" s="118"/>
      <c r="AF969" s="152"/>
    </row>
    <row r="970" spans="1:32" x14ac:dyDescent="0.2">
      <c r="A970" s="121">
        <v>693</v>
      </c>
      <c r="B970" s="122" t="s">
        <v>1204</v>
      </c>
      <c r="C970" s="123" t="s">
        <v>429</v>
      </c>
      <c r="D970" s="123" t="s">
        <v>16</v>
      </c>
      <c r="E970" s="123" t="s">
        <v>2586</v>
      </c>
      <c r="F970" s="124" t="s">
        <v>2587</v>
      </c>
      <c r="G970" s="124" t="s">
        <v>2676</v>
      </c>
      <c r="H970" s="124" t="s">
        <v>2449</v>
      </c>
      <c r="I970" s="123">
        <v>20.557925000000001</v>
      </c>
      <c r="J970" s="123">
        <v>-101.190574</v>
      </c>
      <c r="K970" s="122"/>
      <c r="L970" s="125" t="str">
        <f t="shared" si="44"/>
        <v>Ver en Google Maps</v>
      </c>
      <c r="M970" s="125">
        <v>2</v>
      </c>
      <c r="N970" s="130"/>
      <c r="O970" s="109"/>
      <c r="P970" s="109"/>
      <c r="Q970" s="109"/>
      <c r="R970" s="109"/>
      <c r="S970" s="109"/>
      <c r="T970" s="109"/>
      <c r="U970" s="109"/>
      <c r="V970" s="109"/>
      <c r="W970" s="109"/>
      <c r="X970" s="109"/>
      <c r="Y970" s="109"/>
      <c r="Z970" s="109"/>
      <c r="AA970" s="109"/>
      <c r="AB970" s="109"/>
      <c r="AC970" s="110"/>
      <c r="AD970" s="110"/>
      <c r="AE970" s="109"/>
      <c r="AF970" s="151"/>
    </row>
    <row r="971" spans="1:32" x14ac:dyDescent="0.2">
      <c r="A971" s="112">
        <v>715</v>
      </c>
      <c r="B971" s="113" t="s">
        <v>1204</v>
      </c>
      <c r="C971" s="114" t="s">
        <v>350</v>
      </c>
      <c r="D971" s="114" t="s">
        <v>404</v>
      </c>
      <c r="E971" s="114" t="s">
        <v>2588</v>
      </c>
      <c r="F971" s="115" t="s">
        <v>2589</v>
      </c>
      <c r="G971" s="115" t="s">
        <v>2312</v>
      </c>
      <c r="H971" s="115" t="s">
        <v>2449</v>
      </c>
      <c r="I971" s="114">
        <v>20.581060000000001</v>
      </c>
      <c r="J971" s="114">
        <v>-101.20762000000001</v>
      </c>
      <c r="K971" s="113"/>
      <c r="L971" s="116" t="str">
        <f t="shared" si="44"/>
        <v>Ver en Google Maps</v>
      </c>
      <c r="M971" s="116">
        <v>1</v>
      </c>
      <c r="N971" s="129"/>
      <c r="O971" s="118"/>
      <c r="P971" s="118"/>
      <c r="Q971" s="118"/>
      <c r="R971" s="118"/>
      <c r="S971" s="118"/>
      <c r="T971" s="118"/>
      <c r="U971" s="118"/>
      <c r="V971" s="118"/>
      <c r="W971" s="118"/>
      <c r="X971" s="118"/>
      <c r="Y971" s="118"/>
      <c r="Z971" s="118"/>
      <c r="AA971" s="118"/>
      <c r="AB971" s="118"/>
      <c r="AC971" s="119"/>
      <c r="AD971" s="119"/>
      <c r="AE971" s="118"/>
      <c r="AF971" s="152"/>
    </row>
    <row r="972" spans="1:32" x14ac:dyDescent="0.2">
      <c r="A972" s="121">
        <v>733</v>
      </c>
      <c r="B972" s="122" t="s">
        <v>1204</v>
      </c>
      <c r="C972" s="123" t="s">
        <v>14</v>
      </c>
      <c r="D972" s="123" t="s">
        <v>404</v>
      </c>
      <c r="E972" s="123" t="s">
        <v>2590</v>
      </c>
      <c r="F972" s="124" t="s">
        <v>2591</v>
      </c>
      <c r="G972" s="124" t="s">
        <v>2677</v>
      </c>
      <c r="H972" s="124" t="s">
        <v>2449</v>
      </c>
      <c r="I972" s="123">
        <v>20.574162000000001</v>
      </c>
      <c r="J972" s="123">
        <v>-101.191463</v>
      </c>
      <c r="K972" s="122" t="s">
        <v>139</v>
      </c>
      <c r="L972" s="125" t="str">
        <f t="shared" si="44"/>
        <v>Ver en Google Maps</v>
      </c>
      <c r="M972" s="125">
        <v>2</v>
      </c>
      <c r="N972" s="108">
        <v>45941</v>
      </c>
      <c r="O972" s="109">
        <f>DAY('BD1'!$N972)</f>
        <v>11</v>
      </c>
      <c r="P972" s="109">
        <f>MONTH('BD1'!$N972)</f>
        <v>10</v>
      </c>
      <c r="Q972" s="109">
        <f>YEAR('BD1'!$N972)</f>
        <v>2025</v>
      </c>
      <c r="R972" s="109">
        <v>1</v>
      </c>
      <c r="S972" s="109" t="s">
        <v>138</v>
      </c>
      <c r="T972" s="109" t="s">
        <v>138</v>
      </c>
      <c r="U972" s="109" t="s">
        <v>138</v>
      </c>
      <c r="V972" s="109" t="s">
        <v>138</v>
      </c>
      <c r="W972" s="109" t="s">
        <v>138</v>
      </c>
      <c r="X972" s="109" t="s">
        <v>138</v>
      </c>
      <c r="Y972" s="109" t="s">
        <v>138</v>
      </c>
      <c r="Z972" s="109" t="s">
        <v>138</v>
      </c>
      <c r="AA972" s="109">
        <v>127</v>
      </c>
      <c r="AB972" s="109">
        <v>141</v>
      </c>
      <c r="AC972" s="110" t="s">
        <v>967</v>
      </c>
      <c r="AD972" s="110" t="s">
        <v>957</v>
      </c>
      <c r="AE972" s="109">
        <f t="shared" ref="AE972:AE1022" si="46">COUNTIF(S972:Z972, "si")</f>
        <v>8</v>
      </c>
      <c r="AF972" s="151" t="str">
        <f t="shared" si="45"/>
        <v>Estable</v>
      </c>
    </row>
    <row r="973" spans="1:32" x14ac:dyDescent="0.2">
      <c r="A973" s="112">
        <v>752</v>
      </c>
      <c r="B973" s="113" t="s">
        <v>1204</v>
      </c>
      <c r="C973" s="114" t="s">
        <v>429</v>
      </c>
      <c r="D973" s="114" t="s">
        <v>17</v>
      </c>
      <c r="E973" s="114" t="s">
        <v>2592</v>
      </c>
      <c r="F973" s="115" t="s">
        <v>2593</v>
      </c>
      <c r="G973" s="115" t="s">
        <v>1785</v>
      </c>
      <c r="H973" s="115" t="s">
        <v>2449</v>
      </c>
      <c r="I973" s="114">
        <v>20.558250000000001</v>
      </c>
      <c r="J973" s="114">
        <v>-101.20511</v>
      </c>
      <c r="K973" s="113"/>
      <c r="L973" s="116" t="str">
        <f t="shared" si="44"/>
        <v>Ver en Google Maps</v>
      </c>
      <c r="M973" s="116">
        <v>1</v>
      </c>
      <c r="N973" s="129"/>
      <c r="O973" s="118"/>
      <c r="P973" s="118"/>
      <c r="Q973" s="118"/>
      <c r="R973" s="118"/>
      <c r="S973" s="118"/>
      <c r="T973" s="118"/>
      <c r="U973" s="118"/>
      <c r="V973" s="118"/>
      <c r="W973" s="118"/>
      <c r="X973" s="118"/>
      <c r="Y973" s="118"/>
      <c r="Z973" s="118"/>
      <c r="AA973" s="118"/>
      <c r="AB973" s="118"/>
      <c r="AC973" s="119"/>
      <c r="AD973" s="119"/>
      <c r="AE973" s="118"/>
      <c r="AF973" s="152"/>
    </row>
    <row r="974" spans="1:32" x14ac:dyDescent="0.2">
      <c r="A974" s="121">
        <v>753</v>
      </c>
      <c r="B974" s="122" t="s">
        <v>1204</v>
      </c>
      <c r="C974" s="123" t="s">
        <v>429</v>
      </c>
      <c r="D974" s="123" t="s">
        <v>15</v>
      </c>
      <c r="E974" s="123" t="s">
        <v>2594</v>
      </c>
      <c r="F974" s="124" t="s">
        <v>2595</v>
      </c>
      <c r="G974" s="124" t="s">
        <v>2678</v>
      </c>
      <c r="H974" s="124" t="s">
        <v>2449</v>
      </c>
      <c r="I974" s="123">
        <v>20.559913999999999</v>
      </c>
      <c r="J974" s="123">
        <v>-101.197333</v>
      </c>
      <c r="K974" s="122"/>
      <c r="L974" s="125" t="str">
        <f t="shared" si="44"/>
        <v>Ver en Google Maps</v>
      </c>
      <c r="M974" s="125">
        <v>2</v>
      </c>
      <c r="N974" s="130"/>
      <c r="O974" s="109"/>
      <c r="P974" s="109"/>
      <c r="Q974" s="109"/>
      <c r="R974" s="109"/>
      <c r="S974" s="109"/>
      <c r="T974" s="109"/>
      <c r="U974" s="109"/>
      <c r="V974" s="109"/>
      <c r="W974" s="109"/>
      <c r="X974" s="109"/>
      <c r="Y974" s="109"/>
      <c r="Z974" s="109"/>
      <c r="AA974" s="109"/>
      <c r="AB974" s="109"/>
      <c r="AC974" s="110"/>
      <c r="AD974" s="110"/>
      <c r="AE974" s="109"/>
      <c r="AF974" s="151"/>
    </row>
    <row r="975" spans="1:32" x14ac:dyDescent="0.2">
      <c r="A975" s="112">
        <v>788</v>
      </c>
      <c r="B975" s="113" t="s">
        <v>1204</v>
      </c>
      <c r="C975" s="114" t="s">
        <v>429</v>
      </c>
      <c r="D975" s="114" t="s">
        <v>132</v>
      </c>
      <c r="E975" s="114" t="s">
        <v>2596</v>
      </c>
      <c r="F975" s="115" t="s">
        <v>2597</v>
      </c>
      <c r="G975" s="115" t="s">
        <v>2679</v>
      </c>
      <c r="H975" s="115" t="s">
        <v>2449</v>
      </c>
      <c r="I975" s="114">
        <v>20.556531</v>
      </c>
      <c r="J975" s="114">
        <v>-101.220894</v>
      </c>
      <c r="K975" s="113"/>
      <c r="L975" s="116" t="str">
        <f t="shared" ref="L975:L1040" si="47">HYPERLINK("https://www.google.com/maps?q=" &amp; I975 &amp; "," &amp; J975, "Ver en Google Maps")</f>
        <v>Ver en Google Maps</v>
      </c>
      <c r="M975" s="116">
        <v>2</v>
      </c>
      <c r="N975" s="129"/>
      <c r="O975" s="118"/>
      <c r="P975" s="118"/>
      <c r="Q975" s="118"/>
      <c r="R975" s="118"/>
      <c r="S975" s="118"/>
      <c r="T975" s="118"/>
      <c r="U975" s="118"/>
      <c r="V975" s="118"/>
      <c r="W975" s="118"/>
      <c r="X975" s="118"/>
      <c r="Y975" s="118"/>
      <c r="Z975" s="118"/>
      <c r="AA975" s="118"/>
      <c r="AB975" s="118"/>
      <c r="AC975" s="119"/>
      <c r="AD975" s="119"/>
      <c r="AE975" s="118"/>
      <c r="AF975" s="152"/>
    </row>
    <row r="976" spans="1:32" x14ac:dyDescent="0.2">
      <c r="A976" s="121">
        <v>801</v>
      </c>
      <c r="B976" s="122" t="s">
        <v>1204</v>
      </c>
      <c r="C976" s="123" t="s">
        <v>429</v>
      </c>
      <c r="D976" s="123" t="s">
        <v>132</v>
      </c>
      <c r="E976" s="123" t="s">
        <v>2598</v>
      </c>
      <c r="F976" s="124" t="s">
        <v>2599</v>
      </c>
      <c r="G976" s="124" t="s">
        <v>2649</v>
      </c>
      <c r="H976" s="124" t="s">
        <v>2449</v>
      </c>
      <c r="I976" s="123">
        <v>20.557220000000001</v>
      </c>
      <c r="J976" s="123">
        <v>-101.18300000000001</v>
      </c>
      <c r="K976" s="122"/>
      <c r="L976" s="125" t="str">
        <f t="shared" si="47"/>
        <v>Ver en Google Maps</v>
      </c>
      <c r="M976" s="125">
        <v>2</v>
      </c>
      <c r="N976" s="130"/>
      <c r="O976" s="109"/>
      <c r="P976" s="109"/>
      <c r="Q976" s="109"/>
      <c r="R976" s="109"/>
      <c r="S976" s="109"/>
      <c r="T976" s="109"/>
      <c r="U976" s="109"/>
      <c r="V976" s="109"/>
      <c r="W976" s="109"/>
      <c r="X976" s="109"/>
      <c r="Y976" s="109"/>
      <c r="Z976" s="109"/>
      <c r="AA976" s="109"/>
      <c r="AB976" s="109"/>
      <c r="AC976" s="110"/>
      <c r="AD976" s="110"/>
      <c r="AE976" s="109"/>
      <c r="AF976" s="151"/>
    </row>
    <row r="977" spans="1:32" x14ac:dyDescent="0.2">
      <c r="A977" s="112">
        <v>809</v>
      </c>
      <c r="B977" s="113" t="s">
        <v>1204</v>
      </c>
      <c r="C977" s="114" t="s">
        <v>350</v>
      </c>
      <c r="D977" s="114" t="s">
        <v>404</v>
      </c>
      <c r="E977" s="114" t="s">
        <v>2600</v>
      </c>
      <c r="F977" s="115" t="s">
        <v>2601</v>
      </c>
      <c r="G977" s="115" t="s">
        <v>1785</v>
      </c>
      <c r="H977" s="115" t="s">
        <v>2449</v>
      </c>
      <c r="I977" s="114">
        <v>20.559443999999999</v>
      </c>
      <c r="J977" s="114">
        <v>-101.202836</v>
      </c>
      <c r="K977" s="113"/>
      <c r="L977" s="116" t="str">
        <f t="shared" si="47"/>
        <v>Ver en Google Maps</v>
      </c>
      <c r="M977" s="116">
        <v>1</v>
      </c>
      <c r="N977" s="129"/>
      <c r="O977" s="118"/>
      <c r="P977" s="118"/>
      <c r="Q977" s="118"/>
      <c r="R977" s="118"/>
      <c r="S977" s="118"/>
      <c r="T977" s="118"/>
      <c r="U977" s="118"/>
      <c r="V977" s="118"/>
      <c r="W977" s="118"/>
      <c r="X977" s="118"/>
      <c r="Y977" s="118"/>
      <c r="Z977" s="118"/>
      <c r="AA977" s="118"/>
      <c r="AB977" s="118"/>
      <c r="AC977" s="119"/>
      <c r="AD977" s="119"/>
      <c r="AE977" s="118"/>
      <c r="AF977" s="152"/>
    </row>
    <row r="978" spans="1:32" x14ac:dyDescent="0.2">
      <c r="A978" s="121">
        <v>810</v>
      </c>
      <c r="B978" s="122" t="s">
        <v>1204</v>
      </c>
      <c r="C978" s="123" t="s">
        <v>350</v>
      </c>
      <c r="D978" s="123" t="s">
        <v>404</v>
      </c>
      <c r="E978" s="123" t="s">
        <v>2602</v>
      </c>
      <c r="F978" s="124" t="s">
        <v>2603</v>
      </c>
      <c r="G978" s="124" t="s">
        <v>2680</v>
      </c>
      <c r="H978" s="124" t="s">
        <v>2449</v>
      </c>
      <c r="I978" s="123">
        <v>20.554400000000001</v>
      </c>
      <c r="J978" s="123">
        <v>-101.19996</v>
      </c>
      <c r="K978" s="122"/>
      <c r="L978" s="125" t="str">
        <f t="shared" si="47"/>
        <v>Ver en Google Maps</v>
      </c>
      <c r="M978" s="125">
        <v>1</v>
      </c>
      <c r="N978" s="130"/>
      <c r="O978" s="109"/>
      <c r="P978" s="109"/>
      <c r="Q978" s="109"/>
      <c r="R978" s="109"/>
      <c r="S978" s="109"/>
      <c r="T978" s="109"/>
      <c r="U978" s="109"/>
      <c r="V978" s="109"/>
      <c r="W978" s="109"/>
      <c r="X978" s="109"/>
      <c r="Y978" s="109"/>
      <c r="Z978" s="109"/>
      <c r="AA978" s="109"/>
      <c r="AB978" s="109"/>
      <c r="AC978" s="110"/>
      <c r="AD978" s="110"/>
      <c r="AE978" s="109"/>
      <c r="AF978" s="151"/>
    </row>
    <row r="979" spans="1:32" x14ac:dyDescent="0.2">
      <c r="A979" s="112">
        <v>863</v>
      </c>
      <c r="B979" s="113" t="s">
        <v>1204</v>
      </c>
      <c r="C979" s="114" t="s">
        <v>14</v>
      </c>
      <c r="D979" s="114" t="s">
        <v>404</v>
      </c>
      <c r="E979" s="114" t="s">
        <v>2604</v>
      </c>
      <c r="F979" s="115" t="s">
        <v>2605</v>
      </c>
      <c r="G979" s="115" t="s">
        <v>1231</v>
      </c>
      <c r="H979" s="115" t="s">
        <v>2449</v>
      </c>
      <c r="I979" s="114">
        <v>20.571918</v>
      </c>
      <c r="J979" s="114">
        <v>-101.204093</v>
      </c>
      <c r="K979" s="113"/>
      <c r="L979" s="116" t="str">
        <f t="shared" si="47"/>
        <v>Ver en Google Maps</v>
      </c>
      <c r="M979" s="116">
        <v>1</v>
      </c>
      <c r="N979" s="129"/>
      <c r="O979" s="118"/>
      <c r="P979" s="118"/>
      <c r="Q979" s="118"/>
      <c r="R979" s="118"/>
      <c r="S979" s="118"/>
      <c r="T979" s="118"/>
      <c r="U979" s="118"/>
      <c r="V979" s="118"/>
      <c r="W979" s="118"/>
      <c r="X979" s="118"/>
      <c r="Y979" s="118"/>
      <c r="Z979" s="118"/>
      <c r="AA979" s="118"/>
      <c r="AB979" s="118"/>
      <c r="AC979" s="119"/>
      <c r="AD979" s="119"/>
      <c r="AE979" s="118"/>
      <c r="AF979" s="152"/>
    </row>
    <row r="980" spans="1:32" x14ac:dyDescent="0.2">
      <c r="A980" s="121">
        <v>883</v>
      </c>
      <c r="B980" s="122" t="s">
        <v>1204</v>
      </c>
      <c r="C980" s="123" t="s">
        <v>14</v>
      </c>
      <c r="D980" s="123" t="s">
        <v>404</v>
      </c>
      <c r="E980" s="123" t="s">
        <v>2606</v>
      </c>
      <c r="F980" s="124" t="s">
        <v>2607</v>
      </c>
      <c r="G980" s="124" t="s">
        <v>1231</v>
      </c>
      <c r="H980" s="124" t="s">
        <v>2449</v>
      </c>
      <c r="I980" s="123">
        <v>20.568100000000001</v>
      </c>
      <c r="J980" s="123">
        <v>-101.199</v>
      </c>
      <c r="K980" s="122"/>
      <c r="L980" s="125" t="str">
        <f t="shared" si="47"/>
        <v>Ver en Google Maps</v>
      </c>
      <c r="M980" s="125">
        <v>1</v>
      </c>
      <c r="N980" s="130"/>
      <c r="O980" s="109"/>
      <c r="P980" s="109"/>
      <c r="Q980" s="109"/>
      <c r="R980" s="109"/>
      <c r="S980" s="109"/>
      <c r="T980" s="109"/>
      <c r="U980" s="109"/>
      <c r="V980" s="109"/>
      <c r="W980" s="109"/>
      <c r="X980" s="109"/>
      <c r="Y980" s="109"/>
      <c r="Z980" s="109"/>
      <c r="AA980" s="109"/>
      <c r="AB980" s="109"/>
      <c r="AC980" s="110"/>
      <c r="AD980" s="110"/>
      <c r="AE980" s="109"/>
      <c r="AF980" s="151"/>
    </row>
    <row r="981" spans="1:32" x14ac:dyDescent="0.2">
      <c r="A981" s="112">
        <v>888</v>
      </c>
      <c r="B981" s="113" t="s">
        <v>1204</v>
      </c>
      <c r="C981" s="114" t="s">
        <v>14</v>
      </c>
      <c r="D981" s="114" t="s">
        <v>404</v>
      </c>
      <c r="E981" s="114" t="s">
        <v>2608</v>
      </c>
      <c r="F981" s="115" t="s">
        <v>2609</v>
      </c>
      <c r="G981" s="115" t="s">
        <v>2681</v>
      </c>
      <c r="H981" s="115" t="s">
        <v>2449</v>
      </c>
      <c r="I981" s="114">
        <v>20.588001999999999</v>
      </c>
      <c r="J981" s="114">
        <v>-101.21852699999999</v>
      </c>
      <c r="K981" s="113"/>
      <c r="L981" s="116" t="str">
        <f t="shared" si="47"/>
        <v>Ver en Google Maps</v>
      </c>
      <c r="M981" s="116">
        <v>1</v>
      </c>
      <c r="N981" s="129"/>
      <c r="O981" s="118"/>
      <c r="P981" s="118"/>
      <c r="Q981" s="118"/>
      <c r="R981" s="118"/>
      <c r="S981" s="118"/>
      <c r="T981" s="118"/>
      <c r="U981" s="118"/>
      <c r="V981" s="118"/>
      <c r="W981" s="118"/>
      <c r="X981" s="118"/>
      <c r="Y981" s="118"/>
      <c r="Z981" s="118"/>
      <c r="AA981" s="118"/>
      <c r="AB981" s="118"/>
      <c r="AC981" s="119"/>
      <c r="AD981" s="119"/>
      <c r="AE981" s="118"/>
      <c r="AF981" s="152"/>
    </row>
    <row r="982" spans="1:32" x14ac:dyDescent="0.2">
      <c r="A982" s="121">
        <v>917</v>
      </c>
      <c r="B982" s="122" t="s">
        <v>1204</v>
      </c>
      <c r="C982" s="123" t="s">
        <v>14</v>
      </c>
      <c r="D982" s="123" t="s">
        <v>404</v>
      </c>
      <c r="E982" s="123" t="s">
        <v>2610</v>
      </c>
      <c r="F982" s="124" t="s">
        <v>2611</v>
      </c>
      <c r="G982" s="124" t="s">
        <v>2682</v>
      </c>
      <c r="H982" s="124" t="s">
        <v>2449</v>
      </c>
      <c r="I982" s="123">
        <v>20.594223</v>
      </c>
      <c r="J982" s="123">
        <v>-101.189674</v>
      </c>
      <c r="K982" s="122" t="s">
        <v>139</v>
      </c>
      <c r="L982" s="125" t="str">
        <f t="shared" si="47"/>
        <v>Ver en Google Maps</v>
      </c>
      <c r="M982" s="125">
        <v>1</v>
      </c>
      <c r="N982" s="108">
        <v>45941</v>
      </c>
      <c r="O982" s="109">
        <f>DAY('BD1'!$N982)</f>
        <v>11</v>
      </c>
      <c r="P982" s="109">
        <f>MONTH('BD1'!$N982)</f>
        <v>10</v>
      </c>
      <c r="Q982" s="109">
        <f>YEAR('BD1'!$N982)</f>
        <v>2025</v>
      </c>
      <c r="R982" s="109">
        <v>1</v>
      </c>
      <c r="S982" s="109" t="s">
        <v>138</v>
      </c>
      <c r="T982" s="109" t="s">
        <v>138</v>
      </c>
      <c r="U982" s="109" t="s">
        <v>138</v>
      </c>
      <c r="V982" s="109" t="s">
        <v>934</v>
      </c>
      <c r="W982" s="109" t="s">
        <v>138</v>
      </c>
      <c r="X982" s="109" t="s">
        <v>138</v>
      </c>
      <c r="Y982" s="109" t="s">
        <v>138</v>
      </c>
      <c r="Z982" s="109" t="s">
        <v>934</v>
      </c>
      <c r="AA982" s="109">
        <v>1.52</v>
      </c>
      <c r="AB982" s="109">
        <v>0.85</v>
      </c>
      <c r="AC982" s="110" t="s">
        <v>3023</v>
      </c>
      <c r="AD982" s="110" t="s">
        <v>957</v>
      </c>
      <c r="AE982" s="109">
        <f t="shared" si="46"/>
        <v>6</v>
      </c>
      <c r="AF982" s="151" t="str">
        <f t="shared" si="45"/>
        <v>Funcional con observaciones</v>
      </c>
    </row>
    <row r="983" spans="1:32" x14ac:dyDescent="0.2">
      <c r="A983" s="112">
        <v>938</v>
      </c>
      <c r="B983" s="113" t="s">
        <v>1204</v>
      </c>
      <c r="C983" s="114" t="s">
        <v>429</v>
      </c>
      <c r="D983" s="114" t="s">
        <v>132</v>
      </c>
      <c r="E983" s="114" t="s">
        <v>2612</v>
      </c>
      <c r="F983" s="115" t="s">
        <v>2613</v>
      </c>
      <c r="G983" s="115" t="s">
        <v>2683</v>
      </c>
      <c r="H983" s="115" t="s">
        <v>2449</v>
      </c>
      <c r="I983" s="114">
        <v>20.557234000000001</v>
      </c>
      <c r="J983" s="114">
        <v>-101.19852400000001</v>
      </c>
      <c r="K983" s="113"/>
      <c r="L983" s="116" t="str">
        <f t="shared" si="47"/>
        <v>Ver en Google Maps</v>
      </c>
      <c r="M983" s="116">
        <v>3</v>
      </c>
      <c r="N983" s="129"/>
      <c r="O983" s="118"/>
      <c r="P983" s="118"/>
      <c r="Q983" s="118"/>
      <c r="R983" s="118"/>
      <c r="S983" s="118"/>
      <c r="T983" s="118"/>
      <c r="U983" s="118"/>
      <c r="V983" s="118"/>
      <c r="W983" s="118"/>
      <c r="X983" s="118"/>
      <c r="Y983" s="118"/>
      <c r="Z983" s="118"/>
      <c r="AA983" s="118"/>
      <c r="AB983" s="118"/>
      <c r="AC983" s="119"/>
      <c r="AD983" s="119"/>
      <c r="AE983" s="118"/>
      <c r="AF983" s="152"/>
    </row>
    <row r="984" spans="1:32" x14ac:dyDescent="0.2">
      <c r="A984" s="121">
        <v>954</v>
      </c>
      <c r="B984" s="122" t="s">
        <v>1204</v>
      </c>
      <c r="C984" s="123" t="s">
        <v>429</v>
      </c>
      <c r="D984" s="123" t="s">
        <v>132</v>
      </c>
      <c r="E984" s="123" t="s">
        <v>2614</v>
      </c>
      <c r="F984" s="124" t="s">
        <v>2615</v>
      </c>
      <c r="G984" s="124" t="s">
        <v>2684</v>
      </c>
      <c r="H984" s="124" t="s">
        <v>2449</v>
      </c>
      <c r="I984" s="123">
        <v>20.524308000000001</v>
      </c>
      <c r="J984" s="123">
        <v>-101.200052</v>
      </c>
      <c r="K984" s="122"/>
      <c r="L984" s="125" t="str">
        <f t="shared" si="47"/>
        <v>Ver en Google Maps</v>
      </c>
      <c r="M984" s="125">
        <v>2</v>
      </c>
      <c r="N984" s="130"/>
      <c r="O984" s="109"/>
      <c r="P984" s="109"/>
      <c r="Q984" s="109"/>
      <c r="R984" s="109"/>
      <c r="S984" s="109"/>
      <c r="T984" s="109"/>
      <c r="U984" s="109"/>
      <c r="V984" s="109"/>
      <c r="W984" s="109"/>
      <c r="X984" s="109"/>
      <c r="Y984" s="109"/>
      <c r="Z984" s="109"/>
      <c r="AA984" s="109"/>
      <c r="AB984" s="109"/>
      <c r="AC984" s="110"/>
      <c r="AD984" s="110"/>
      <c r="AE984" s="109"/>
      <c r="AF984" s="151"/>
    </row>
    <row r="985" spans="1:32" x14ac:dyDescent="0.2">
      <c r="A985" s="112">
        <v>993</v>
      </c>
      <c r="B985" s="113" t="s">
        <v>1204</v>
      </c>
      <c r="C985" s="114" t="s">
        <v>87</v>
      </c>
      <c r="D985" s="114" t="s">
        <v>805</v>
      </c>
      <c r="E985" s="114" t="s">
        <v>2616</v>
      </c>
      <c r="F985" s="115" t="s">
        <v>2617</v>
      </c>
      <c r="G985" s="115" t="s">
        <v>2685</v>
      </c>
      <c r="H985" s="115" t="s">
        <v>2449</v>
      </c>
      <c r="I985" s="114">
        <v>20.548335999999999</v>
      </c>
      <c r="J985" s="114">
        <v>-101.203763</v>
      </c>
      <c r="K985" s="113"/>
      <c r="L985" s="116" t="str">
        <f t="shared" si="47"/>
        <v>Ver en Google Maps</v>
      </c>
      <c r="M985" s="116">
        <v>2</v>
      </c>
      <c r="N985" s="129"/>
      <c r="O985" s="118"/>
      <c r="P985" s="118"/>
      <c r="Q985" s="118"/>
      <c r="R985" s="118"/>
      <c r="S985" s="118"/>
      <c r="T985" s="118"/>
      <c r="U985" s="118"/>
      <c r="V985" s="118"/>
      <c r="W985" s="118"/>
      <c r="X985" s="118"/>
      <c r="Y985" s="118"/>
      <c r="Z985" s="118"/>
      <c r="AA985" s="118"/>
      <c r="AB985" s="118"/>
      <c r="AC985" s="119"/>
      <c r="AD985" s="119"/>
      <c r="AE985" s="118"/>
      <c r="AF985" s="152"/>
    </row>
    <row r="986" spans="1:32" x14ac:dyDescent="0.2">
      <c r="A986" s="121">
        <v>1007</v>
      </c>
      <c r="B986" s="122" t="s">
        <v>1204</v>
      </c>
      <c r="C986" s="123" t="s">
        <v>87</v>
      </c>
      <c r="D986" s="123" t="s">
        <v>563</v>
      </c>
      <c r="E986" s="123" t="s">
        <v>2618</v>
      </c>
      <c r="F986" s="124" t="s">
        <v>2619</v>
      </c>
      <c r="G986" s="124" t="s">
        <v>2686</v>
      </c>
      <c r="H986" s="124" t="s">
        <v>2449</v>
      </c>
      <c r="I986" s="123">
        <v>20.567720999999999</v>
      </c>
      <c r="J986" s="123">
        <v>-101.182665</v>
      </c>
      <c r="K986" s="122" t="s">
        <v>139</v>
      </c>
      <c r="L986" s="125" t="str">
        <f t="shared" si="47"/>
        <v>Ver en Google Maps</v>
      </c>
      <c r="M986" s="125">
        <v>2</v>
      </c>
      <c r="N986" s="108">
        <v>45941</v>
      </c>
      <c r="O986" s="109">
        <f>DAY('BD1'!$N986)</f>
        <v>11</v>
      </c>
      <c r="P986" s="109">
        <f>MONTH('BD1'!$N986)</f>
        <v>10</v>
      </c>
      <c r="Q986" s="109">
        <f>YEAR('BD1'!$N986)</f>
        <v>2025</v>
      </c>
      <c r="R986" s="109">
        <v>1</v>
      </c>
      <c r="S986" s="109" t="s">
        <v>138</v>
      </c>
      <c r="T986" s="109" t="s">
        <v>138</v>
      </c>
      <c r="U986" s="109" t="s">
        <v>138</v>
      </c>
      <c r="V986" s="109" t="s">
        <v>138</v>
      </c>
      <c r="W986" s="109" t="s">
        <v>138</v>
      </c>
      <c r="X986" s="109" t="s">
        <v>138</v>
      </c>
      <c r="Y986" s="109" t="s">
        <v>138</v>
      </c>
      <c r="Z986" s="109" t="s">
        <v>138</v>
      </c>
      <c r="AA986" s="109">
        <v>101</v>
      </c>
      <c r="AB986" s="109">
        <v>119</v>
      </c>
      <c r="AC986" s="110" t="s">
        <v>967</v>
      </c>
      <c r="AD986" s="110" t="s">
        <v>957</v>
      </c>
      <c r="AE986" s="109">
        <f t="shared" si="46"/>
        <v>8</v>
      </c>
      <c r="AF986" s="151" t="str">
        <f t="shared" si="45"/>
        <v>Estable</v>
      </c>
    </row>
    <row r="987" spans="1:32" x14ac:dyDescent="0.2">
      <c r="A987" s="112">
        <v>1020</v>
      </c>
      <c r="B987" s="113" t="s">
        <v>1204</v>
      </c>
      <c r="C987" s="114" t="s">
        <v>87</v>
      </c>
      <c r="D987" s="114" t="s">
        <v>782</v>
      </c>
      <c r="E987" s="114" t="s">
        <v>2620</v>
      </c>
      <c r="F987" s="115" t="s">
        <v>2621</v>
      </c>
      <c r="G987" s="115" t="s">
        <v>2641</v>
      </c>
      <c r="H987" s="115" t="s">
        <v>2449</v>
      </c>
      <c r="I987" s="114">
        <v>20.581654</v>
      </c>
      <c r="J987" s="114">
        <v>-101.197132</v>
      </c>
      <c r="K987" s="113" t="s">
        <v>139</v>
      </c>
      <c r="L987" s="116" t="str">
        <f t="shared" si="47"/>
        <v>Ver en Google Maps</v>
      </c>
      <c r="M987" s="116">
        <v>2</v>
      </c>
      <c r="N987" s="117">
        <v>45941</v>
      </c>
      <c r="O987" s="118">
        <f>DAY('BD1'!$N987)</f>
        <v>11</v>
      </c>
      <c r="P987" s="118">
        <f>MONTH('BD1'!$N987)</f>
        <v>10</v>
      </c>
      <c r="Q987" s="118">
        <f>YEAR('BD1'!$N987)</f>
        <v>2025</v>
      </c>
      <c r="R987" s="118">
        <v>1</v>
      </c>
      <c r="S987" s="118" t="s">
        <v>138</v>
      </c>
      <c r="T987" s="118" t="s">
        <v>138</v>
      </c>
      <c r="U987" s="118" t="s">
        <v>138</v>
      </c>
      <c r="V987" s="118" t="s">
        <v>138</v>
      </c>
      <c r="W987" s="118" t="s">
        <v>138</v>
      </c>
      <c r="X987" s="118" t="s">
        <v>138</v>
      </c>
      <c r="Y987" s="118" t="s">
        <v>138</v>
      </c>
      <c r="Z987" s="118" t="s">
        <v>138</v>
      </c>
      <c r="AA987" s="118">
        <v>79.3</v>
      </c>
      <c r="AB987" s="118">
        <v>44.2</v>
      </c>
      <c r="AC987" s="119" t="s">
        <v>967</v>
      </c>
      <c r="AD987" s="119" t="s">
        <v>957</v>
      </c>
      <c r="AE987" s="118">
        <f t="shared" si="46"/>
        <v>8</v>
      </c>
      <c r="AF987" s="152" t="str">
        <f t="shared" si="45"/>
        <v>Estable</v>
      </c>
    </row>
    <row r="988" spans="1:32" x14ac:dyDescent="0.2">
      <c r="A988" s="121">
        <v>1043</v>
      </c>
      <c r="B988" s="122" t="s">
        <v>1204</v>
      </c>
      <c r="C988" s="123" t="s">
        <v>87</v>
      </c>
      <c r="D988" s="123" t="s">
        <v>782</v>
      </c>
      <c r="E988" s="123" t="s">
        <v>2622</v>
      </c>
      <c r="F988" s="124" t="s">
        <v>2623</v>
      </c>
      <c r="G988" s="124" t="s">
        <v>2687</v>
      </c>
      <c r="H988" s="124" t="s">
        <v>2449</v>
      </c>
      <c r="I988" s="123">
        <v>20.591002</v>
      </c>
      <c r="J988" s="123">
        <v>-101.218755</v>
      </c>
      <c r="K988" s="122"/>
      <c r="L988" s="125" t="str">
        <f t="shared" si="47"/>
        <v>Ver en Google Maps</v>
      </c>
      <c r="M988" s="125">
        <v>4</v>
      </c>
      <c r="N988" s="130"/>
      <c r="O988" s="109"/>
      <c r="P988" s="109"/>
      <c r="Q988" s="109"/>
      <c r="R988" s="109"/>
      <c r="S988" s="109"/>
      <c r="T988" s="109"/>
      <c r="U988" s="109"/>
      <c r="V988" s="109"/>
      <c r="W988" s="109"/>
      <c r="X988" s="109"/>
      <c r="Y988" s="109"/>
      <c r="Z988" s="109"/>
      <c r="AA988" s="109"/>
      <c r="AB988" s="109"/>
      <c r="AC988" s="110"/>
      <c r="AD988" s="110"/>
      <c r="AE988" s="109"/>
      <c r="AF988" s="151"/>
    </row>
    <row r="989" spans="1:32" x14ac:dyDescent="0.2">
      <c r="A989" s="112">
        <v>1051</v>
      </c>
      <c r="B989" s="113" t="s">
        <v>1204</v>
      </c>
      <c r="C989" s="114" t="s">
        <v>87</v>
      </c>
      <c r="D989" s="114" t="s">
        <v>563</v>
      </c>
      <c r="E989" s="114" t="s">
        <v>2624</v>
      </c>
      <c r="F989" s="115" t="s">
        <v>2625</v>
      </c>
      <c r="G989" s="115" t="s">
        <v>1789</v>
      </c>
      <c r="H989" s="115" t="s">
        <v>2449</v>
      </c>
      <c r="I989" s="114">
        <v>20.594636999999999</v>
      </c>
      <c r="J989" s="114">
        <v>-101.20295</v>
      </c>
      <c r="K989" s="113"/>
      <c r="L989" s="116" t="str">
        <f t="shared" si="47"/>
        <v>Ver en Google Maps</v>
      </c>
      <c r="M989" s="116">
        <v>2</v>
      </c>
      <c r="N989" s="129"/>
      <c r="O989" s="118"/>
      <c r="P989" s="118"/>
      <c r="Q989" s="118"/>
      <c r="R989" s="118"/>
      <c r="S989" s="118"/>
      <c r="T989" s="118"/>
      <c r="U989" s="118"/>
      <c r="V989" s="118"/>
      <c r="W989" s="118"/>
      <c r="X989" s="118"/>
      <c r="Y989" s="118"/>
      <c r="Z989" s="118"/>
      <c r="AA989" s="118"/>
      <c r="AB989" s="118"/>
      <c r="AC989" s="119"/>
      <c r="AD989" s="119"/>
      <c r="AE989" s="118"/>
      <c r="AF989" s="152"/>
    </row>
    <row r="990" spans="1:32" x14ac:dyDescent="0.2">
      <c r="A990" s="121">
        <v>1059</v>
      </c>
      <c r="B990" s="122" t="s">
        <v>1204</v>
      </c>
      <c r="C990" s="123" t="s">
        <v>14</v>
      </c>
      <c r="D990" s="123" t="s">
        <v>735</v>
      </c>
      <c r="E990" s="123" t="s">
        <v>2626</v>
      </c>
      <c r="F990" s="124" t="s">
        <v>2627</v>
      </c>
      <c r="G990" s="124" t="s">
        <v>2650</v>
      </c>
      <c r="H990" s="124" t="s">
        <v>2449</v>
      </c>
      <c r="I990" s="123">
        <v>20.568480000000001</v>
      </c>
      <c r="J990" s="123">
        <v>-101.21537499999999</v>
      </c>
      <c r="K990" s="122"/>
      <c r="L990" s="125" t="str">
        <f t="shared" si="47"/>
        <v>Ver en Google Maps</v>
      </c>
      <c r="M990" s="125">
        <v>2</v>
      </c>
      <c r="N990" s="130"/>
      <c r="O990" s="109"/>
      <c r="P990" s="109"/>
      <c r="Q990" s="109"/>
      <c r="R990" s="109"/>
      <c r="S990" s="109"/>
      <c r="T990" s="109"/>
      <c r="U990" s="109"/>
      <c r="V990" s="109"/>
      <c r="W990" s="109"/>
      <c r="X990" s="109"/>
      <c r="Y990" s="109"/>
      <c r="Z990" s="109"/>
      <c r="AA990" s="109"/>
      <c r="AB990" s="109"/>
      <c r="AC990" s="110"/>
      <c r="AD990" s="110"/>
      <c r="AE990" s="109"/>
      <c r="AF990" s="151"/>
    </row>
    <row r="991" spans="1:32" x14ac:dyDescent="0.2">
      <c r="A991" s="112">
        <v>1060</v>
      </c>
      <c r="B991" s="113" t="s">
        <v>1204</v>
      </c>
      <c r="C991" s="114" t="s">
        <v>14</v>
      </c>
      <c r="D991" s="114" t="s">
        <v>735</v>
      </c>
      <c r="E991" s="114" t="s">
        <v>2628</v>
      </c>
      <c r="F991" s="115" t="s">
        <v>2629</v>
      </c>
      <c r="G991" s="115" t="s">
        <v>2676</v>
      </c>
      <c r="H991" s="115" t="s">
        <v>2449</v>
      </c>
      <c r="I991" s="114">
        <v>20.554542000000001</v>
      </c>
      <c r="J991" s="114">
        <v>-101.192831</v>
      </c>
      <c r="K991" s="113"/>
      <c r="L991" s="116" t="str">
        <f t="shared" si="47"/>
        <v>Ver en Google Maps</v>
      </c>
      <c r="M991" s="116">
        <v>2</v>
      </c>
      <c r="N991" s="129"/>
      <c r="O991" s="118"/>
      <c r="P991" s="118"/>
      <c r="Q991" s="118"/>
      <c r="R991" s="118"/>
      <c r="S991" s="118"/>
      <c r="T991" s="118"/>
      <c r="U991" s="118"/>
      <c r="V991" s="118"/>
      <c r="W991" s="118"/>
      <c r="X991" s="118"/>
      <c r="Y991" s="118"/>
      <c r="Z991" s="118"/>
      <c r="AA991" s="118"/>
      <c r="AB991" s="118"/>
      <c r="AC991" s="119"/>
      <c r="AD991" s="119"/>
      <c r="AE991" s="118"/>
      <c r="AF991" s="152"/>
    </row>
    <row r="992" spans="1:32" x14ac:dyDescent="0.2">
      <c r="A992" s="121">
        <v>1072</v>
      </c>
      <c r="B992" s="122" t="s">
        <v>1204</v>
      </c>
      <c r="C992" s="123" t="s">
        <v>429</v>
      </c>
      <c r="D992" s="123" t="s">
        <v>132</v>
      </c>
      <c r="E992" s="123" t="s">
        <v>2630</v>
      </c>
      <c r="F992" s="124" t="s">
        <v>2631</v>
      </c>
      <c r="G992" s="124" t="s">
        <v>2664</v>
      </c>
      <c r="H992" s="124" t="s">
        <v>2449</v>
      </c>
      <c r="I992" s="123">
        <v>20.54674</v>
      </c>
      <c r="J992" s="123">
        <v>-101.20717</v>
      </c>
      <c r="K992" s="122"/>
      <c r="L992" s="125" t="str">
        <f t="shared" si="47"/>
        <v>Ver en Google Maps</v>
      </c>
      <c r="M992" s="125">
        <v>2</v>
      </c>
      <c r="N992" s="130"/>
      <c r="O992" s="109"/>
      <c r="P992" s="109"/>
      <c r="Q992" s="109"/>
      <c r="R992" s="109"/>
      <c r="S992" s="109"/>
      <c r="T992" s="109"/>
      <c r="U992" s="109"/>
      <c r="V992" s="109"/>
      <c r="W992" s="109"/>
      <c r="X992" s="109"/>
      <c r="Y992" s="109"/>
      <c r="Z992" s="109"/>
      <c r="AA992" s="109"/>
      <c r="AB992" s="109"/>
      <c r="AC992" s="110"/>
      <c r="AD992" s="110"/>
      <c r="AE992" s="109"/>
      <c r="AF992" s="151"/>
    </row>
    <row r="993" spans="1:32" x14ac:dyDescent="0.2">
      <c r="A993" s="112">
        <v>1073</v>
      </c>
      <c r="B993" s="113" t="s">
        <v>1204</v>
      </c>
      <c r="C993" s="114" t="s">
        <v>429</v>
      </c>
      <c r="D993" s="114" t="s">
        <v>132</v>
      </c>
      <c r="E993" s="114" t="s">
        <v>2632</v>
      </c>
      <c r="F993" s="115" t="s">
        <v>2633</v>
      </c>
      <c r="G993" s="115" t="s">
        <v>2688</v>
      </c>
      <c r="H993" s="115" t="s">
        <v>2449</v>
      </c>
      <c r="I993" s="114">
        <v>20.550219999999999</v>
      </c>
      <c r="J993" s="114">
        <v>-101.195825</v>
      </c>
      <c r="K993" s="113"/>
      <c r="L993" s="116" t="str">
        <f t="shared" si="47"/>
        <v>Ver en Google Maps</v>
      </c>
      <c r="M993" s="116">
        <v>2</v>
      </c>
      <c r="N993" s="129"/>
      <c r="O993" s="118"/>
      <c r="P993" s="118"/>
      <c r="Q993" s="118"/>
      <c r="R993" s="118"/>
      <c r="S993" s="118"/>
      <c r="T993" s="118"/>
      <c r="U993" s="118"/>
      <c r="V993" s="118"/>
      <c r="W993" s="118"/>
      <c r="X993" s="118"/>
      <c r="Y993" s="118"/>
      <c r="Z993" s="118"/>
      <c r="AA993" s="118"/>
      <c r="AB993" s="118"/>
      <c r="AC993" s="119"/>
      <c r="AD993" s="119"/>
      <c r="AE993" s="118"/>
      <c r="AF993" s="152"/>
    </row>
    <row r="994" spans="1:32" ht="12.75" thickBot="1" x14ac:dyDescent="0.25">
      <c r="A994" s="121">
        <v>1088</v>
      </c>
      <c r="B994" s="122" t="s">
        <v>1204</v>
      </c>
      <c r="C994" s="123" t="s">
        <v>350</v>
      </c>
      <c r="D994" s="123" t="s">
        <v>404</v>
      </c>
      <c r="E994" s="123" t="s">
        <v>2634</v>
      </c>
      <c r="F994" s="124" t="s">
        <v>2635</v>
      </c>
      <c r="G994" s="124" t="s">
        <v>1231</v>
      </c>
      <c r="H994" s="124" t="s">
        <v>2449</v>
      </c>
      <c r="I994" s="123">
        <v>20.568828</v>
      </c>
      <c r="J994" s="123">
        <v>-101.19524</v>
      </c>
      <c r="K994" s="122"/>
      <c r="L994" s="125" t="str">
        <f t="shared" si="47"/>
        <v>Ver en Google Maps</v>
      </c>
      <c r="M994" s="125">
        <v>1</v>
      </c>
      <c r="N994" s="130"/>
      <c r="O994" s="109"/>
      <c r="P994" s="109"/>
      <c r="Q994" s="109"/>
      <c r="R994" s="109"/>
      <c r="S994" s="109"/>
      <c r="T994" s="109"/>
      <c r="U994" s="109"/>
      <c r="V994" s="109"/>
      <c r="W994" s="109"/>
      <c r="X994" s="109"/>
      <c r="Y994" s="109"/>
      <c r="Z994" s="109"/>
      <c r="AA994" s="109"/>
      <c r="AB994" s="109"/>
      <c r="AC994" s="110"/>
      <c r="AD994" s="110"/>
      <c r="AE994" s="109"/>
      <c r="AF994" s="151"/>
    </row>
    <row r="995" spans="1:32" x14ac:dyDescent="0.2">
      <c r="A995" s="132">
        <v>48</v>
      </c>
      <c r="B995" s="133" t="s">
        <v>1204</v>
      </c>
      <c r="C995" s="134" t="s">
        <v>7</v>
      </c>
      <c r="D995" s="134" t="s">
        <v>404</v>
      </c>
      <c r="E995" s="134" t="s">
        <v>2689</v>
      </c>
      <c r="F995" s="135" t="s">
        <v>2690</v>
      </c>
      <c r="G995" s="135" t="s">
        <v>2966</v>
      </c>
      <c r="H995" s="135" t="s">
        <v>2691</v>
      </c>
      <c r="I995" s="134">
        <v>20.999652999999999</v>
      </c>
      <c r="J995" s="134">
        <v>-101.29354600000001</v>
      </c>
      <c r="K995" s="133" t="s">
        <v>139</v>
      </c>
      <c r="L995" s="136" t="str">
        <f t="shared" si="47"/>
        <v>Ver en Google Maps</v>
      </c>
      <c r="M995" s="136">
        <v>1</v>
      </c>
      <c r="N995" s="137">
        <v>45944</v>
      </c>
      <c r="O995" s="118">
        <f>DAY('BD1'!$N995)</f>
        <v>14</v>
      </c>
      <c r="P995" s="118">
        <f>MONTH('BD1'!$N995)</f>
        <v>10</v>
      </c>
      <c r="Q995" s="118">
        <f>YEAR('BD1'!$N995)</f>
        <v>2025</v>
      </c>
      <c r="R995" s="118">
        <v>1</v>
      </c>
      <c r="S995" s="118" t="s">
        <v>138</v>
      </c>
      <c r="T995" s="118" t="s">
        <v>138</v>
      </c>
      <c r="U995" s="118" t="s">
        <v>138</v>
      </c>
      <c r="V995" s="118" t="s">
        <v>138</v>
      </c>
      <c r="W995" s="118" t="s">
        <v>138</v>
      </c>
      <c r="X995" s="118" t="s">
        <v>138</v>
      </c>
      <c r="Y995" s="118" t="s">
        <v>138</v>
      </c>
      <c r="Z995" s="118" t="s">
        <v>138</v>
      </c>
      <c r="AA995" s="118">
        <v>92.2</v>
      </c>
      <c r="AB995" s="118">
        <v>46.4</v>
      </c>
      <c r="AC995" s="119" t="s">
        <v>967</v>
      </c>
      <c r="AD995" s="119" t="s">
        <v>2436</v>
      </c>
      <c r="AE995" s="118">
        <f t="shared" si="46"/>
        <v>8</v>
      </c>
      <c r="AF995" s="152" t="str">
        <f t="shared" si="45"/>
        <v>Estable</v>
      </c>
    </row>
    <row r="996" spans="1:32" x14ac:dyDescent="0.2">
      <c r="A996" s="121">
        <v>49</v>
      </c>
      <c r="B996" s="122" t="s">
        <v>1204</v>
      </c>
      <c r="C996" s="123" t="s">
        <v>7</v>
      </c>
      <c r="D996" s="123" t="s">
        <v>404</v>
      </c>
      <c r="E996" s="123" t="s">
        <v>2692</v>
      </c>
      <c r="F996" s="124" t="s">
        <v>2693</v>
      </c>
      <c r="G996" s="124" t="s">
        <v>2967</v>
      </c>
      <c r="H996" s="124" t="s">
        <v>2691</v>
      </c>
      <c r="I996" s="123">
        <v>20.994396999999999</v>
      </c>
      <c r="J996" s="123">
        <v>-101.293952</v>
      </c>
      <c r="K996" s="122" t="s">
        <v>139</v>
      </c>
      <c r="L996" s="125" t="str">
        <f t="shared" si="47"/>
        <v>Ver en Google Maps</v>
      </c>
      <c r="M996" s="125">
        <v>1</v>
      </c>
      <c r="N996" s="138">
        <v>45944</v>
      </c>
      <c r="O996" s="109">
        <f>DAY('BD1'!$N996)</f>
        <v>14</v>
      </c>
      <c r="P996" s="109">
        <f>MONTH('BD1'!$N996)</f>
        <v>10</v>
      </c>
      <c r="Q996" s="109">
        <f>YEAR('BD1'!$N996)</f>
        <v>2025</v>
      </c>
      <c r="R996" s="109">
        <v>1</v>
      </c>
      <c r="S996" s="109" t="s">
        <v>138</v>
      </c>
      <c r="T996" s="109" t="s">
        <v>138</v>
      </c>
      <c r="U996" s="109" t="s">
        <v>138</v>
      </c>
      <c r="V996" s="109" t="s">
        <v>138</v>
      </c>
      <c r="W996" s="109" t="s">
        <v>138</v>
      </c>
      <c r="X996" s="109" t="s">
        <v>138</v>
      </c>
      <c r="Y996" s="109" t="s">
        <v>138</v>
      </c>
      <c r="Z996" s="109" t="s">
        <v>138</v>
      </c>
      <c r="AA996" s="109">
        <v>21</v>
      </c>
      <c r="AB996" s="109">
        <v>1.5</v>
      </c>
      <c r="AC996" s="110" t="s">
        <v>967</v>
      </c>
      <c r="AD996" s="110" t="s">
        <v>2436</v>
      </c>
      <c r="AE996" s="109">
        <f t="shared" si="46"/>
        <v>8</v>
      </c>
      <c r="AF996" s="151" t="str">
        <f t="shared" si="45"/>
        <v>Estable</v>
      </c>
    </row>
    <row r="997" spans="1:32" x14ac:dyDescent="0.2">
      <c r="A997" s="112">
        <v>50</v>
      </c>
      <c r="B997" s="113" t="s">
        <v>1204</v>
      </c>
      <c r="C997" s="114" t="s">
        <v>7</v>
      </c>
      <c r="D997" s="114" t="s">
        <v>404</v>
      </c>
      <c r="E997" s="114" t="s">
        <v>2694</v>
      </c>
      <c r="F997" s="115" t="s">
        <v>2695</v>
      </c>
      <c r="G997" s="115" t="s">
        <v>1212</v>
      </c>
      <c r="H997" s="115" t="s">
        <v>2691</v>
      </c>
      <c r="I997" s="114">
        <v>21.019627</v>
      </c>
      <c r="J997" s="114">
        <v>-101.26364100000001</v>
      </c>
      <c r="K997" s="113" t="s">
        <v>139</v>
      </c>
      <c r="L997" s="116" t="str">
        <f t="shared" si="47"/>
        <v>Ver en Google Maps</v>
      </c>
      <c r="M997" s="116">
        <v>1</v>
      </c>
      <c r="N997" s="137">
        <v>45948</v>
      </c>
      <c r="O997" s="118">
        <f>DAY('BD1'!$N997)</f>
        <v>18</v>
      </c>
      <c r="P997" s="118">
        <f>MONTH('BD1'!$N997)</f>
        <v>10</v>
      </c>
      <c r="Q997" s="118">
        <f>YEAR('BD1'!$N997)</f>
        <v>2025</v>
      </c>
      <c r="R997" s="118">
        <v>1</v>
      </c>
      <c r="S997" s="118" t="s">
        <v>138</v>
      </c>
      <c r="T997" s="118" t="s">
        <v>138</v>
      </c>
      <c r="U997" s="118" t="s">
        <v>138</v>
      </c>
      <c r="V997" s="118" t="s">
        <v>138</v>
      </c>
      <c r="W997" s="118" t="s">
        <v>138</v>
      </c>
      <c r="X997" s="118" t="s">
        <v>138</v>
      </c>
      <c r="Y997" s="118" t="s">
        <v>138</v>
      </c>
      <c r="Z997" s="118" t="s">
        <v>138</v>
      </c>
      <c r="AA997" s="118">
        <v>126</v>
      </c>
      <c r="AB997" s="118">
        <v>90.5</v>
      </c>
      <c r="AC997" s="119" t="s">
        <v>967</v>
      </c>
      <c r="AD997" s="119" t="s">
        <v>2436</v>
      </c>
      <c r="AE997" s="118">
        <f t="shared" si="46"/>
        <v>8</v>
      </c>
      <c r="AF997" s="152" t="str">
        <f t="shared" si="45"/>
        <v>Estable</v>
      </c>
    </row>
    <row r="998" spans="1:32" x14ac:dyDescent="0.2">
      <c r="A998" s="121">
        <v>51</v>
      </c>
      <c r="B998" s="122" t="s">
        <v>1204</v>
      </c>
      <c r="C998" s="123" t="s">
        <v>7</v>
      </c>
      <c r="D998" s="123" t="s">
        <v>404</v>
      </c>
      <c r="E998" s="123" t="s">
        <v>2696</v>
      </c>
      <c r="F998" s="124" t="s">
        <v>2697</v>
      </c>
      <c r="G998" s="124" t="s">
        <v>1212</v>
      </c>
      <c r="H998" s="124" t="s">
        <v>2691</v>
      </c>
      <c r="I998" s="123">
        <v>21.014429</v>
      </c>
      <c r="J998" s="123">
        <v>-101.254447</v>
      </c>
      <c r="K998" s="122" t="s">
        <v>139</v>
      </c>
      <c r="L998" s="125" t="str">
        <f t="shared" si="47"/>
        <v>Ver en Google Maps</v>
      </c>
      <c r="M998" s="125">
        <v>1</v>
      </c>
      <c r="N998" s="138">
        <v>45944</v>
      </c>
      <c r="O998" s="109">
        <f>DAY('BD1'!$N998)</f>
        <v>14</v>
      </c>
      <c r="P998" s="109">
        <f>MONTH('BD1'!$N998)</f>
        <v>10</v>
      </c>
      <c r="Q998" s="109">
        <f>YEAR('BD1'!$N998)</f>
        <v>2025</v>
      </c>
      <c r="R998" s="109">
        <v>1</v>
      </c>
      <c r="S998" s="109" t="s">
        <v>138</v>
      </c>
      <c r="T998" s="109" t="s">
        <v>138</v>
      </c>
      <c r="U998" s="109" t="s">
        <v>138</v>
      </c>
      <c r="V998" s="109" t="s">
        <v>138</v>
      </c>
      <c r="W998" s="109" t="s">
        <v>138</v>
      </c>
      <c r="X998" s="109" t="s">
        <v>138</v>
      </c>
      <c r="Y998" s="109" t="s">
        <v>138</v>
      </c>
      <c r="Z998" s="109" t="s">
        <v>138</v>
      </c>
      <c r="AA998" s="109">
        <v>96.2</v>
      </c>
      <c r="AB998" s="109">
        <v>60.8</v>
      </c>
      <c r="AC998" s="110" t="s">
        <v>967</v>
      </c>
      <c r="AD998" s="110" t="s">
        <v>2436</v>
      </c>
      <c r="AE998" s="109">
        <f t="shared" si="46"/>
        <v>8</v>
      </c>
      <c r="AF998" s="151" t="str">
        <f t="shared" si="45"/>
        <v>Estable</v>
      </c>
    </row>
    <row r="999" spans="1:32" x14ac:dyDescent="0.2">
      <c r="A999" s="112">
        <v>52</v>
      </c>
      <c r="B999" s="113" t="s">
        <v>1204</v>
      </c>
      <c r="C999" s="114" t="s">
        <v>11</v>
      </c>
      <c r="D999" s="114" t="s">
        <v>404</v>
      </c>
      <c r="E999" s="114" t="s">
        <v>2698</v>
      </c>
      <c r="F999" s="115" t="s">
        <v>2699</v>
      </c>
      <c r="G999" s="115" t="s">
        <v>2968</v>
      </c>
      <c r="H999" s="115" t="s">
        <v>2691</v>
      </c>
      <c r="I999" s="114">
        <v>21.007885999999999</v>
      </c>
      <c r="J999" s="114">
        <v>-101.269808</v>
      </c>
      <c r="K999" s="113" t="s">
        <v>139</v>
      </c>
      <c r="L999" s="116" t="str">
        <f t="shared" si="47"/>
        <v>Ver en Google Maps</v>
      </c>
      <c r="M999" s="116">
        <v>1</v>
      </c>
      <c r="N999" s="137">
        <v>45944</v>
      </c>
      <c r="O999" s="118">
        <f>DAY('BD1'!$N999)</f>
        <v>14</v>
      </c>
      <c r="P999" s="118">
        <f>MONTH('BD1'!$N999)</f>
        <v>10</v>
      </c>
      <c r="Q999" s="118">
        <f>YEAR('BD1'!$N999)</f>
        <v>2025</v>
      </c>
      <c r="R999" s="118">
        <v>1</v>
      </c>
      <c r="S999" s="118" t="s">
        <v>138</v>
      </c>
      <c r="T999" s="118" t="s">
        <v>138</v>
      </c>
      <c r="U999" s="118" t="s">
        <v>138</v>
      </c>
      <c r="V999" s="118" t="s">
        <v>138</v>
      </c>
      <c r="W999" s="118" t="s">
        <v>138</v>
      </c>
      <c r="X999" s="118" t="s">
        <v>138</v>
      </c>
      <c r="Y999" s="118" t="s">
        <v>138</v>
      </c>
      <c r="Z999" s="118" t="s">
        <v>138</v>
      </c>
      <c r="AA999" s="118">
        <v>119</v>
      </c>
      <c r="AB999" s="118">
        <v>64.5</v>
      </c>
      <c r="AC999" s="119" t="s">
        <v>967</v>
      </c>
      <c r="AD999" s="119" t="s">
        <v>2436</v>
      </c>
      <c r="AE999" s="118">
        <f t="shared" si="46"/>
        <v>8</v>
      </c>
      <c r="AF999" s="152" t="str">
        <f t="shared" si="45"/>
        <v>Estable</v>
      </c>
    </row>
    <row r="1000" spans="1:32" x14ac:dyDescent="0.2">
      <c r="A1000" s="121" t="s">
        <v>3058</v>
      </c>
      <c r="B1000" s="122" t="s">
        <v>1204</v>
      </c>
      <c r="C1000" s="123" t="s">
        <v>11</v>
      </c>
      <c r="D1000" s="123" t="s">
        <v>404</v>
      </c>
      <c r="E1000" s="123" t="s">
        <v>2700</v>
      </c>
      <c r="F1000" s="124" t="s">
        <v>2701</v>
      </c>
      <c r="G1000" s="124" t="s">
        <v>2969</v>
      </c>
      <c r="H1000" s="124" t="s">
        <v>2691</v>
      </c>
      <c r="I1000" s="123">
        <v>20.97775</v>
      </c>
      <c r="J1000" s="123">
        <v>-101.28678600000001</v>
      </c>
      <c r="K1000" s="122" t="s">
        <v>139</v>
      </c>
      <c r="L1000" s="125" t="str">
        <f t="shared" ref="L1000:L1001" si="48">HYPERLINK("https://www.google.com/maps?q=" &amp; I1000 &amp; "," &amp; J1000, "Ver en Google Maps")</f>
        <v>Ver en Google Maps</v>
      </c>
      <c r="M1000" s="125">
        <v>3</v>
      </c>
      <c r="N1000" s="138">
        <v>45944</v>
      </c>
      <c r="O1000" s="109">
        <f>DAY('BD1'!$N1000)</f>
        <v>14</v>
      </c>
      <c r="P1000" s="109">
        <f>MONTH('BD1'!$N1000)</f>
        <v>10</v>
      </c>
      <c r="Q1000" s="109">
        <f>YEAR('BD1'!$N1000)</f>
        <v>2025</v>
      </c>
      <c r="R1000" s="109">
        <v>1</v>
      </c>
      <c r="S1000" s="109" t="s">
        <v>138</v>
      </c>
      <c r="T1000" s="109" t="s">
        <v>138</v>
      </c>
      <c r="U1000" s="109" t="s">
        <v>138</v>
      </c>
      <c r="V1000" s="109" t="s">
        <v>138</v>
      </c>
      <c r="W1000" s="109" t="s">
        <v>138</v>
      </c>
      <c r="X1000" s="109" t="s">
        <v>138</v>
      </c>
      <c r="Y1000" s="109" t="s">
        <v>138</v>
      </c>
      <c r="Z1000" s="109" t="s">
        <v>138</v>
      </c>
      <c r="AA1000" s="109">
        <v>96.6</v>
      </c>
      <c r="AB1000" s="109">
        <v>15.3</v>
      </c>
      <c r="AC1000" s="110" t="s">
        <v>967</v>
      </c>
      <c r="AD1000" s="110" t="s">
        <v>2436</v>
      </c>
      <c r="AE1000" s="109">
        <f>COUNTIF(S1000:Z1000, "si")</f>
        <v>8</v>
      </c>
      <c r="AF1000" s="151" t="str">
        <f t="shared" si="45"/>
        <v>Estable</v>
      </c>
    </row>
    <row r="1001" spans="1:32" x14ac:dyDescent="0.2">
      <c r="A1001" s="112" t="s">
        <v>3059</v>
      </c>
      <c r="B1001" s="113" t="s">
        <v>1204</v>
      </c>
      <c r="C1001" s="114" t="s">
        <v>11</v>
      </c>
      <c r="D1001" s="114" t="s">
        <v>404</v>
      </c>
      <c r="E1001" s="114" t="s">
        <v>2700</v>
      </c>
      <c r="F1001" s="115" t="s">
        <v>2701</v>
      </c>
      <c r="G1001" s="115" t="s">
        <v>2969</v>
      </c>
      <c r="H1001" s="115" t="s">
        <v>2691</v>
      </c>
      <c r="I1001" s="114">
        <v>20.97775</v>
      </c>
      <c r="J1001" s="114">
        <v>-101.28678600000001</v>
      </c>
      <c r="K1001" s="113" t="s">
        <v>139</v>
      </c>
      <c r="L1001" s="116" t="str">
        <f t="shared" si="48"/>
        <v>Ver en Google Maps</v>
      </c>
      <c r="M1001" s="116">
        <v>3</v>
      </c>
      <c r="N1001" s="137">
        <v>45944</v>
      </c>
      <c r="O1001" s="118">
        <f>DAY('BD1'!$N1001)</f>
        <v>14</v>
      </c>
      <c r="P1001" s="118">
        <f>MONTH('BD1'!$N1001)</f>
        <v>10</v>
      </c>
      <c r="Q1001" s="118">
        <f>YEAR('BD1'!$N1001)</f>
        <v>2025</v>
      </c>
      <c r="R1001" s="118">
        <v>1</v>
      </c>
      <c r="S1001" s="118" t="s">
        <v>138</v>
      </c>
      <c r="T1001" s="118" t="s">
        <v>934</v>
      </c>
      <c r="U1001" s="118" t="s">
        <v>934</v>
      </c>
      <c r="V1001" s="118" t="s">
        <v>934</v>
      </c>
      <c r="W1001" s="118" t="s">
        <v>934</v>
      </c>
      <c r="X1001" s="118" t="s">
        <v>934</v>
      </c>
      <c r="Y1001" s="118" t="s">
        <v>934</v>
      </c>
      <c r="Z1001" s="118" t="s">
        <v>934</v>
      </c>
      <c r="AA1001" s="118">
        <v>0</v>
      </c>
      <c r="AB1001" s="118">
        <v>0</v>
      </c>
      <c r="AC1001" s="119" t="s">
        <v>3074</v>
      </c>
      <c r="AD1001" s="119" t="s">
        <v>2436</v>
      </c>
      <c r="AE1001" s="118">
        <f>COUNTIF(S1001:Z1001, "si")</f>
        <v>1</v>
      </c>
      <c r="AF1001" s="152" t="str">
        <f t="shared" si="45"/>
        <v>Inoperativo</v>
      </c>
    </row>
    <row r="1002" spans="1:32" x14ac:dyDescent="0.2">
      <c r="A1002" s="121" t="s">
        <v>3060</v>
      </c>
      <c r="B1002" s="122" t="s">
        <v>1204</v>
      </c>
      <c r="C1002" s="123" t="s">
        <v>11</v>
      </c>
      <c r="D1002" s="123" t="s">
        <v>404</v>
      </c>
      <c r="E1002" s="123" t="s">
        <v>2700</v>
      </c>
      <c r="F1002" s="124" t="s">
        <v>2701</v>
      </c>
      <c r="G1002" s="124" t="s">
        <v>2969</v>
      </c>
      <c r="H1002" s="124" t="s">
        <v>2691</v>
      </c>
      <c r="I1002" s="123">
        <v>20.97775</v>
      </c>
      <c r="J1002" s="123">
        <v>-101.28678600000001</v>
      </c>
      <c r="K1002" s="122" t="s">
        <v>139</v>
      </c>
      <c r="L1002" s="125" t="str">
        <f t="shared" si="47"/>
        <v>Ver en Google Maps</v>
      </c>
      <c r="M1002" s="125">
        <v>3</v>
      </c>
      <c r="N1002" s="138">
        <v>45944</v>
      </c>
      <c r="O1002" s="109">
        <f>DAY('BD1'!$N1002)</f>
        <v>14</v>
      </c>
      <c r="P1002" s="109">
        <f>MONTH('BD1'!$N1002)</f>
        <v>10</v>
      </c>
      <c r="Q1002" s="109">
        <f>YEAR('BD1'!$N1002)</f>
        <v>2025</v>
      </c>
      <c r="R1002" s="109">
        <v>1</v>
      </c>
      <c r="S1002" s="109" t="s">
        <v>138</v>
      </c>
      <c r="T1002" s="109" t="s">
        <v>138</v>
      </c>
      <c r="U1002" s="109" t="s">
        <v>138</v>
      </c>
      <c r="V1002" s="109" t="s">
        <v>138</v>
      </c>
      <c r="W1002" s="109" t="s">
        <v>138</v>
      </c>
      <c r="X1002" s="109" t="s">
        <v>138</v>
      </c>
      <c r="Y1002" s="109" t="s">
        <v>138</v>
      </c>
      <c r="Z1002" s="109" t="s">
        <v>138</v>
      </c>
      <c r="AA1002" s="109">
        <v>43.8</v>
      </c>
      <c r="AB1002" s="109">
        <v>37.799999999999997</v>
      </c>
      <c r="AC1002" s="110" t="s">
        <v>967</v>
      </c>
      <c r="AD1002" s="110" t="s">
        <v>2436</v>
      </c>
      <c r="AE1002" s="109">
        <f t="shared" si="46"/>
        <v>8</v>
      </c>
      <c r="AF1002" s="151" t="str">
        <f t="shared" si="45"/>
        <v>Estable</v>
      </c>
    </row>
    <row r="1003" spans="1:32" x14ac:dyDescent="0.2">
      <c r="A1003" s="112">
        <v>76</v>
      </c>
      <c r="B1003" s="113" t="s">
        <v>1204</v>
      </c>
      <c r="C1003" s="114" t="s">
        <v>14</v>
      </c>
      <c r="D1003" s="114" t="s">
        <v>404</v>
      </c>
      <c r="E1003" s="114" t="s">
        <v>2702</v>
      </c>
      <c r="F1003" s="115" t="s">
        <v>2703</v>
      </c>
      <c r="G1003" s="115" t="s">
        <v>2970</v>
      </c>
      <c r="H1003" s="115" t="s">
        <v>2691</v>
      </c>
      <c r="I1003" s="114">
        <v>21.013065000000001</v>
      </c>
      <c r="J1003" s="114">
        <v>-101.26133</v>
      </c>
      <c r="K1003" s="113"/>
      <c r="L1003" s="116" t="str">
        <f t="shared" si="47"/>
        <v>Ver en Google Maps</v>
      </c>
      <c r="M1003" s="116">
        <v>1</v>
      </c>
      <c r="N1003" s="139"/>
      <c r="O1003" s="118"/>
      <c r="P1003" s="118"/>
      <c r="Q1003" s="118"/>
      <c r="R1003" s="118"/>
      <c r="S1003" s="118"/>
      <c r="T1003" s="118"/>
      <c r="U1003" s="118"/>
      <c r="V1003" s="118"/>
      <c r="W1003" s="118"/>
      <c r="X1003" s="118"/>
      <c r="Y1003" s="118"/>
      <c r="Z1003" s="118"/>
      <c r="AA1003" s="118"/>
      <c r="AB1003" s="118"/>
      <c r="AC1003" s="119"/>
      <c r="AD1003" s="119"/>
      <c r="AE1003" s="118"/>
      <c r="AF1003" s="152"/>
    </row>
    <row r="1004" spans="1:32" x14ac:dyDescent="0.2">
      <c r="A1004" s="121">
        <v>77</v>
      </c>
      <c r="B1004" s="122" t="s">
        <v>1204</v>
      </c>
      <c r="C1004" s="123" t="s">
        <v>18</v>
      </c>
      <c r="D1004" s="123" t="s">
        <v>404</v>
      </c>
      <c r="E1004" s="123" t="s">
        <v>2704</v>
      </c>
      <c r="F1004" s="124" t="s">
        <v>2705</v>
      </c>
      <c r="G1004" s="124" t="s">
        <v>2971</v>
      </c>
      <c r="H1004" s="124" t="s">
        <v>2691</v>
      </c>
      <c r="I1004" s="123">
        <v>21.041778999999998</v>
      </c>
      <c r="J1004" s="123">
        <v>-101.260717</v>
      </c>
      <c r="K1004" s="122"/>
      <c r="L1004" s="125" t="str">
        <f t="shared" si="47"/>
        <v>Ver en Google Maps</v>
      </c>
      <c r="M1004" s="125">
        <v>3</v>
      </c>
      <c r="N1004" s="140"/>
      <c r="O1004" s="109"/>
      <c r="P1004" s="109"/>
      <c r="Q1004" s="109"/>
      <c r="R1004" s="109"/>
      <c r="S1004" s="109"/>
      <c r="T1004" s="109"/>
      <c r="U1004" s="109"/>
      <c r="V1004" s="109"/>
      <c r="W1004" s="109"/>
      <c r="X1004" s="109"/>
      <c r="Y1004" s="109"/>
      <c r="Z1004" s="109"/>
      <c r="AA1004" s="109"/>
      <c r="AB1004" s="109"/>
      <c r="AC1004" s="110"/>
      <c r="AD1004" s="110"/>
      <c r="AE1004" s="109"/>
      <c r="AF1004" s="151"/>
    </row>
    <row r="1005" spans="1:32" x14ac:dyDescent="0.2">
      <c r="A1005" s="112">
        <v>79</v>
      </c>
      <c r="B1005" s="113" t="s">
        <v>1204</v>
      </c>
      <c r="C1005" s="114" t="s">
        <v>1449</v>
      </c>
      <c r="D1005" s="114" t="s">
        <v>404</v>
      </c>
      <c r="E1005" s="114" t="s">
        <v>2706</v>
      </c>
      <c r="F1005" s="115" t="s">
        <v>2707</v>
      </c>
      <c r="G1005" s="115" t="s">
        <v>2972</v>
      </c>
      <c r="H1005" s="115" t="s">
        <v>2691</v>
      </c>
      <c r="I1005" s="114">
        <v>21.012563</v>
      </c>
      <c r="J1005" s="114">
        <v>-101.251769</v>
      </c>
      <c r="K1005" s="113"/>
      <c r="L1005" s="116" t="str">
        <f t="shared" si="47"/>
        <v>Ver en Google Maps</v>
      </c>
      <c r="M1005" s="116">
        <v>1</v>
      </c>
      <c r="N1005" s="139"/>
      <c r="O1005" s="118"/>
      <c r="P1005" s="118"/>
      <c r="Q1005" s="118"/>
      <c r="R1005" s="118"/>
      <c r="S1005" s="118"/>
      <c r="T1005" s="118"/>
      <c r="U1005" s="118"/>
      <c r="V1005" s="118"/>
      <c r="W1005" s="118"/>
      <c r="X1005" s="118"/>
      <c r="Y1005" s="118"/>
      <c r="Z1005" s="118"/>
      <c r="AA1005" s="118"/>
      <c r="AB1005" s="118"/>
      <c r="AC1005" s="119"/>
      <c r="AD1005" s="119"/>
      <c r="AE1005" s="118"/>
      <c r="AF1005" s="152"/>
    </row>
    <row r="1006" spans="1:32" x14ac:dyDescent="0.2">
      <c r="A1006" s="121">
        <v>80</v>
      </c>
      <c r="B1006" s="122" t="s">
        <v>1204</v>
      </c>
      <c r="C1006" s="123" t="s">
        <v>14</v>
      </c>
      <c r="D1006" s="123" t="s">
        <v>404</v>
      </c>
      <c r="E1006" s="123" t="s">
        <v>2708</v>
      </c>
      <c r="F1006" s="124" t="s">
        <v>2709</v>
      </c>
      <c r="G1006" s="124" t="s">
        <v>2973</v>
      </c>
      <c r="H1006" s="124" t="s">
        <v>2691</v>
      </c>
      <c r="I1006" s="123">
        <v>20.960373000000001</v>
      </c>
      <c r="J1006" s="123">
        <v>-101.272847</v>
      </c>
      <c r="K1006" s="122"/>
      <c r="L1006" s="125" t="str">
        <f t="shared" si="47"/>
        <v>Ver en Google Maps</v>
      </c>
      <c r="M1006" s="125">
        <v>2</v>
      </c>
      <c r="N1006" s="140"/>
      <c r="O1006" s="109"/>
      <c r="P1006" s="109"/>
      <c r="Q1006" s="109"/>
      <c r="R1006" s="109"/>
      <c r="S1006" s="109"/>
      <c r="T1006" s="109"/>
      <c r="U1006" s="109"/>
      <c r="V1006" s="109"/>
      <c r="W1006" s="109"/>
      <c r="X1006" s="109"/>
      <c r="Y1006" s="109"/>
      <c r="Z1006" s="109"/>
      <c r="AA1006" s="109"/>
      <c r="AB1006" s="109"/>
      <c r="AC1006" s="110"/>
      <c r="AD1006" s="110"/>
      <c r="AE1006" s="109"/>
      <c r="AF1006" s="151"/>
    </row>
    <row r="1007" spans="1:32" x14ac:dyDescent="0.2">
      <c r="A1007" s="112">
        <v>82</v>
      </c>
      <c r="B1007" s="113" t="s">
        <v>1204</v>
      </c>
      <c r="C1007" s="114" t="s">
        <v>350</v>
      </c>
      <c r="D1007" s="114" t="s">
        <v>404</v>
      </c>
      <c r="E1007" s="114" t="s">
        <v>2710</v>
      </c>
      <c r="F1007" s="115" t="s">
        <v>2711</v>
      </c>
      <c r="G1007" s="115" t="s">
        <v>2973</v>
      </c>
      <c r="H1007" s="115" t="s">
        <v>2691</v>
      </c>
      <c r="I1007" s="114">
        <v>20.971526999999998</v>
      </c>
      <c r="J1007" s="114">
        <v>-101.2794</v>
      </c>
      <c r="K1007" s="113"/>
      <c r="L1007" s="116" t="str">
        <f t="shared" si="47"/>
        <v>Ver en Google Maps</v>
      </c>
      <c r="M1007" s="116">
        <v>1</v>
      </c>
      <c r="N1007" s="139"/>
      <c r="O1007" s="118"/>
      <c r="P1007" s="118"/>
      <c r="Q1007" s="118"/>
      <c r="R1007" s="118"/>
      <c r="S1007" s="118"/>
      <c r="T1007" s="118"/>
      <c r="U1007" s="118"/>
      <c r="V1007" s="118"/>
      <c r="W1007" s="118"/>
      <c r="X1007" s="118"/>
      <c r="Y1007" s="118"/>
      <c r="Z1007" s="118"/>
      <c r="AA1007" s="118"/>
      <c r="AB1007" s="118"/>
      <c r="AC1007" s="119"/>
      <c r="AD1007" s="119"/>
      <c r="AE1007" s="118"/>
      <c r="AF1007" s="152"/>
    </row>
    <row r="1008" spans="1:32" x14ac:dyDescent="0.2">
      <c r="A1008" s="121">
        <v>83</v>
      </c>
      <c r="B1008" s="122" t="s">
        <v>1204</v>
      </c>
      <c r="C1008" s="123" t="s">
        <v>350</v>
      </c>
      <c r="D1008" s="123" t="s">
        <v>404</v>
      </c>
      <c r="E1008" s="123" t="s">
        <v>2712</v>
      </c>
      <c r="F1008" s="124" t="s">
        <v>2713</v>
      </c>
      <c r="G1008" s="124" t="s">
        <v>1231</v>
      </c>
      <c r="H1008" s="124" t="s">
        <v>2691</v>
      </c>
      <c r="I1008" s="123">
        <v>21.004055999999999</v>
      </c>
      <c r="J1008" s="123">
        <v>-101.24448599999999</v>
      </c>
      <c r="K1008" s="122"/>
      <c r="L1008" s="125" t="str">
        <f t="shared" si="47"/>
        <v>Ver en Google Maps</v>
      </c>
      <c r="M1008" s="125">
        <v>1</v>
      </c>
      <c r="N1008" s="140"/>
      <c r="O1008" s="109"/>
      <c r="P1008" s="109"/>
      <c r="Q1008" s="109"/>
      <c r="R1008" s="109"/>
      <c r="S1008" s="109"/>
      <c r="T1008" s="109"/>
      <c r="U1008" s="109"/>
      <c r="V1008" s="109"/>
      <c r="W1008" s="109"/>
      <c r="X1008" s="109"/>
      <c r="Y1008" s="109"/>
      <c r="Z1008" s="109"/>
      <c r="AA1008" s="109"/>
      <c r="AB1008" s="109"/>
      <c r="AC1008" s="110"/>
      <c r="AD1008" s="110"/>
      <c r="AE1008" s="109"/>
      <c r="AF1008" s="151"/>
    </row>
    <row r="1009" spans="1:32" x14ac:dyDescent="0.2">
      <c r="A1009" s="112">
        <v>84</v>
      </c>
      <c r="B1009" s="113" t="s">
        <v>1204</v>
      </c>
      <c r="C1009" s="114" t="s">
        <v>350</v>
      </c>
      <c r="D1009" s="114" t="s">
        <v>404</v>
      </c>
      <c r="E1009" s="114" t="s">
        <v>2714</v>
      </c>
      <c r="F1009" s="115" t="s">
        <v>2715</v>
      </c>
      <c r="G1009" s="115" t="s">
        <v>2974</v>
      </c>
      <c r="H1009" s="115" t="s">
        <v>2691</v>
      </c>
      <c r="I1009" s="114">
        <v>20.985875</v>
      </c>
      <c r="J1009" s="114">
        <v>-101.28621099999999</v>
      </c>
      <c r="K1009" s="113" t="s">
        <v>139</v>
      </c>
      <c r="L1009" s="116" t="str">
        <f t="shared" si="47"/>
        <v>Ver en Google Maps</v>
      </c>
      <c r="M1009" s="116">
        <v>1</v>
      </c>
      <c r="N1009" s="137">
        <v>45944</v>
      </c>
      <c r="O1009" s="118">
        <f>DAY('BD1'!$N1009)</f>
        <v>14</v>
      </c>
      <c r="P1009" s="118">
        <f>MONTH('BD1'!$N1009)</f>
        <v>10</v>
      </c>
      <c r="Q1009" s="118">
        <f>YEAR('BD1'!$N1009)</f>
        <v>2025</v>
      </c>
      <c r="R1009" s="118">
        <v>1</v>
      </c>
      <c r="S1009" s="118" t="s">
        <v>138</v>
      </c>
      <c r="T1009" s="118" t="s">
        <v>138</v>
      </c>
      <c r="U1009" s="118" t="s">
        <v>138</v>
      </c>
      <c r="V1009" s="118" t="s">
        <v>138</v>
      </c>
      <c r="W1009" s="118" t="s">
        <v>138</v>
      </c>
      <c r="X1009" s="118" t="s">
        <v>138</v>
      </c>
      <c r="Y1009" s="118" t="s">
        <v>934</v>
      </c>
      <c r="Z1009" s="118" t="s">
        <v>138</v>
      </c>
      <c r="AA1009" s="118">
        <v>12.2</v>
      </c>
      <c r="AB1009" s="118">
        <v>0.2</v>
      </c>
      <c r="AC1009" s="119" t="s">
        <v>3073</v>
      </c>
      <c r="AD1009" s="119" t="s">
        <v>2436</v>
      </c>
      <c r="AE1009" s="118">
        <f t="shared" si="46"/>
        <v>7</v>
      </c>
      <c r="AF1009" s="152" t="str">
        <f t="shared" si="45"/>
        <v>Funcional con observaciones</v>
      </c>
    </row>
    <row r="1010" spans="1:32" x14ac:dyDescent="0.2">
      <c r="A1010" s="121">
        <v>85</v>
      </c>
      <c r="B1010" s="122" t="s">
        <v>1204</v>
      </c>
      <c r="C1010" s="123" t="s">
        <v>350</v>
      </c>
      <c r="D1010" s="123" t="s">
        <v>404</v>
      </c>
      <c r="E1010" s="123" t="s">
        <v>2716</v>
      </c>
      <c r="F1010" s="124" t="s">
        <v>2717</v>
      </c>
      <c r="G1010" s="124" t="s">
        <v>2975</v>
      </c>
      <c r="H1010" s="124" t="s">
        <v>2691</v>
      </c>
      <c r="I1010" s="123">
        <v>21.02225</v>
      </c>
      <c r="J1010" s="123">
        <v>-101.2577</v>
      </c>
      <c r="K1010" s="122"/>
      <c r="L1010" s="125" t="str">
        <f t="shared" si="47"/>
        <v>Ver en Google Maps</v>
      </c>
      <c r="M1010" s="125">
        <v>1</v>
      </c>
      <c r="N1010" s="140"/>
      <c r="O1010" s="109"/>
      <c r="P1010" s="109"/>
      <c r="Q1010" s="109"/>
      <c r="R1010" s="109"/>
      <c r="S1010" s="109"/>
      <c r="T1010" s="109"/>
      <c r="U1010" s="109"/>
      <c r="V1010" s="109"/>
      <c r="W1010" s="109"/>
      <c r="X1010" s="109"/>
      <c r="Y1010" s="109"/>
      <c r="Z1010" s="109"/>
      <c r="AA1010" s="109"/>
      <c r="AB1010" s="109"/>
      <c r="AC1010" s="110"/>
      <c r="AD1010" s="110"/>
      <c r="AE1010" s="109"/>
      <c r="AF1010" s="151"/>
    </row>
    <row r="1011" spans="1:32" x14ac:dyDescent="0.2">
      <c r="A1011" s="112">
        <v>86</v>
      </c>
      <c r="B1011" s="113" t="s">
        <v>1204</v>
      </c>
      <c r="C1011" s="114" t="s">
        <v>350</v>
      </c>
      <c r="D1011" s="114" t="s">
        <v>404</v>
      </c>
      <c r="E1011" s="114" t="s">
        <v>2718</v>
      </c>
      <c r="F1011" s="115" t="s">
        <v>2719</v>
      </c>
      <c r="G1011" s="115" t="s">
        <v>2976</v>
      </c>
      <c r="H1011" s="115" t="s">
        <v>2691</v>
      </c>
      <c r="I1011" s="114">
        <v>20.963633999999999</v>
      </c>
      <c r="J1011" s="114">
        <v>-101.28901500000001</v>
      </c>
      <c r="K1011" s="113"/>
      <c r="L1011" s="116" t="str">
        <f t="shared" si="47"/>
        <v>Ver en Google Maps</v>
      </c>
      <c r="M1011" s="116">
        <v>1</v>
      </c>
      <c r="N1011" s="139"/>
      <c r="O1011" s="118"/>
      <c r="P1011" s="118"/>
      <c r="Q1011" s="118"/>
      <c r="R1011" s="118"/>
      <c r="S1011" s="118"/>
      <c r="T1011" s="118"/>
      <c r="U1011" s="118"/>
      <c r="V1011" s="118"/>
      <c r="W1011" s="118"/>
      <c r="X1011" s="118"/>
      <c r="Y1011" s="118"/>
      <c r="Z1011" s="118"/>
      <c r="AA1011" s="118"/>
      <c r="AB1011" s="118"/>
      <c r="AC1011" s="119"/>
      <c r="AD1011" s="119"/>
      <c r="AE1011" s="118"/>
      <c r="AF1011" s="152"/>
    </row>
    <row r="1012" spans="1:32" x14ac:dyDescent="0.2">
      <c r="A1012" s="121">
        <v>87</v>
      </c>
      <c r="B1012" s="122" t="s">
        <v>1204</v>
      </c>
      <c r="C1012" s="123" t="s">
        <v>14</v>
      </c>
      <c r="D1012" s="123" t="s">
        <v>404</v>
      </c>
      <c r="E1012" s="123" t="s">
        <v>2720</v>
      </c>
      <c r="F1012" s="124" t="s">
        <v>2721</v>
      </c>
      <c r="G1012" s="124" t="s">
        <v>2973</v>
      </c>
      <c r="H1012" s="124" t="s">
        <v>2691</v>
      </c>
      <c r="I1012" s="123">
        <v>20.959440000000001</v>
      </c>
      <c r="J1012" s="123">
        <v>-101.27451000000001</v>
      </c>
      <c r="K1012" s="122"/>
      <c r="L1012" s="125" t="str">
        <f t="shared" si="47"/>
        <v>Ver en Google Maps</v>
      </c>
      <c r="M1012" s="125">
        <v>2</v>
      </c>
      <c r="N1012" s="140"/>
      <c r="O1012" s="109"/>
      <c r="P1012" s="109"/>
      <c r="Q1012" s="109"/>
      <c r="R1012" s="109"/>
      <c r="S1012" s="109"/>
      <c r="T1012" s="109"/>
      <c r="U1012" s="109"/>
      <c r="V1012" s="109"/>
      <c r="W1012" s="109"/>
      <c r="X1012" s="109"/>
      <c r="Y1012" s="109"/>
      <c r="Z1012" s="109"/>
      <c r="AA1012" s="109"/>
      <c r="AB1012" s="109"/>
      <c r="AC1012" s="110"/>
      <c r="AD1012" s="110"/>
      <c r="AE1012" s="109"/>
      <c r="AF1012" s="151"/>
    </row>
    <row r="1013" spans="1:32" x14ac:dyDescent="0.2">
      <c r="A1013" s="112">
        <v>90</v>
      </c>
      <c r="B1013" s="113" t="s">
        <v>1204</v>
      </c>
      <c r="C1013" s="114" t="s">
        <v>429</v>
      </c>
      <c r="D1013" s="114" t="s">
        <v>17</v>
      </c>
      <c r="E1013" s="114" t="s">
        <v>2722</v>
      </c>
      <c r="F1013" s="115" t="s">
        <v>2723</v>
      </c>
      <c r="G1013" s="115" t="s">
        <v>2977</v>
      </c>
      <c r="H1013" s="115" t="s">
        <v>2691</v>
      </c>
      <c r="I1013" s="114">
        <v>21.011431000000002</v>
      </c>
      <c r="J1013" s="114">
        <v>-101.25842799999999</v>
      </c>
      <c r="K1013" s="113"/>
      <c r="L1013" s="116" t="str">
        <f t="shared" si="47"/>
        <v>Ver en Google Maps</v>
      </c>
      <c r="M1013" s="116">
        <v>1</v>
      </c>
      <c r="N1013" s="139"/>
      <c r="O1013" s="118"/>
      <c r="P1013" s="118"/>
      <c r="Q1013" s="118"/>
      <c r="R1013" s="118"/>
      <c r="S1013" s="118"/>
      <c r="T1013" s="118"/>
      <c r="U1013" s="118"/>
      <c r="V1013" s="118"/>
      <c r="W1013" s="118"/>
      <c r="X1013" s="118"/>
      <c r="Y1013" s="118"/>
      <c r="Z1013" s="118"/>
      <c r="AA1013" s="118"/>
      <c r="AB1013" s="118"/>
      <c r="AC1013" s="119"/>
      <c r="AD1013" s="119"/>
      <c r="AE1013" s="118"/>
      <c r="AF1013" s="152"/>
    </row>
    <row r="1014" spans="1:32" x14ac:dyDescent="0.2">
      <c r="A1014" s="121">
        <v>91</v>
      </c>
      <c r="B1014" s="122" t="s">
        <v>1204</v>
      </c>
      <c r="C1014" s="123" t="s">
        <v>429</v>
      </c>
      <c r="D1014" s="123" t="s">
        <v>16</v>
      </c>
      <c r="E1014" s="123" t="s">
        <v>2724</v>
      </c>
      <c r="F1014" s="124" t="s">
        <v>2725</v>
      </c>
      <c r="G1014" s="124" t="s">
        <v>2978</v>
      </c>
      <c r="H1014" s="124" t="s">
        <v>2691</v>
      </c>
      <c r="I1014" s="123">
        <v>20.997250000000001</v>
      </c>
      <c r="J1014" s="123">
        <v>-101.29508</v>
      </c>
      <c r="K1014" s="122" t="s">
        <v>139</v>
      </c>
      <c r="L1014" s="125" t="str">
        <f t="shared" si="47"/>
        <v>Ver en Google Maps</v>
      </c>
      <c r="M1014" s="125">
        <v>1</v>
      </c>
      <c r="N1014" s="138">
        <v>45944</v>
      </c>
      <c r="O1014" s="109">
        <f>DAY('BD1'!$N1014)</f>
        <v>14</v>
      </c>
      <c r="P1014" s="109">
        <f>MONTH('BD1'!$N1014)</f>
        <v>10</v>
      </c>
      <c r="Q1014" s="109">
        <f>YEAR('BD1'!$N1014)</f>
        <v>2025</v>
      </c>
      <c r="R1014" s="109">
        <v>1</v>
      </c>
      <c r="S1014" s="109" t="s">
        <v>138</v>
      </c>
      <c r="T1014" s="109" t="s">
        <v>138</v>
      </c>
      <c r="U1014" s="109" t="s">
        <v>138</v>
      </c>
      <c r="V1014" s="109" t="s">
        <v>138</v>
      </c>
      <c r="W1014" s="109" t="s">
        <v>138</v>
      </c>
      <c r="X1014" s="109" t="s">
        <v>138</v>
      </c>
      <c r="Y1014" s="109" t="s">
        <v>138</v>
      </c>
      <c r="Z1014" s="109" t="s">
        <v>138</v>
      </c>
      <c r="AA1014" s="109">
        <v>81</v>
      </c>
      <c r="AB1014" s="109">
        <v>35.9</v>
      </c>
      <c r="AC1014" s="110" t="s">
        <v>967</v>
      </c>
      <c r="AD1014" s="110" t="s">
        <v>2436</v>
      </c>
      <c r="AE1014" s="109">
        <f t="shared" si="46"/>
        <v>8</v>
      </c>
      <c r="AF1014" s="151" t="str">
        <f t="shared" si="45"/>
        <v>Estable</v>
      </c>
    </row>
    <row r="1015" spans="1:32" x14ac:dyDescent="0.2">
      <c r="A1015" s="112">
        <v>99</v>
      </c>
      <c r="B1015" s="113" t="s">
        <v>1204</v>
      </c>
      <c r="C1015" s="114" t="s">
        <v>429</v>
      </c>
      <c r="D1015" s="114" t="s">
        <v>15</v>
      </c>
      <c r="E1015" s="114" t="s">
        <v>2726</v>
      </c>
      <c r="F1015" s="115" t="s">
        <v>2727</v>
      </c>
      <c r="G1015" s="115" t="s">
        <v>2979</v>
      </c>
      <c r="H1015" s="115" t="s">
        <v>2691</v>
      </c>
      <c r="I1015" s="114">
        <v>21.023651000000001</v>
      </c>
      <c r="J1015" s="114">
        <v>-101.26884699999999</v>
      </c>
      <c r="K1015" s="113"/>
      <c r="L1015" s="116" t="str">
        <f t="shared" si="47"/>
        <v>Ver en Google Maps</v>
      </c>
      <c r="M1015" s="116">
        <v>2</v>
      </c>
      <c r="N1015" s="139"/>
      <c r="O1015" s="118"/>
      <c r="P1015" s="118"/>
      <c r="Q1015" s="118"/>
      <c r="R1015" s="118"/>
      <c r="S1015" s="118"/>
      <c r="T1015" s="118"/>
      <c r="U1015" s="118"/>
      <c r="V1015" s="118"/>
      <c r="W1015" s="118"/>
      <c r="X1015" s="118"/>
      <c r="Y1015" s="118"/>
      <c r="Z1015" s="118"/>
      <c r="AA1015" s="118"/>
      <c r="AB1015" s="118"/>
      <c r="AC1015" s="119"/>
      <c r="AD1015" s="119"/>
      <c r="AE1015" s="118"/>
      <c r="AF1015" s="152"/>
    </row>
    <row r="1016" spans="1:32" x14ac:dyDescent="0.2">
      <c r="A1016" s="121">
        <v>113</v>
      </c>
      <c r="B1016" s="122" t="s">
        <v>1204</v>
      </c>
      <c r="C1016" s="123" t="s">
        <v>429</v>
      </c>
      <c r="D1016" s="123" t="s">
        <v>15</v>
      </c>
      <c r="E1016" s="123" t="s">
        <v>2728</v>
      </c>
      <c r="F1016" s="124" t="s">
        <v>2729</v>
      </c>
      <c r="G1016" s="124" t="s">
        <v>2980</v>
      </c>
      <c r="H1016" s="124" t="s">
        <v>2691</v>
      </c>
      <c r="I1016" s="123">
        <v>21.009606000000002</v>
      </c>
      <c r="J1016" s="123">
        <v>-101.25045299999999</v>
      </c>
      <c r="K1016" s="122"/>
      <c r="L1016" s="125" t="str">
        <f t="shared" si="47"/>
        <v>Ver en Google Maps</v>
      </c>
      <c r="M1016" s="125">
        <v>2</v>
      </c>
      <c r="N1016" s="140"/>
      <c r="O1016" s="109"/>
      <c r="P1016" s="109"/>
      <c r="Q1016" s="109"/>
      <c r="R1016" s="109"/>
      <c r="S1016" s="109"/>
      <c r="T1016" s="109"/>
      <c r="U1016" s="109"/>
      <c r="V1016" s="109"/>
      <c r="W1016" s="109"/>
      <c r="X1016" s="109"/>
      <c r="Y1016" s="109"/>
      <c r="Z1016" s="109"/>
      <c r="AA1016" s="109"/>
      <c r="AB1016" s="109"/>
      <c r="AC1016" s="110"/>
      <c r="AD1016" s="110"/>
      <c r="AE1016" s="109"/>
      <c r="AF1016" s="151"/>
    </row>
    <row r="1017" spans="1:32" x14ac:dyDescent="0.2">
      <c r="A1017" s="112">
        <v>118</v>
      </c>
      <c r="B1017" s="113" t="s">
        <v>1204</v>
      </c>
      <c r="C1017" s="114" t="s">
        <v>429</v>
      </c>
      <c r="D1017" s="114" t="s">
        <v>17</v>
      </c>
      <c r="E1017" s="114" t="s">
        <v>2730</v>
      </c>
      <c r="F1017" s="115" t="s">
        <v>2731</v>
      </c>
      <c r="G1017" s="115" t="s">
        <v>2981</v>
      </c>
      <c r="H1017" s="115" t="s">
        <v>2691</v>
      </c>
      <c r="I1017" s="114">
        <v>21.029299999999999</v>
      </c>
      <c r="J1017" s="114">
        <v>-101.26038</v>
      </c>
      <c r="K1017" s="113"/>
      <c r="L1017" s="116" t="str">
        <f t="shared" si="47"/>
        <v>Ver en Google Maps</v>
      </c>
      <c r="M1017" s="116">
        <v>2</v>
      </c>
      <c r="N1017" s="139"/>
      <c r="O1017" s="118"/>
      <c r="P1017" s="118"/>
      <c r="Q1017" s="118"/>
      <c r="R1017" s="118"/>
      <c r="S1017" s="118"/>
      <c r="T1017" s="118"/>
      <c r="U1017" s="118"/>
      <c r="V1017" s="118"/>
      <c r="W1017" s="118"/>
      <c r="X1017" s="118"/>
      <c r="Y1017" s="118"/>
      <c r="Z1017" s="118"/>
      <c r="AA1017" s="118"/>
      <c r="AB1017" s="118"/>
      <c r="AC1017" s="119"/>
      <c r="AD1017" s="119"/>
      <c r="AE1017" s="118"/>
      <c r="AF1017" s="152"/>
    </row>
    <row r="1018" spans="1:32" x14ac:dyDescent="0.2">
      <c r="A1018" s="121">
        <v>134</v>
      </c>
      <c r="B1018" s="122" t="s">
        <v>1204</v>
      </c>
      <c r="C1018" s="123" t="s">
        <v>429</v>
      </c>
      <c r="D1018" s="123" t="s">
        <v>17</v>
      </c>
      <c r="E1018" s="123" t="s">
        <v>2732</v>
      </c>
      <c r="F1018" s="124" t="s">
        <v>2733</v>
      </c>
      <c r="G1018" s="124" t="s">
        <v>2982</v>
      </c>
      <c r="H1018" s="124" t="s">
        <v>2691</v>
      </c>
      <c r="I1018" s="123">
        <v>21.011115</v>
      </c>
      <c r="J1018" s="123">
        <v>-101.24168299999999</v>
      </c>
      <c r="K1018" s="122"/>
      <c r="L1018" s="125" t="str">
        <f t="shared" si="47"/>
        <v>Ver en Google Maps</v>
      </c>
      <c r="M1018" s="125">
        <v>2</v>
      </c>
      <c r="N1018" s="140"/>
      <c r="O1018" s="109"/>
      <c r="P1018" s="109"/>
      <c r="Q1018" s="109"/>
      <c r="R1018" s="109"/>
      <c r="S1018" s="109"/>
      <c r="T1018" s="109"/>
      <c r="U1018" s="109"/>
      <c r="V1018" s="109"/>
      <c r="W1018" s="109"/>
      <c r="X1018" s="109"/>
      <c r="Y1018" s="109"/>
      <c r="Z1018" s="109"/>
      <c r="AA1018" s="109"/>
      <c r="AB1018" s="109"/>
      <c r="AC1018" s="110"/>
      <c r="AD1018" s="110"/>
      <c r="AE1018" s="109"/>
      <c r="AF1018" s="151"/>
    </row>
    <row r="1019" spans="1:32" x14ac:dyDescent="0.2">
      <c r="A1019" s="112">
        <v>151</v>
      </c>
      <c r="B1019" s="113" t="s">
        <v>1204</v>
      </c>
      <c r="C1019" s="114" t="s">
        <v>429</v>
      </c>
      <c r="D1019" s="114" t="s">
        <v>17</v>
      </c>
      <c r="E1019" s="114" t="s">
        <v>2734</v>
      </c>
      <c r="F1019" s="115" t="s">
        <v>2735</v>
      </c>
      <c r="G1019" s="115" t="s">
        <v>2979</v>
      </c>
      <c r="H1019" s="115" t="s">
        <v>2691</v>
      </c>
      <c r="I1019" s="114">
        <v>21.021190000000001</v>
      </c>
      <c r="J1019" s="114">
        <v>-101.2694</v>
      </c>
      <c r="K1019" s="113"/>
      <c r="L1019" s="116" t="str">
        <f t="shared" si="47"/>
        <v>Ver en Google Maps</v>
      </c>
      <c r="M1019" s="116">
        <v>1</v>
      </c>
      <c r="N1019" s="139"/>
      <c r="O1019" s="118"/>
      <c r="P1019" s="118"/>
      <c r="Q1019" s="118"/>
      <c r="R1019" s="118"/>
      <c r="S1019" s="118"/>
      <c r="T1019" s="118"/>
      <c r="U1019" s="118"/>
      <c r="V1019" s="118"/>
      <c r="W1019" s="118"/>
      <c r="X1019" s="118"/>
      <c r="Y1019" s="118"/>
      <c r="Z1019" s="118"/>
      <c r="AA1019" s="118"/>
      <c r="AB1019" s="118"/>
      <c r="AC1019" s="119"/>
      <c r="AD1019" s="119"/>
      <c r="AE1019" s="118"/>
      <c r="AF1019" s="152"/>
    </row>
    <row r="1020" spans="1:32" x14ac:dyDescent="0.2">
      <c r="A1020" s="121">
        <v>152</v>
      </c>
      <c r="B1020" s="122" t="s">
        <v>1204</v>
      </c>
      <c r="C1020" s="123" t="s">
        <v>429</v>
      </c>
      <c r="D1020" s="123" t="s">
        <v>17</v>
      </c>
      <c r="E1020" s="123" t="s">
        <v>2736</v>
      </c>
      <c r="F1020" s="124" t="s">
        <v>2737</v>
      </c>
      <c r="G1020" s="124" t="s">
        <v>2983</v>
      </c>
      <c r="H1020" s="124" t="s">
        <v>2691</v>
      </c>
      <c r="I1020" s="123">
        <v>21.0122</v>
      </c>
      <c r="J1020" s="123">
        <v>-101.25931</v>
      </c>
      <c r="K1020" s="122"/>
      <c r="L1020" s="125" t="str">
        <f t="shared" si="47"/>
        <v>Ver en Google Maps</v>
      </c>
      <c r="M1020" s="125">
        <v>1</v>
      </c>
      <c r="N1020" s="138"/>
      <c r="O1020" s="109"/>
      <c r="P1020" s="109"/>
      <c r="Q1020" s="109"/>
      <c r="R1020" s="109"/>
      <c r="S1020" s="109"/>
      <c r="T1020" s="109"/>
      <c r="U1020" s="109"/>
      <c r="V1020" s="109"/>
      <c r="W1020" s="109"/>
      <c r="X1020" s="109"/>
      <c r="Y1020" s="109"/>
      <c r="Z1020" s="109"/>
      <c r="AA1020" s="109"/>
      <c r="AB1020" s="109"/>
      <c r="AC1020" s="110"/>
      <c r="AD1020" s="110"/>
      <c r="AE1020" s="109"/>
      <c r="AF1020" s="151"/>
    </row>
    <row r="1021" spans="1:32" x14ac:dyDescent="0.2">
      <c r="A1021" s="112">
        <v>159</v>
      </c>
      <c r="B1021" s="113" t="s">
        <v>1204</v>
      </c>
      <c r="C1021" s="114" t="s">
        <v>429</v>
      </c>
      <c r="D1021" s="114" t="s">
        <v>17</v>
      </c>
      <c r="E1021" s="114" t="s">
        <v>2738</v>
      </c>
      <c r="F1021" s="115" t="s">
        <v>2739</v>
      </c>
      <c r="G1021" s="115" t="s">
        <v>2973</v>
      </c>
      <c r="H1021" s="115" t="s">
        <v>2691</v>
      </c>
      <c r="I1021" s="114">
        <v>20.966978999999998</v>
      </c>
      <c r="J1021" s="114">
        <v>-101.275711</v>
      </c>
      <c r="K1021" s="113"/>
      <c r="L1021" s="116" t="str">
        <f t="shared" si="47"/>
        <v>Ver en Google Maps</v>
      </c>
      <c r="M1021" s="116">
        <v>1</v>
      </c>
      <c r="N1021" s="139"/>
      <c r="O1021" s="118"/>
      <c r="P1021" s="118"/>
      <c r="Q1021" s="118"/>
      <c r="R1021" s="118"/>
      <c r="S1021" s="118"/>
      <c r="T1021" s="118"/>
      <c r="U1021" s="118"/>
      <c r="V1021" s="118"/>
      <c r="W1021" s="118"/>
      <c r="X1021" s="118"/>
      <c r="Y1021" s="118"/>
      <c r="Z1021" s="118"/>
      <c r="AA1021" s="118"/>
      <c r="AB1021" s="118"/>
      <c r="AC1021" s="119"/>
      <c r="AD1021" s="119"/>
      <c r="AE1021" s="118"/>
      <c r="AF1021" s="152"/>
    </row>
    <row r="1022" spans="1:32" x14ac:dyDescent="0.2">
      <c r="A1022" s="121">
        <v>246</v>
      </c>
      <c r="B1022" s="122" t="s">
        <v>1204</v>
      </c>
      <c r="C1022" s="123" t="s">
        <v>429</v>
      </c>
      <c r="D1022" s="123" t="s">
        <v>17</v>
      </c>
      <c r="E1022" s="123" t="s">
        <v>2740</v>
      </c>
      <c r="F1022" s="124" t="s">
        <v>2741</v>
      </c>
      <c r="G1022" s="124" t="s">
        <v>2984</v>
      </c>
      <c r="H1022" s="124" t="s">
        <v>2691</v>
      </c>
      <c r="I1022" s="123">
        <v>20.996324000000001</v>
      </c>
      <c r="J1022" s="123">
        <v>-101.29487</v>
      </c>
      <c r="K1022" s="122" t="s">
        <v>139</v>
      </c>
      <c r="L1022" s="125" t="str">
        <f t="shared" si="47"/>
        <v>Ver en Google Maps</v>
      </c>
      <c r="M1022" s="125">
        <v>1</v>
      </c>
      <c r="N1022" s="138">
        <v>45944</v>
      </c>
      <c r="O1022" s="109">
        <f>DAY('BD1'!$N1022)</f>
        <v>14</v>
      </c>
      <c r="P1022" s="109">
        <f>MONTH('BD1'!$N1022)</f>
        <v>10</v>
      </c>
      <c r="Q1022" s="109">
        <f>YEAR('BD1'!$N1022)</f>
        <v>2025</v>
      </c>
      <c r="R1022" s="109">
        <v>1</v>
      </c>
      <c r="S1022" s="109" t="s">
        <v>138</v>
      </c>
      <c r="T1022" s="109" t="s">
        <v>934</v>
      </c>
      <c r="U1022" s="109" t="s">
        <v>138</v>
      </c>
      <c r="V1022" s="109" t="s">
        <v>934</v>
      </c>
      <c r="W1022" s="109" t="s">
        <v>138</v>
      </c>
      <c r="X1022" s="109" t="s">
        <v>934</v>
      </c>
      <c r="Y1022" s="109" t="s">
        <v>934</v>
      </c>
      <c r="Z1022" s="109" t="s">
        <v>934</v>
      </c>
      <c r="AA1022" s="109">
        <v>0</v>
      </c>
      <c r="AB1022" s="109">
        <v>0</v>
      </c>
      <c r="AC1022" s="110" t="s">
        <v>3032</v>
      </c>
      <c r="AD1022" s="110" t="s">
        <v>2436</v>
      </c>
      <c r="AE1022" s="109">
        <f t="shared" si="46"/>
        <v>3</v>
      </c>
      <c r="AF1022" s="151" t="str">
        <f t="shared" si="45"/>
        <v>Parcialmente funcional</v>
      </c>
    </row>
    <row r="1023" spans="1:32" x14ac:dyDescent="0.2">
      <c r="A1023" s="112">
        <v>277</v>
      </c>
      <c r="B1023" s="113" t="s">
        <v>1204</v>
      </c>
      <c r="C1023" s="114" t="s">
        <v>429</v>
      </c>
      <c r="D1023" s="114" t="s">
        <v>17</v>
      </c>
      <c r="E1023" s="114" t="s">
        <v>2742</v>
      </c>
      <c r="F1023" s="115" t="s">
        <v>2743</v>
      </c>
      <c r="G1023" s="115" t="s">
        <v>2985</v>
      </c>
      <c r="H1023" s="115" t="s">
        <v>2691</v>
      </c>
      <c r="I1023" s="114">
        <v>20.967510000000001</v>
      </c>
      <c r="J1023" s="114">
        <v>-101.28522</v>
      </c>
      <c r="K1023" s="113"/>
      <c r="L1023" s="116" t="str">
        <f t="shared" si="47"/>
        <v>Ver en Google Maps</v>
      </c>
      <c r="M1023" s="116">
        <v>1</v>
      </c>
      <c r="N1023" s="139"/>
      <c r="O1023" s="118"/>
      <c r="P1023" s="118"/>
      <c r="Q1023" s="118"/>
      <c r="R1023" s="118"/>
      <c r="S1023" s="118"/>
      <c r="T1023" s="118"/>
      <c r="U1023" s="118"/>
      <c r="V1023" s="118"/>
      <c r="W1023" s="118"/>
      <c r="X1023" s="118"/>
      <c r="Y1023" s="118"/>
      <c r="Z1023" s="118"/>
      <c r="AA1023" s="118"/>
      <c r="AB1023" s="118"/>
      <c r="AC1023" s="119"/>
      <c r="AD1023" s="119"/>
      <c r="AE1023" s="118"/>
      <c r="AF1023" s="152"/>
    </row>
    <row r="1024" spans="1:32" x14ac:dyDescent="0.2">
      <c r="A1024" s="121">
        <v>278</v>
      </c>
      <c r="B1024" s="122" t="s">
        <v>1204</v>
      </c>
      <c r="C1024" s="123" t="s">
        <v>429</v>
      </c>
      <c r="D1024" s="123" t="s">
        <v>17</v>
      </c>
      <c r="E1024" s="123" t="s">
        <v>2744</v>
      </c>
      <c r="F1024" s="124" t="s">
        <v>2745</v>
      </c>
      <c r="G1024" s="124" t="s">
        <v>2966</v>
      </c>
      <c r="H1024" s="124" t="s">
        <v>2691</v>
      </c>
      <c r="I1024" s="123">
        <v>21.005230000000001</v>
      </c>
      <c r="J1024" s="123">
        <v>-101.28914</v>
      </c>
      <c r="K1024" s="122"/>
      <c r="L1024" s="125" t="str">
        <f t="shared" si="47"/>
        <v>Ver en Google Maps</v>
      </c>
      <c r="M1024" s="125">
        <v>1</v>
      </c>
      <c r="N1024" s="140"/>
      <c r="O1024" s="109"/>
      <c r="P1024" s="109"/>
      <c r="Q1024" s="109"/>
      <c r="R1024" s="109"/>
      <c r="S1024" s="109"/>
      <c r="T1024" s="109"/>
      <c r="U1024" s="109"/>
      <c r="V1024" s="109"/>
      <c r="W1024" s="109"/>
      <c r="X1024" s="109"/>
      <c r="Y1024" s="109"/>
      <c r="Z1024" s="109"/>
      <c r="AA1024" s="109"/>
      <c r="AB1024" s="109"/>
      <c r="AC1024" s="110"/>
      <c r="AD1024" s="110"/>
      <c r="AE1024" s="109"/>
      <c r="AF1024" s="151"/>
    </row>
    <row r="1025" spans="1:32" x14ac:dyDescent="0.2">
      <c r="A1025" s="112">
        <v>289</v>
      </c>
      <c r="B1025" s="113" t="s">
        <v>1204</v>
      </c>
      <c r="C1025" s="114" t="s">
        <v>429</v>
      </c>
      <c r="D1025" s="114" t="s">
        <v>16</v>
      </c>
      <c r="E1025" s="114" t="s">
        <v>2746</v>
      </c>
      <c r="F1025" s="115" t="s">
        <v>2747</v>
      </c>
      <c r="G1025" s="115" t="s">
        <v>2986</v>
      </c>
      <c r="H1025" s="115" t="s">
        <v>2691</v>
      </c>
      <c r="I1025" s="114">
        <v>21.014077</v>
      </c>
      <c r="J1025" s="114">
        <v>-101.262747</v>
      </c>
      <c r="K1025" s="113"/>
      <c r="L1025" s="116" t="str">
        <f t="shared" si="47"/>
        <v>Ver en Google Maps</v>
      </c>
      <c r="M1025" s="116">
        <v>1</v>
      </c>
      <c r="N1025" s="139"/>
      <c r="O1025" s="118"/>
      <c r="P1025" s="118"/>
      <c r="Q1025" s="118"/>
      <c r="R1025" s="118"/>
      <c r="S1025" s="118"/>
      <c r="T1025" s="118"/>
      <c r="U1025" s="118"/>
      <c r="V1025" s="118"/>
      <c r="W1025" s="118"/>
      <c r="X1025" s="118"/>
      <c r="Y1025" s="118"/>
      <c r="Z1025" s="118"/>
      <c r="AA1025" s="118"/>
      <c r="AB1025" s="118"/>
      <c r="AC1025" s="119"/>
      <c r="AD1025" s="119"/>
      <c r="AE1025" s="118"/>
      <c r="AF1025" s="152"/>
    </row>
    <row r="1026" spans="1:32" x14ac:dyDescent="0.2">
      <c r="A1026" s="121">
        <v>290</v>
      </c>
      <c r="B1026" s="122" t="s">
        <v>1204</v>
      </c>
      <c r="C1026" s="123" t="s">
        <v>429</v>
      </c>
      <c r="D1026" s="123" t="s">
        <v>16</v>
      </c>
      <c r="E1026" s="123" t="s">
        <v>2748</v>
      </c>
      <c r="F1026" s="124" t="s">
        <v>2749</v>
      </c>
      <c r="G1026" s="124" t="s">
        <v>2973</v>
      </c>
      <c r="H1026" s="124" t="s">
        <v>2691</v>
      </c>
      <c r="I1026" s="123">
        <v>20.970510000000001</v>
      </c>
      <c r="J1026" s="123">
        <v>-101.27507</v>
      </c>
      <c r="K1026" s="122"/>
      <c r="L1026" s="125" t="str">
        <f t="shared" si="47"/>
        <v>Ver en Google Maps</v>
      </c>
      <c r="M1026" s="125">
        <v>1</v>
      </c>
      <c r="N1026" s="140"/>
      <c r="O1026" s="109"/>
      <c r="P1026" s="109"/>
      <c r="Q1026" s="109"/>
      <c r="R1026" s="109"/>
      <c r="S1026" s="109"/>
      <c r="T1026" s="109"/>
      <c r="U1026" s="109"/>
      <c r="V1026" s="109"/>
      <c r="W1026" s="109"/>
      <c r="X1026" s="109"/>
      <c r="Y1026" s="109"/>
      <c r="Z1026" s="109"/>
      <c r="AA1026" s="109"/>
      <c r="AB1026" s="109"/>
      <c r="AC1026" s="110"/>
      <c r="AD1026" s="110"/>
      <c r="AE1026" s="109"/>
      <c r="AF1026" s="151"/>
    </row>
    <row r="1027" spans="1:32" x14ac:dyDescent="0.2">
      <c r="A1027" s="112">
        <v>316</v>
      </c>
      <c r="B1027" s="113" t="s">
        <v>1204</v>
      </c>
      <c r="C1027" s="114" t="s">
        <v>429</v>
      </c>
      <c r="D1027" s="114" t="s">
        <v>16</v>
      </c>
      <c r="E1027" s="114" t="s">
        <v>2750</v>
      </c>
      <c r="F1027" s="115" t="s">
        <v>2751</v>
      </c>
      <c r="G1027" s="115" t="s">
        <v>2987</v>
      </c>
      <c r="H1027" s="115" t="s">
        <v>2691</v>
      </c>
      <c r="I1027" s="114">
        <v>21.022469999999998</v>
      </c>
      <c r="J1027" s="114">
        <v>-101.26434999999999</v>
      </c>
      <c r="K1027" s="113"/>
      <c r="L1027" s="116" t="str">
        <f t="shared" si="47"/>
        <v>Ver en Google Maps</v>
      </c>
      <c r="M1027" s="116">
        <v>2</v>
      </c>
      <c r="N1027" s="139"/>
      <c r="O1027" s="118"/>
      <c r="P1027" s="118"/>
      <c r="Q1027" s="118"/>
      <c r="R1027" s="118"/>
      <c r="S1027" s="118"/>
      <c r="T1027" s="118"/>
      <c r="U1027" s="118"/>
      <c r="V1027" s="118"/>
      <c r="W1027" s="118"/>
      <c r="X1027" s="118"/>
      <c r="Y1027" s="118"/>
      <c r="Z1027" s="118"/>
      <c r="AA1027" s="118"/>
      <c r="AB1027" s="118"/>
      <c r="AC1027" s="119"/>
      <c r="AD1027" s="119"/>
      <c r="AE1027" s="118"/>
      <c r="AF1027" s="152"/>
    </row>
    <row r="1028" spans="1:32" x14ac:dyDescent="0.2">
      <c r="A1028" s="121">
        <v>329</v>
      </c>
      <c r="B1028" s="122" t="s">
        <v>1204</v>
      </c>
      <c r="C1028" s="123" t="s">
        <v>429</v>
      </c>
      <c r="D1028" s="123" t="s">
        <v>16</v>
      </c>
      <c r="E1028" s="123" t="s">
        <v>2752</v>
      </c>
      <c r="F1028" s="124" t="s">
        <v>2753</v>
      </c>
      <c r="G1028" s="124" t="s">
        <v>2980</v>
      </c>
      <c r="H1028" s="124" t="s">
        <v>2691</v>
      </c>
      <c r="I1028" s="123">
        <v>21.01013</v>
      </c>
      <c r="J1028" s="123">
        <v>-101.25104</v>
      </c>
      <c r="K1028" s="122"/>
      <c r="L1028" s="125" t="str">
        <f t="shared" si="47"/>
        <v>Ver en Google Maps</v>
      </c>
      <c r="M1028" s="125">
        <v>1</v>
      </c>
      <c r="N1028" s="140"/>
      <c r="O1028" s="109"/>
      <c r="P1028" s="109"/>
      <c r="Q1028" s="109"/>
      <c r="R1028" s="109"/>
      <c r="S1028" s="109"/>
      <c r="T1028" s="109"/>
      <c r="U1028" s="109"/>
      <c r="V1028" s="109"/>
      <c r="W1028" s="109"/>
      <c r="X1028" s="109"/>
      <c r="Y1028" s="109"/>
      <c r="Z1028" s="109"/>
      <c r="AA1028" s="109"/>
      <c r="AB1028" s="109"/>
      <c r="AC1028" s="110"/>
      <c r="AD1028" s="110"/>
      <c r="AE1028" s="109"/>
      <c r="AF1028" s="151"/>
    </row>
    <row r="1029" spans="1:32" x14ac:dyDescent="0.2">
      <c r="A1029" s="112">
        <v>392</v>
      </c>
      <c r="B1029" s="113" t="s">
        <v>1204</v>
      </c>
      <c r="C1029" s="114" t="s">
        <v>429</v>
      </c>
      <c r="D1029" s="114" t="s">
        <v>16</v>
      </c>
      <c r="E1029" s="114" t="s">
        <v>2754</v>
      </c>
      <c r="F1029" s="115" t="s">
        <v>2755</v>
      </c>
      <c r="G1029" s="115" t="s">
        <v>2966</v>
      </c>
      <c r="H1029" s="115" t="s">
        <v>2691</v>
      </c>
      <c r="I1029" s="114">
        <v>20.994859999999999</v>
      </c>
      <c r="J1029" s="114">
        <v>-101.28577</v>
      </c>
      <c r="K1029" s="113"/>
      <c r="L1029" s="116" t="str">
        <f t="shared" si="47"/>
        <v>Ver en Google Maps</v>
      </c>
      <c r="M1029" s="116">
        <v>1</v>
      </c>
      <c r="N1029" s="139"/>
      <c r="O1029" s="118"/>
      <c r="P1029" s="118"/>
      <c r="Q1029" s="118"/>
      <c r="R1029" s="118"/>
      <c r="S1029" s="118"/>
      <c r="T1029" s="118"/>
      <c r="U1029" s="118"/>
      <c r="V1029" s="118"/>
      <c r="W1029" s="118"/>
      <c r="X1029" s="118"/>
      <c r="Y1029" s="118"/>
      <c r="Z1029" s="118"/>
      <c r="AA1029" s="118"/>
      <c r="AB1029" s="118"/>
      <c r="AC1029" s="119"/>
      <c r="AD1029" s="119"/>
      <c r="AE1029" s="118"/>
      <c r="AF1029" s="152"/>
    </row>
    <row r="1030" spans="1:32" x14ac:dyDescent="0.2">
      <c r="A1030" s="121">
        <v>397</v>
      </c>
      <c r="B1030" s="122" t="s">
        <v>1204</v>
      </c>
      <c r="C1030" s="123" t="s">
        <v>429</v>
      </c>
      <c r="D1030" s="123" t="s">
        <v>16</v>
      </c>
      <c r="E1030" s="123" t="s">
        <v>2756</v>
      </c>
      <c r="F1030" s="124" t="s">
        <v>2757</v>
      </c>
      <c r="G1030" s="124" t="s">
        <v>2979</v>
      </c>
      <c r="H1030" s="124" t="s">
        <v>2691</v>
      </c>
      <c r="I1030" s="123">
        <v>21.02074</v>
      </c>
      <c r="J1030" s="123">
        <v>-101.27003999999999</v>
      </c>
      <c r="K1030" s="122"/>
      <c r="L1030" s="125" t="str">
        <f t="shared" si="47"/>
        <v>Ver en Google Maps</v>
      </c>
      <c r="M1030" s="125">
        <v>1</v>
      </c>
      <c r="N1030" s="140"/>
      <c r="O1030" s="109"/>
      <c r="P1030" s="109"/>
      <c r="Q1030" s="109"/>
      <c r="R1030" s="109"/>
      <c r="S1030" s="109"/>
      <c r="T1030" s="109"/>
      <c r="U1030" s="109"/>
      <c r="V1030" s="109"/>
      <c r="W1030" s="109"/>
      <c r="X1030" s="109"/>
      <c r="Y1030" s="109"/>
      <c r="Z1030" s="109"/>
      <c r="AA1030" s="109"/>
      <c r="AB1030" s="109"/>
      <c r="AC1030" s="110"/>
      <c r="AD1030" s="110"/>
      <c r="AE1030" s="109"/>
      <c r="AF1030" s="151"/>
    </row>
    <row r="1031" spans="1:32" x14ac:dyDescent="0.2">
      <c r="A1031" s="112">
        <v>403</v>
      </c>
      <c r="B1031" s="113" t="s">
        <v>1204</v>
      </c>
      <c r="C1031" s="114" t="s">
        <v>429</v>
      </c>
      <c r="D1031" s="114" t="s">
        <v>16</v>
      </c>
      <c r="E1031" s="114" t="s">
        <v>2758</v>
      </c>
      <c r="F1031" s="115" t="s">
        <v>2759</v>
      </c>
      <c r="G1031" s="115" t="s">
        <v>2975</v>
      </c>
      <c r="H1031" s="115" t="s">
        <v>2691</v>
      </c>
      <c r="I1031" s="114">
        <v>21.022977999999998</v>
      </c>
      <c r="J1031" s="114">
        <v>-101.25678499999999</v>
      </c>
      <c r="K1031" s="113"/>
      <c r="L1031" s="116" t="str">
        <f t="shared" si="47"/>
        <v>Ver en Google Maps</v>
      </c>
      <c r="M1031" s="116">
        <v>2</v>
      </c>
      <c r="N1031" s="139"/>
      <c r="O1031" s="118"/>
      <c r="P1031" s="118"/>
      <c r="Q1031" s="118"/>
      <c r="R1031" s="118"/>
      <c r="S1031" s="118"/>
      <c r="T1031" s="118"/>
      <c r="U1031" s="118"/>
      <c r="V1031" s="118"/>
      <c r="W1031" s="118"/>
      <c r="X1031" s="118"/>
      <c r="Y1031" s="118"/>
      <c r="Z1031" s="118"/>
      <c r="AA1031" s="118"/>
      <c r="AB1031" s="118"/>
      <c r="AC1031" s="119"/>
      <c r="AD1031" s="119"/>
      <c r="AE1031" s="118"/>
      <c r="AF1031" s="152"/>
    </row>
    <row r="1032" spans="1:32" x14ac:dyDescent="0.2">
      <c r="A1032" s="121">
        <v>405</v>
      </c>
      <c r="B1032" s="122" t="s">
        <v>1204</v>
      </c>
      <c r="C1032" s="123" t="s">
        <v>429</v>
      </c>
      <c r="D1032" s="123" t="s">
        <v>15</v>
      </c>
      <c r="E1032" s="123" t="s">
        <v>2760</v>
      </c>
      <c r="F1032" s="124" t="s">
        <v>2761</v>
      </c>
      <c r="G1032" s="124" t="s">
        <v>2988</v>
      </c>
      <c r="H1032" s="124" t="s">
        <v>2691</v>
      </c>
      <c r="I1032" s="123">
        <v>20.969469</v>
      </c>
      <c r="J1032" s="123">
        <v>-101.288776</v>
      </c>
      <c r="K1032" s="122"/>
      <c r="L1032" s="125" t="str">
        <f t="shared" si="47"/>
        <v>Ver en Google Maps</v>
      </c>
      <c r="M1032" s="125">
        <v>2</v>
      </c>
      <c r="N1032" s="140"/>
      <c r="O1032" s="109"/>
      <c r="P1032" s="109"/>
      <c r="Q1032" s="109"/>
      <c r="R1032" s="109"/>
      <c r="S1032" s="109"/>
      <c r="T1032" s="109"/>
      <c r="U1032" s="109"/>
      <c r="V1032" s="109"/>
      <c r="W1032" s="109"/>
      <c r="X1032" s="109"/>
      <c r="Y1032" s="109"/>
      <c r="Z1032" s="109"/>
      <c r="AA1032" s="109"/>
      <c r="AB1032" s="109"/>
      <c r="AC1032" s="110"/>
      <c r="AD1032" s="110"/>
      <c r="AE1032" s="109"/>
      <c r="AF1032" s="151"/>
    </row>
    <row r="1033" spans="1:32" x14ac:dyDescent="0.2">
      <c r="A1033" s="112">
        <v>495</v>
      </c>
      <c r="B1033" s="113" t="s">
        <v>1204</v>
      </c>
      <c r="C1033" s="114" t="s">
        <v>429</v>
      </c>
      <c r="D1033" s="114" t="s">
        <v>16</v>
      </c>
      <c r="E1033" s="114" t="s">
        <v>2762</v>
      </c>
      <c r="F1033" s="115" t="s">
        <v>2763</v>
      </c>
      <c r="G1033" s="115" t="s">
        <v>2989</v>
      </c>
      <c r="H1033" s="115" t="s">
        <v>2691</v>
      </c>
      <c r="I1033" s="114">
        <v>20.967140000000001</v>
      </c>
      <c r="J1033" s="114">
        <v>-101.28362</v>
      </c>
      <c r="K1033" s="113"/>
      <c r="L1033" s="116" t="str">
        <f t="shared" si="47"/>
        <v>Ver en Google Maps</v>
      </c>
      <c r="M1033" s="116">
        <v>1</v>
      </c>
      <c r="N1033" s="139"/>
      <c r="O1033" s="118"/>
      <c r="P1033" s="118"/>
      <c r="Q1033" s="118"/>
      <c r="R1033" s="118"/>
      <c r="S1033" s="118"/>
      <c r="T1033" s="118"/>
      <c r="U1033" s="118"/>
      <c r="V1033" s="118"/>
      <c r="W1033" s="118"/>
      <c r="X1033" s="118"/>
      <c r="Y1033" s="118"/>
      <c r="Z1033" s="118"/>
      <c r="AA1033" s="118"/>
      <c r="AB1033" s="118"/>
      <c r="AC1033" s="119"/>
      <c r="AD1033" s="119"/>
      <c r="AE1033" s="118"/>
      <c r="AF1033" s="152"/>
    </row>
    <row r="1034" spans="1:32" x14ac:dyDescent="0.2">
      <c r="A1034" s="121">
        <v>511</v>
      </c>
      <c r="B1034" s="122" t="s">
        <v>1204</v>
      </c>
      <c r="C1034" s="123" t="s">
        <v>429</v>
      </c>
      <c r="D1034" s="123" t="s">
        <v>15</v>
      </c>
      <c r="E1034" s="123" t="s">
        <v>2764</v>
      </c>
      <c r="F1034" s="124" t="s">
        <v>2765</v>
      </c>
      <c r="G1034" s="124" t="s">
        <v>2979</v>
      </c>
      <c r="H1034" s="124" t="s">
        <v>2691</v>
      </c>
      <c r="I1034" s="123">
        <v>21.017130000000002</v>
      </c>
      <c r="J1034" s="123">
        <v>-101.27776</v>
      </c>
      <c r="K1034" s="122" t="s">
        <v>139</v>
      </c>
      <c r="L1034" s="125" t="str">
        <f t="shared" si="47"/>
        <v>Ver en Google Maps</v>
      </c>
      <c r="M1034" s="125">
        <v>2</v>
      </c>
      <c r="N1034" s="138">
        <v>45948</v>
      </c>
      <c r="O1034" s="109">
        <f>DAY('BD1'!$N1034)</f>
        <v>18</v>
      </c>
      <c r="P1034" s="109">
        <f>MONTH('BD1'!$N1034)</f>
        <v>10</v>
      </c>
      <c r="Q1034" s="109">
        <f>YEAR('BD1'!$N1034)</f>
        <v>2025</v>
      </c>
      <c r="R1034" s="109">
        <v>1</v>
      </c>
      <c r="S1034" s="109" t="s">
        <v>138</v>
      </c>
      <c r="T1034" s="109" t="s">
        <v>138</v>
      </c>
      <c r="U1034" s="109" t="s">
        <v>138</v>
      </c>
      <c r="V1034" s="109" t="s">
        <v>138</v>
      </c>
      <c r="W1034" s="109" t="s">
        <v>138</v>
      </c>
      <c r="X1034" s="109" t="s">
        <v>138</v>
      </c>
      <c r="Y1034" s="109" t="s">
        <v>138</v>
      </c>
      <c r="Z1034" s="109" t="s">
        <v>138</v>
      </c>
      <c r="AA1034" s="109">
        <v>48.9</v>
      </c>
      <c r="AB1034" s="109">
        <v>46.8</v>
      </c>
      <c r="AC1034" s="110" t="s">
        <v>967</v>
      </c>
      <c r="AD1034" s="110" t="s">
        <v>2436</v>
      </c>
      <c r="AE1034" s="109">
        <f t="shared" ref="AE1034:AE1095" si="49">COUNTIF(S1034:Z1034, "si")</f>
        <v>8</v>
      </c>
      <c r="AF1034" s="151" t="str">
        <f t="shared" ref="AF1026:AF1089" si="50">IF(AE1034=8,"Estable",(IF(AE1034=7,"Funcional con observaciones", (IF(AE1034=6,"Funcional con observaciones",(IF(AE1034=5,"Rendimiento bajo",(IF(AE1034=4,"Parcialmente funcional",(IF(AE1034=3,"Parcialmente funcional",(IF(AE1034=2,"Inoperativo",(IF(AE1034=1,"Inoperativo","Crítico")))))))))))))))</f>
        <v>Estable</v>
      </c>
    </row>
    <row r="1035" spans="1:32" x14ac:dyDescent="0.2">
      <c r="A1035" s="112">
        <v>521</v>
      </c>
      <c r="B1035" s="113" t="s">
        <v>1204</v>
      </c>
      <c r="C1035" s="114" t="s">
        <v>429</v>
      </c>
      <c r="D1035" s="114" t="s">
        <v>15</v>
      </c>
      <c r="E1035" s="114" t="s">
        <v>2766</v>
      </c>
      <c r="F1035" s="115" t="s">
        <v>2767</v>
      </c>
      <c r="G1035" s="115" t="s">
        <v>2984</v>
      </c>
      <c r="H1035" s="115" t="s">
        <v>2691</v>
      </c>
      <c r="I1035" s="114">
        <v>20.996169999999999</v>
      </c>
      <c r="J1035" s="114">
        <v>-101.29536</v>
      </c>
      <c r="K1035" s="113" t="s">
        <v>139</v>
      </c>
      <c r="L1035" s="116" t="str">
        <f t="shared" si="47"/>
        <v>Ver en Google Maps</v>
      </c>
      <c r="M1035" s="116">
        <v>2</v>
      </c>
      <c r="N1035" s="137">
        <v>45944</v>
      </c>
      <c r="O1035" s="118">
        <f>DAY('BD1'!$N1035)</f>
        <v>14</v>
      </c>
      <c r="P1035" s="118">
        <f>MONTH('BD1'!$N1035)</f>
        <v>10</v>
      </c>
      <c r="Q1035" s="118">
        <f>YEAR('BD1'!$N1035)</f>
        <v>2025</v>
      </c>
      <c r="R1035" s="118">
        <v>1</v>
      </c>
      <c r="S1035" s="118" t="s">
        <v>138</v>
      </c>
      <c r="T1035" s="118" t="s">
        <v>138</v>
      </c>
      <c r="U1035" s="118" t="s">
        <v>138</v>
      </c>
      <c r="V1035" s="118" t="s">
        <v>138</v>
      </c>
      <c r="W1035" s="118" t="s">
        <v>138</v>
      </c>
      <c r="X1035" s="118" t="s">
        <v>138</v>
      </c>
      <c r="Y1035" s="118" t="s">
        <v>138</v>
      </c>
      <c r="Z1035" s="118" t="s">
        <v>138</v>
      </c>
      <c r="AA1035" s="118">
        <v>88.7</v>
      </c>
      <c r="AB1035" s="118">
        <v>44.3</v>
      </c>
      <c r="AC1035" s="119" t="s">
        <v>967</v>
      </c>
      <c r="AD1035" s="119" t="s">
        <v>2436</v>
      </c>
      <c r="AE1035" s="118">
        <f t="shared" si="49"/>
        <v>8</v>
      </c>
      <c r="AF1035" s="152" t="str">
        <f t="shared" si="50"/>
        <v>Estable</v>
      </c>
    </row>
    <row r="1036" spans="1:32" x14ac:dyDescent="0.2">
      <c r="A1036" s="121">
        <v>526</v>
      </c>
      <c r="B1036" s="122" t="s">
        <v>1204</v>
      </c>
      <c r="C1036" s="123" t="s">
        <v>429</v>
      </c>
      <c r="D1036" s="123" t="s">
        <v>17</v>
      </c>
      <c r="E1036" s="123" t="s">
        <v>2768</v>
      </c>
      <c r="F1036" s="124" t="s">
        <v>2769</v>
      </c>
      <c r="G1036" s="124" t="s">
        <v>2990</v>
      </c>
      <c r="H1036" s="124" t="s">
        <v>2691</v>
      </c>
      <c r="I1036" s="123">
        <v>21.02129</v>
      </c>
      <c r="J1036" s="123">
        <v>-101.27472</v>
      </c>
      <c r="K1036" s="122" t="s">
        <v>139</v>
      </c>
      <c r="L1036" s="125" t="str">
        <f t="shared" si="47"/>
        <v>Ver en Google Maps</v>
      </c>
      <c r="M1036" s="125">
        <v>1</v>
      </c>
      <c r="N1036" s="138">
        <v>45948</v>
      </c>
      <c r="O1036" s="109">
        <f>DAY('BD1'!$N1036)</f>
        <v>18</v>
      </c>
      <c r="P1036" s="109">
        <f>MONTH('BD1'!$N1036)</f>
        <v>10</v>
      </c>
      <c r="Q1036" s="109">
        <f>YEAR('BD1'!$N1036)</f>
        <v>2025</v>
      </c>
      <c r="R1036" s="109">
        <v>1</v>
      </c>
      <c r="S1036" s="109" t="s">
        <v>138</v>
      </c>
      <c r="T1036" s="109" t="s">
        <v>934</v>
      </c>
      <c r="U1036" s="109" t="s">
        <v>934</v>
      </c>
      <c r="V1036" s="109" t="s">
        <v>934</v>
      </c>
      <c r="W1036" s="109" t="s">
        <v>934</v>
      </c>
      <c r="X1036" s="109" t="s">
        <v>934</v>
      </c>
      <c r="Y1036" s="109" t="s">
        <v>934</v>
      </c>
      <c r="Z1036" s="109" t="s">
        <v>934</v>
      </c>
      <c r="AA1036" s="109">
        <v>0</v>
      </c>
      <c r="AB1036" s="109">
        <v>0</v>
      </c>
      <c r="AC1036" s="110" t="s">
        <v>3069</v>
      </c>
      <c r="AD1036" s="110" t="s">
        <v>2436</v>
      </c>
      <c r="AE1036" s="109">
        <f t="shared" si="49"/>
        <v>1</v>
      </c>
      <c r="AF1036" s="151" t="str">
        <f t="shared" si="50"/>
        <v>Inoperativo</v>
      </c>
    </row>
    <row r="1037" spans="1:32" x14ac:dyDescent="0.2">
      <c r="A1037" s="112">
        <v>540</v>
      </c>
      <c r="B1037" s="113" t="s">
        <v>1204</v>
      </c>
      <c r="C1037" s="114" t="s">
        <v>429</v>
      </c>
      <c r="D1037" s="114" t="s">
        <v>17</v>
      </c>
      <c r="E1037" s="114" t="s">
        <v>2770</v>
      </c>
      <c r="F1037" s="115" t="s">
        <v>2771</v>
      </c>
      <c r="G1037" s="115" t="s">
        <v>2991</v>
      </c>
      <c r="H1037" s="115" t="s">
        <v>2691</v>
      </c>
      <c r="I1037" s="114">
        <v>21.012830000000001</v>
      </c>
      <c r="J1037" s="114">
        <v>-101.26519999999999</v>
      </c>
      <c r="K1037" s="113"/>
      <c r="L1037" s="116" t="str">
        <f t="shared" si="47"/>
        <v>Ver en Google Maps</v>
      </c>
      <c r="M1037" s="116">
        <v>1</v>
      </c>
      <c r="N1037" s="139"/>
      <c r="O1037" s="118"/>
      <c r="P1037" s="118"/>
      <c r="Q1037" s="118"/>
      <c r="R1037" s="118"/>
      <c r="S1037" s="118"/>
      <c r="T1037" s="118"/>
      <c r="U1037" s="118"/>
      <c r="V1037" s="118"/>
      <c r="W1037" s="118"/>
      <c r="X1037" s="118"/>
      <c r="Y1037" s="118"/>
      <c r="Z1037" s="118"/>
      <c r="AA1037" s="118"/>
      <c r="AB1037" s="118"/>
      <c r="AC1037" s="119"/>
      <c r="AD1037" s="119"/>
      <c r="AE1037" s="118"/>
      <c r="AF1037" s="152"/>
    </row>
    <row r="1038" spans="1:32" x14ac:dyDescent="0.2">
      <c r="A1038" s="121">
        <v>553</v>
      </c>
      <c r="B1038" s="122" t="s">
        <v>1204</v>
      </c>
      <c r="C1038" s="123" t="s">
        <v>429</v>
      </c>
      <c r="D1038" s="123" t="s">
        <v>17</v>
      </c>
      <c r="E1038" s="123" t="s">
        <v>2772</v>
      </c>
      <c r="F1038" s="124" t="s">
        <v>2773</v>
      </c>
      <c r="G1038" s="124" t="s">
        <v>2992</v>
      </c>
      <c r="H1038" s="124" t="s">
        <v>2691</v>
      </c>
      <c r="I1038" s="123">
        <v>21.024539999999998</v>
      </c>
      <c r="J1038" s="123">
        <v>-101.2651</v>
      </c>
      <c r="K1038" s="122"/>
      <c r="L1038" s="125" t="str">
        <f t="shared" si="47"/>
        <v>Ver en Google Maps</v>
      </c>
      <c r="M1038" s="125">
        <v>1</v>
      </c>
      <c r="N1038" s="140"/>
      <c r="O1038" s="109"/>
      <c r="P1038" s="109"/>
      <c r="Q1038" s="109"/>
      <c r="R1038" s="109"/>
      <c r="S1038" s="109"/>
      <c r="T1038" s="109"/>
      <c r="U1038" s="109"/>
      <c r="V1038" s="109"/>
      <c r="W1038" s="109"/>
      <c r="X1038" s="109"/>
      <c r="Y1038" s="109"/>
      <c r="Z1038" s="109"/>
      <c r="AA1038" s="109"/>
      <c r="AB1038" s="109"/>
      <c r="AC1038" s="110"/>
      <c r="AD1038" s="110"/>
      <c r="AE1038" s="109"/>
      <c r="AF1038" s="151"/>
    </row>
    <row r="1039" spans="1:32" x14ac:dyDescent="0.2">
      <c r="A1039" s="112">
        <v>566</v>
      </c>
      <c r="B1039" s="113" t="s">
        <v>1204</v>
      </c>
      <c r="C1039" s="114" t="s">
        <v>429</v>
      </c>
      <c r="D1039" s="114" t="s">
        <v>17</v>
      </c>
      <c r="E1039" s="114" t="s">
        <v>2774</v>
      </c>
      <c r="F1039" s="115" t="s">
        <v>2775</v>
      </c>
      <c r="G1039" s="115" t="s">
        <v>2993</v>
      </c>
      <c r="H1039" s="115" t="s">
        <v>2691</v>
      </c>
      <c r="I1039" s="114">
        <v>21.014289999999999</v>
      </c>
      <c r="J1039" s="114">
        <v>-101.27015</v>
      </c>
      <c r="K1039" s="113"/>
      <c r="L1039" s="116" t="str">
        <f t="shared" si="47"/>
        <v>Ver en Google Maps</v>
      </c>
      <c r="M1039" s="116">
        <v>1</v>
      </c>
      <c r="N1039" s="139"/>
      <c r="O1039" s="118"/>
      <c r="P1039" s="118"/>
      <c r="Q1039" s="118"/>
      <c r="R1039" s="118"/>
      <c r="S1039" s="118"/>
      <c r="T1039" s="118"/>
      <c r="U1039" s="118"/>
      <c r="V1039" s="118"/>
      <c r="W1039" s="118"/>
      <c r="X1039" s="118"/>
      <c r="Y1039" s="118"/>
      <c r="Z1039" s="118"/>
      <c r="AA1039" s="118"/>
      <c r="AB1039" s="118"/>
      <c r="AC1039" s="119"/>
      <c r="AD1039" s="119"/>
      <c r="AE1039" s="118"/>
      <c r="AF1039" s="152"/>
    </row>
    <row r="1040" spans="1:32" x14ac:dyDescent="0.2">
      <c r="A1040" s="121">
        <v>567</v>
      </c>
      <c r="B1040" s="122" t="s">
        <v>1204</v>
      </c>
      <c r="C1040" s="123" t="s">
        <v>429</v>
      </c>
      <c r="D1040" s="123" t="s">
        <v>17</v>
      </c>
      <c r="E1040" s="123" t="s">
        <v>2776</v>
      </c>
      <c r="F1040" s="124" t="s">
        <v>2777</v>
      </c>
      <c r="G1040" s="124" t="s">
        <v>2979</v>
      </c>
      <c r="H1040" s="124" t="s">
        <v>2691</v>
      </c>
      <c r="I1040" s="123">
        <v>21.018180000000001</v>
      </c>
      <c r="J1040" s="123">
        <v>-101.27439</v>
      </c>
      <c r="K1040" s="122" t="s">
        <v>139</v>
      </c>
      <c r="L1040" s="125" t="str">
        <f t="shared" si="47"/>
        <v>Ver en Google Maps</v>
      </c>
      <c r="M1040" s="125">
        <v>1</v>
      </c>
      <c r="N1040" s="138">
        <v>45948</v>
      </c>
      <c r="O1040" s="109">
        <f>DAY('BD1'!$N1040)</f>
        <v>18</v>
      </c>
      <c r="P1040" s="109">
        <f>MONTH('BD1'!$N1040)</f>
        <v>10</v>
      </c>
      <c r="Q1040" s="109">
        <f>YEAR('BD1'!$N1040)</f>
        <v>2025</v>
      </c>
      <c r="R1040" s="109">
        <v>1</v>
      </c>
      <c r="S1040" s="109" t="s">
        <v>934</v>
      </c>
      <c r="T1040" s="109" t="s">
        <v>934</v>
      </c>
      <c r="U1040" s="109" t="s">
        <v>934</v>
      </c>
      <c r="V1040" s="109" t="s">
        <v>934</v>
      </c>
      <c r="W1040" s="109" t="s">
        <v>934</v>
      </c>
      <c r="X1040" s="109" t="s">
        <v>934</v>
      </c>
      <c r="Y1040" s="109" t="s">
        <v>934</v>
      </c>
      <c r="Z1040" s="109" t="s">
        <v>934</v>
      </c>
      <c r="AA1040" s="109">
        <v>0</v>
      </c>
      <c r="AB1040" s="109">
        <v>0</v>
      </c>
      <c r="AC1040" s="110" t="s">
        <v>3067</v>
      </c>
      <c r="AD1040" s="110" t="s">
        <v>2436</v>
      </c>
      <c r="AE1040" s="109">
        <f t="shared" si="49"/>
        <v>0</v>
      </c>
      <c r="AF1040" s="151" t="str">
        <f t="shared" si="50"/>
        <v>Crítico</v>
      </c>
    </row>
    <row r="1041" spans="1:32" x14ac:dyDescent="0.2">
      <c r="A1041" s="112">
        <v>588</v>
      </c>
      <c r="B1041" s="113" t="s">
        <v>1204</v>
      </c>
      <c r="C1041" s="114" t="s">
        <v>429</v>
      </c>
      <c r="D1041" s="114" t="s">
        <v>17</v>
      </c>
      <c r="E1041" s="114" t="s">
        <v>2778</v>
      </c>
      <c r="F1041" s="115" t="s">
        <v>2779</v>
      </c>
      <c r="G1041" s="115" t="s">
        <v>2994</v>
      </c>
      <c r="H1041" s="115" t="s">
        <v>2691</v>
      </c>
      <c r="I1041" s="114">
        <v>20.98189</v>
      </c>
      <c r="J1041" s="114">
        <v>-101.28206</v>
      </c>
      <c r="K1041" s="113" t="s">
        <v>3057</v>
      </c>
      <c r="L1041" s="116" t="str">
        <f t="shared" ref="L1041:L1105" si="51">HYPERLINK("https://www.google.com/maps?q=" &amp; I1041 &amp; "," &amp; J1041, "Ver en Google Maps")</f>
        <v>Ver en Google Maps</v>
      </c>
      <c r="M1041" s="116">
        <v>1</v>
      </c>
      <c r="N1041" s="137">
        <v>45944</v>
      </c>
      <c r="O1041" s="118">
        <f>DAY('BD1'!$N1041)</f>
        <v>14</v>
      </c>
      <c r="P1041" s="118">
        <f>MONTH('BD1'!$N1041)</f>
        <v>10</v>
      </c>
      <c r="Q1041" s="118">
        <f>YEAR('BD1'!$N1041)</f>
        <v>2025</v>
      </c>
      <c r="R1041" s="118">
        <v>1</v>
      </c>
      <c r="S1041" s="118" t="s">
        <v>138</v>
      </c>
      <c r="T1041" s="118" t="s">
        <v>138</v>
      </c>
      <c r="U1041" s="118" t="s">
        <v>138</v>
      </c>
      <c r="V1041" s="118" t="s">
        <v>138</v>
      </c>
      <c r="W1041" s="118" t="s">
        <v>138</v>
      </c>
      <c r="X1041" s="118" t="s">
        <v>138</v>
      </c>
      <c r="Y1041" s="118" t="s">
        <v>138</v>
      </c>
      <c r="Z1041" s="118" t="s">
        <v>138</v>
      </c>
      <c r="AA1041" s="118">
        <v>98.2</v>
      </c>
      <c r="AB1041" s="118">
        <v>55.1</v>
      </c>
      <c r="AC1041" s="119" t="s">
        <v>967</v>
      </c>
      <c r="AD1041" s="119" t="s">
        <v>2436</v>
      </c>
      <c r="AE1041" s="118">
        <f t="shared" si="49"/>
        <v>8</v>
      </c>
      <c r="AF1041" s="152" t="str">
        <f t="shared" si="50"/>
        <v>Estable</v>
      </c>
    </row>
    <row r="1042" spans="1:32" x14ac:dyDescent="0.2">
      <c r="A1042" s="121">
        <v>598</v>
      </c>
      <c r="B1042" s="122" t="s">
        <v>1204</v>
      </c>
      <c r="C1042" s="123" t="s">
        <v>429</v>
      </c>
      <c r="D1042" s="123" t="s">
        <v>17</v>
      </c>
      <c r="E1042" s="123" t="s">
        <v>2780</v>
      </c>
      <c r="F1042" s="124" t="s">
        <v>2781</v>
      </c>
      <c r="G1042" s="124" t="s">
        <v>1788</v>
      </c>
      <c r="H1042" s="124" t="s">
        <v>2691</v>
      </c>
      <c r="I1042" s="123">
        <v>20.973189999999999</v>
      </c>
      <c r="J1042" s="123">
        <v>-101.29049999999999</v>
      </c>
      <c r="K1042" s="122"/>
      <c r="L1042" s="125" t="str">
        <f t="shared" si="51"/>
        <v>Ver en Google Maps</v>
      </c>
      <c r="M1042" s="125">
        <v>1</v>
      </c>
      <c r="N1042" s="140"/>
      <c r="O1042" s="109"/>
      <c r="P1042" s="109"/>
      <c r="Q1042" s="109"/>
      <c r="R1042" s="109"/>
      <c r="S1042" s="109"/>
      <c r="T1042" s="109"/>
      <c r="U1042" s="109"/>
      <c r="V1042" s="109"/>
      <c r="W1042" s="109"/>
      <c r="X1042" s="109"/>
      <c r="Y1042" s="109"/>
      <c r="Z1042" s="109"/>
      <c r="AA1042" s="109"/>
      <c r="AB1042" s="109"/>
      <c r="AC1042" s="110"/>
      <c r="AD1042" s="110"/>
      <c r="AE1042" s="109"/>
      <c r="AF1042" s="151"/>
    </row>
    <row r="1043" spans="1:32" x14ac:dyDescent="0.2">
      <c r="A1043" s="112">
        <v>609</v>
      </c>
      <c r="B1043" s="113" t="s">
        <v>1204</v>
      </c>
      <c r="C1043" s="114" t="s">
        <v>429</v>
      </c>
      <c r="D1043" s="114" t="s">
        <v>16</v>
      </c>
      <c r="E1043" s="114" t="s">
        <v>2782</v>
      </c>
      <c r="F1043" s="115" t="s">
        <v>2783</v>
      </c>
      <c r="G1043" s="115" t="s">
        <v>2987</v>
      </c>
      <c r="H1043" s="115" t="s">
        <v>2691</v>
      </c>
      <c r="I1043" s="114">
        <v>21.022729999999999</v>
      </c>
      <c r="J1043" s="114">
        <v>-101.262373</v>
      </c>
      <c r="K1043" s="113"/>
      <c r="L1043" s="116" t="str">
        <f t="shared" si="51"/>
        <v>Ver en Google Maps</v>
      </c>
      <c r="M1043" s="116">
        <v>1</v>
      </c>
      <c r="N1043" s="139"/>
      <c r="O1043" s="118"/>
      <c r="P1043" s="118"/>
      <c r="Q1043" s="118"/>
      <c r="R1043" s="118"/>
      <c r="S1043" s="118"/>
      <c r="T1043" s="118"/>
      <c r="U1043" s="118"/>
      <c r="V1043" s="118"/>
      <c r="W1043" s="118"/>
      <c r="X1043" s="118"/>
      <c r="Y1043" s="118"/>
      <c r="Z1043" s="118"/>
      <c r="AA1043" s="118"/>
      <c r="AB1043" s="118"/>
      <c r="AC1043" s="119"/>
      <c r="AD1043" s="119"/>
      <c r="AE1043" s="118"/>
      <c r="AF1043" s="152"/>
    </row>
    <row r="1044" spans="1:32" x14ac:dyDescent="0.2">
      <c r="A1044" s="121">
        <v>614</v>
      </c>
      <c r="B1044" s="122" t="s">
        <v>1204</v>
      </c>
      <c r="C1044" s="123" t="s">
        <v>429</v>
      </c>
      <c r="D1044" s="123" t="s">
        <v>16</v>
      </c>
      <c r="E1044" s="123" t="s">
        <v>2784</v>
      </c>
      <c r="F1044" s="124" t="s">
        <v>2785</v>
      </c>
      <c r="G1044" s="124" t="s">
        <v>2979</v>
      </c>
      <c r="H1044" s="124" t="s">
        <v>2691</v>
      </c>
      <c r="I1044" s="123">
        <v>21.021740000000001</v>
      </c>
      <c r="J1044" s="123">
        <v>-101.27068</v>
      </c>
      <c r="K1044" s="122"/>
      <c r="L1044" s="125" t="str">
        <f t="shared" si="51"/>
        <v>Ver en Google Maps</v>
      </c>
      <c r="M1044" s="125">
        <v>2</v>
      </c>
      <c r="N1044" s="140"/>
      <c r="O1044" s="109"/>
      <c r="P1044" s="109"/>
      <c r="Q1044" s="109"/>
      <c r="R1044" s="109"/>
      <c r="S1044" s="109"/>
      <c r="T1044" s="109"/>
      <c r="U1044" s="109"/>
      <c r="V1044" s="109"/>
      <c r="W1044" s="109"/>
      <c r="X1044" s="109"/>
      <c r="Y1044" s="109"/>
      <c r="Z1044" s="109"/>
      <c r="AA1044" s="109"/>
      <c r="AB1044" s="109"/>
      <c r="AC1044" s="110"/>
      <c r="AD1044" s="110"/>
      <c r="AE1044" s="109"/>
      <c r="AF1044" s="151"/>
    </row>
    <row r="1045" spans="1:32" x14ac:dyDescent="0.2">
      <c r="A1045" s="112">
        <v>615</v>
      </c>
      <c r="B1045" s="113" t="s">
        <v>1204</v>
      </c>
      <c r="C1045" s="114" t="s">
        <v>429</v>
      </c>
      <c r="D1045" s="114" t="s">
        <v>16</v>
      </c>
      <c r="E1045" s="114" t="s">
        <v>2786</v>
      </c>
      <c r="F1045" s="115" t="s">
        <v>2787</v>
      </c>
      <c r="G1045" s="115" t="s">
        <v>2972</v>
      </c>
      <c r="H1045" s="115" t="s">
        <v>2691</v>
      </c>
      <c r="I1045" s="114">
        <v>21.0124</v>
      </c>
      <c r="J1045" s="114">
        <v>-101.25136999999999</v>
      </c>
      <c r="K1045" s="113"/>
      <c r="L1045" s="116" t="str">
        <f t="shared" si="51"/>
        <v>Ver en Google Maps</v>
      </c>
      <c r="M1045" s="116">
        <v>1</v>
      </c>
      <c r="N1045" s="139"/>
      <c r="O1045" s="118"/>
      <c r="P1045" s="118"/>
      <c r="Q1045" s="118"/>
      <c r="R1045" s="118"/>
      <c r="S1045" s="118"/>
      <c r="T1045" s="118"/>
      <c r="U1045" s="118"/>
      <c r="V1045" s="118"/>
      <c r="W1045" s="118"/>
      <c r="X1045" s="118"/>
      <c r="Y1045" s="118"/>
      <c r="Z1045" s="118"/>
      <c r="AA1045" s="118"/>
      <c r="AB1045" s="118"/>
      <c r="AC1045" s="119"/>
      <c r="AD1045" s="119"/>
      <c r="AE1045" s="118"/>
      <c r="AF1045" s="152"/>
    </row>
    <row r="1046" spans="1:32" x14ac:dyDescent="0.2">
      <c r="A1046" s="121">
        <v>616</v>
      </c>
      <c r="B1046" s="122" t="s">
        <v>1204</v>
      </c>
      <c r="C1046" s="123" t="s">
        <v>429</v>
      </c>
      <c r="D1046" s="123" t="s">
        <v>16</v>
      </c>
      <c r="E1046" s="123" t="s">
        <v>2788</v>
      </c>
      <c r="F1046" s="124" t="s">
        <v>2789</v>
      </c>
      <c r="G1046" s="124" t="s">
        <v>2972</v>
      </c>
      <c r="H1046" s="124" t="s">
        <v>2691</v>
      </c>
      <c r="I1046" s="123">
        <v>21.015429999999999</v>
      </c>
      <c r="J1046" s="123">
        <v>-101.25366</v>
      </c>
      <c r="K1046" s="122" t="s">
        <v>139</v>
      </c>
      <c r="L1046" s="125" t="str">
        <f t="shared" si="51"/>
        <v>Ver en Google Maps</v>
      </c>
      <c r="M1046" s="125">
        <v>1</v>
      </c>
      <c r="N1046" s="138">
        <v>45948</v>
      </c>
      <c r="O1046" s="109">
        <f>DAY('BD1'!$N1046)</f>
        <v>18</v>
      </c>
      <c r="P1046" s="109">
        <f>MONTH('BD1'!$N1046)</f>
        <v>10</v>
      </c>
      <c r="Q1046" s="109">
        <f>YEAR('BD1'!$N1046)</f>
        <v>2025</v>
      </c>
      <c r="R1046" s="109">
        <v>1</v>
      </c>
      <c r="S1046" s="109" t="s">
        <v>138</v>
      </c>
      <c r="T1046" s="109" t="s">
        <v>138</v>
      </c>
      <c r="U1046" s="109" t="s">
        <v>138</v>
      </c>
      <c r="V1046" s="109" t="s">
        <v>934</v>
      </c>
      <c r="W1046" s="109" t="s">
        <v>138</v>
      </c>
      <c r="X1046" s="109" t="s">
        <v>138</v>
      </c>
      <c r="Y1046" s="109" t="s">
        <v>934</v>
      </c>
      <c r="Z1046" s="109" t="s">
        <v>138</v>
      </c>
      <c r="AA1046" s="109">
        <v>0.09</v>
      </c>
      <c r="AB1046" s="109">
        <v>0</v>
      </c>
      <c r="AC1046" s="110" t="s">
        <v>3072</v>
      </c>
      <c r="AD1046" s="110" t="s">
        <v>2436</v>
      </c>
      <c r="AE1046" s="109">
        <f t="shared" si="49"/>
        <v>6</v>
      </c>
      <c r="AF1046" s="151" t="str">
        <f t="shared" si="50"/>
        <v>Funcional con observaciones</v>
      </c>
    </row>
    <row r="1047" spans="1:32" x14ac:dyDescent="0.2">
      <c r="A1047" s="112">
        <v>617</v>
      </c>
      <c r="B1047" s="113" t="s">
        <v>1204</v>
      </c>
      <c r="C1047" s="114" t="s">
        <v>429</v>
      </c>
      <c r="D1047" s="114" t="s">
        <v>404</v>
      </c>
      <c r="E1047" s="114" t="s">
        <v>2790</v>
      </c>
      <c r="F1047" s="115" t="s">
        <v>2791</v>
      </c>
      <c r="G1047" s="115" t="s">
        <v>2995</v>
      </c>
      <c r="H1047" s="115" t="s">
        <v>2691</v>
      </c>
      <c r="I1047" s="114">
        <v>20.951419999999999</v>
      </c>
      <c r="J1047" s="114">
        <v>-101.28131</v>
      </c>
      <c r="K1047" s="113"/>
      <c r="L1047" s="116" t="str">
        <f t="shared" si="51"/>
        <v>Ver en Google Maps</v>
      </c>
      <c r="M1047" s="116">
        <v>1</v>
      </c>
      <c r="N1047" s="139"/>
      <c r="O1047" s="118"/>
      <c r="P1047" s="118"/>
      <c r="Q1047" s="118"/>
      <c r="R1047" s="118"/>
      <c r="S1047" s="118"/>
      <c r="T1047" s="118"/>
      <c r="U1047" s="118"/>
      <c r="V1047" s="118"/>
      <c r="W1047" s="118"/>
      <c r="X1047" s="118"/>
      <c r="Y1047" s="118"/>
      <c r="Z1047" s="118"/>
      <c r="AA1047" s="118"/>
      <c r="AB1047" s="118"/>
      <c r="AC1047" s="119"/>
      <c r="AD1047" s="119"/>
      <c r="AE1047" s="118"/>
      <c r="AF1047" s="152"/>
    </row>
    <row r="1048" spans="1:32" x14ac:dyDescent="0.2">
      <c r="A1048" s="121">
        <v>667</v>
      </c>
      <c r="B1048" s="122" t="s">
        <v>1204</v>
      </c>
      <c r="C1048" s="123" t="s">
        <v>429</v>
      </c>
      <c r="D1048" s="123" t="s">
        <v>15</v>
      </c>
      <c r="E1048" s="123" t="s">
        <v>2792</v>
      </c>
      <c r="F1048" s="124" t="s">
        <v>2793</v>
      </c>
      <c r="G1048" s="124" t="s">
        <v>1783</v>
      </c>
      <c r="H1048" s="124" t="s">
        <v>2691</v>
      </c>
      <c r="I1048" s="123">
        <v>21.01397</v>
      </c>
      <c r="J1048" s="123">
        <v>-101.278413</v>
      </c>
      <c r="K1048" s="122" t="s">
        <v>139</v>
      </c>
      <c r="L1048" s="125" t="str">
        <f t="shared" si="51"/>
        <v>Ver en Google Maps</v>
      </c>
      <c r="M1048" s="125">
        <v>2</v>
      </c>
      <c r="N1048" s="138">
        <v>45944</v>
      </c>
      <c r="O1048" s="109">
        <f>DAY('BD1'!$N1048)</f>
        <v>14</v>
      </c>
      <c r="P1048" s="109">
        <f>MONTH('BD1'!$N1048)</f>
        <v>10</v>
      </c>
      <c r="Q1048" s="109">
        <f>YEAR('BD1'!$N1048)</f>
        <v>2025</v>
      </c>
      <c r="R1048" s="109">
        <v>1</v>
      </c>
      <c r="S1048" s="109" t="s">
        <v>138</v>
      </c>
      <c r="T1048" s="109" t="s">
        <v>138</v>
      </c>
      <c r="U1048" s="109" t="s">
        <v>138</v>
      </c>
      <c r="V1048" s="109" t="s">
        <v>138</v>
      </c>
      <c r="W1048" s="109" t="s">
        <v>138</v>
      </c>
      <c r="X1048" s="109" t="s">
        <v>138</v>
      </c>
      <c r="Y1048" s="109" t="s">
        <v>138</v>
      </c>
      <c r="Z1048" s="109" t="s">
        <v>138</v>
      </c>
      <c r="AA1048" s="109">
        <v>81.8</v>
      </c>
      <c r="AB1048" s="109">
        <v>65.8</v>
      </c>
      <c r="AC1048" s="110" t="s">
        <v>967</v>
      </c>
      <c r="AD1048" s="110"/>
      <c r="AE1048" s="109">
        <f t="shared" si="49"/>
        <v>8</v>
      </c>
      <c r="AF1048" s="151" t="str">
        <f t="shared" si="50"/>
        <v>Estable</v>
      </c>
    </row>
    <row r="1049" spans="1:32" x14ac:dyDescent="0.2">
      <c r="A1049" s="112">
        <v>727</v>
      </c>
      <c r="B1049" s="113" t="s">
        <v>1204</v>
      </c>
      <c r="C1049" s="114" t="s">
        <v>429</v>
      </c>
      <c r="D1049" s="114" t="s">
        <v>15</v>
      </c>
      <c r="E1049" s="114" t="s">
        <v>2794</v>
      </c>
      <c r="F1049" s="115" t="s">
        <v>2795</v>
      </c>
      <c r="G1049" s="115" t="s">
        <v>2973</v>
      </c>
      <c r="H1049" s="115" t="s">
        <v>2691</v>
      </c>
      <c r="I1049" s="114">
        <v>20.97082</v>
      </c>
      <c r="J1049" s="114">
        <v>-101.27497</v>
      </c>
      <c r="K1049" s="113"/>
      <c r="L1049" s="116" t="str">
        <f t="shared" si="51"/>
        <v>Ver en Google Maps</v>
      </c>
      <c r="M1049" s="116">
        <v>2</v>
      </c>
      <c r="N1049" s="139"/>
      <c r="O1049" s="118"/>
      <c r="P1049" s="118"/>
      <c r="Q1049" s="118"/>
      <c r="R1049" s="118"/>
      <c r="S1049" s="118"/>
      <c r="T1049" s="118"/>
      <c r="U1049" s="118"/>
      <c r="V1049" s="118"/>
      <c r="W1049" s="118"/>
      <c r="X1049" s="118"/>
      <c r="Y1049" s="118"/>
      <c r="Z1049" s="118"/>
      <c r="AA1049" s="118"/>
      <c r="AB1049" s="118"/>
      <c r="AC1049" s="119"/>
      <c r="AD1049" s="119"/>
      <c r="AE1049" s="118"/>
      <c r="AF1049" s="152"/>
    </row>
    <row r="1050" spans="1:32" x14ac:dyDescent="0.2">
      <c r="A1050" s="121">
        <v>751</v>
      </c>
      <c r="B1050" s="122" t="s">
        <v>1204</v>
      </c>
      <c r="C1050" s="123" t="s">
        <v>429</v>
      </c>
      <c r="D1050" s="123" t="s">
        <v>17</v>
      </c>
      <c r="E1050" s="123" t="s">
        <v>2796</v>
      </c>
      <c r="F1050" s="124" t="s">
        <v>2797</v>
      </c>
      <c r="G1050" s="124" t="s">
        <v>2996</v>
      </c>
      <c r="H1050" s="124" t="s">
        <v>2691</v>
      </c>
      <c r="I1050" s="123">
        <v>21.011479999999999</v>
      </c>
      <c r="J1050" s="123">
        <v>-101.2814</v>
      </c>
      <c r="K1050" s="122" t="s">
        <v>139</v>
      </c>
      <c r="L1050" s="125" t="str">
        <f t="shared" si="51"/>
        <v>Ver en Google Maps</v>
      </c>
      <c r="M1050" s="125">
        <v>1</v>
      </c>
      <c r="N1050" s="138">
        <v>45944</v>
      </c>
      <c r="O1050" s="109">
        <f>DAY('BD1'!$N1050)</f>
        <v>14</v>
      </c>
      <c r="P1050" s="109">
        <f>MONTH('BD1'!$N1050)</f>
        <v>10</v>
      </c>
      <c r="Q1050" s="109">
        <f>YEAR('BD1'!$N1050)</f>
        <v>2025</v>
      </c>
      <c r="R1050" s="109">
        <v>1</v>
      </c>
      <c r="S1050" s="109" t="s">
        <v>138</v>
      </c>
      <c r="T1050" s="109" t="s">
        <v>934</v>
      </c>
      <c r="U1050" s="109" t="s">
        <v>138</v>
      </c>
      <c r="V1050" s="109" t="s">
        <v>934</v>
      </c>
      <c r="W1050" s="109" t="s">
        <v>138</v>
      </c>
      <c r="X1050" s="109" t="s">
        <v>934</v>
      </c>
      <c r="Y1050" s="109" t="s">
        <v>934</v>
      </c>
      <c r="Z1050" s="109" t="s">
        <v>934</v>
      </c>
      <c r="AA1050" s="109">
        <v>0</v>
      </c>
      <c r="AB1050" s="109">
        <v>0</v>
      </c>
      <c r="AC1050" s="110" t="s">
        <v>3032</v>
      </c>
      <c r="AD1050" s="110" t="s">
        <v>2436</v>
      </c>
      <c r="AE1050" s="109">
        <f t="shared" si="49"/>
        <v>3</v>
      </c>
      <c r="AF1050" s="151" t="str">
        <f t="shared" si="50"/>
        <v>Parcialmente funcional</v>
      </c>
    </row>
    <row r="1051" spans="1:32" x14ac:dyDescent="0.2">
      <c r="A1051" s="112">
        <v>768</v>
      </c>
      <c r="B1051" s="113" t="s">
        <v>1204</v>
      </c>
      <c r="C1051" s="114" t="s">
        <v>429</v>
      </c>
      <c r="D1051" s="114" t="s">
        <v>16</v>
      </c>
      <c r="E1051" s="114" t="s">
        <v>2798</v>
      </c>
      <c r="F1051" s="115" t="s">
        <v>2799</v>
      </c>
      <c r="G1051" s="115" t="s">
        <v>2997</v>
      </c>
      <c r="H1051" s="115" t="s">
        <v>2691</v>
      </c>
      <c r="I1051" s="114">
        <v>20.969676</v>
      </c>
      <c r="J1051" s="114">
        <v>-101.293995</v>
      </c>
      <c r="K1051" s="113"/>
      <c r="L1051" s="116" t="str">
        <f t="shared" si="51"/>
        <v>Ver en Google Maps</v>
      </c>
      <c r="M1051" s="116">
        <v>1</v>
      </c>
      <c r="N1051" s="139"/>
      <c r="O1051" s="118"/>
      <c r="P1051" s="118"/>
      <c r="Q1051" s="118"/>
      <c r="R1051" s="118"/>
      <c r="S1051" s="118"/>
      <c r="T1051" s="118"/>
      <c r="U1051" s="118"/>
      <c r="V1051" s="118"/>
      <c r="W1051" s="118"/>
      <c r="X1051" s="118"/>
      <c r="Y1051" s="118"/>
      <c r="Z1051" s="118"/>
      <c r="AA1051" s="118"/>
      <c r="AB1051" s="118"/>
      <c r="AC1051" s="119"/>
      <c r="AD1051" s="119"/>
      <c r="AE1051" s="118"/>
      <c r="AF1051" s="152"/>
    </row>
    <row r="1052" spans="1:32" x14ac:dyDescent="0.2">
      <c r="A1052" s="121">
        <v>769</v>
      </c>
      <c r="B1052" s="122" t="s">
        <v>1204</v>
      </c>
      <c r="C1052" s="123" t="s">
        <v>429</v>
      </c>
      <c r="D1052" s="123" t="s">
        <v>15</v>
      </c>
      <c r="E1052" s="123" t="s">
        <v>2800</v>
      </c>
      <c r="F1052" s="124" t="s">
        <v>2801</v>
      </c>
      <c r="G1052" s="124" t="s">
        <v>2998</v>
      </c>
      <c r="H1052" s="124" t="s">
        <v>2691</v>
      </c>
      <c r="I1052" s="123">
        <v>20.979462999999999</v>
      </c>
      <c r="J1052" s="123">
        <v>-101.27690699999999</v>
      </c>
      <c r="K1052" s="122" t="s">
        <v>3057</v>
      </c>
      <c r="L1052" s="125" t="str">
        <f t="shared" si="51"/>
        <v>Ver en Google Maps</v>
      </c>
      <c r="M1052" s="125">
        <v>2</v>
      </c>
      <c r="N1052" s="138">
        <v>45944</v>
      </c>
      <c r="O1052" s="109">
        <f>DAY('BD1'!$N1052)</f>
        <v>14</v>
      </c>
      <c r="P1052" s="109">
        <f>MONTH('BD1'!$N1052)</f>
        <v>10</v>
      </c>
      <c r="Q1052" s="109">
        <f>YEAR('BD1'!$N1052)</f>
        <v>2025</v>
      </c>
      <c r="R1052" s="109">
        <v>1</v>
      </c>
      <c r="S1052" s="109" t="s">
        <v>138</v>
      </c>
      <c r="T1052" s="109" t="s">
        <v>138</v>
      </c>
      <c r="U1052" s="109" t="s">
        <v>138</v>
      </c>
      <c r="V1052" s="109" t="s">
        <v>138</v>
      </c>
      <c r="W1052" s="109" t="s">
        <v>138</v>
      </c>
      <c r="X1052" s="109" t="s">
        <v>138</v>
      </c>
      <c r="Y1052" s="109" t="s">
        <v>138</v>
      </c>
      <c r="Z1052" s="109" t="s">
        <v>138</v>
      </c>
      <c r="AA1052" s="109">
        <v>120</v>
      </c>
      <c r="AB1052" s="109">
        <v>72.599999999999994</v>
      </c>
      <c r="AC1052" s="110" t="s">
        <v>967</v>
      </c>
      <c r="AD1052" s="110" t="s">
        <v>2436</v>
      </c>
      <c r="AE1052" s="109">
        <f t="shared" si="49"/>
        <v>8</v>
      </c>
      <c r="AF1052" s="151" t="str">
        <f t="shared" si="50"/>
        <v>Estable</v>
      </c>
    </row>
    <row r="1053" spans="1:32" x14ac:dyDescent="0.2">
      <c r="A1053" s="112">
        <v>776</v>
      </c>
      <c r="B1053" s="113" t="s">
        <v>1204</v>
      </c>
      <c r="C1053" s="114" t="s">
        <v>429</v>
      </c>
      <c r="D1053" s="114" t="s">
        <v>15</v>
      </c>
      <c r="E1053" s="114" t="s">
        <v>2792</v>
      </c>
      <c r="F1053" s="115" t="s">
        <v>2793</v>
      </c>
      <c r="G1053" s="115" t="s">
        <v>2309</v>
      </c>
      <c r="H1053" s="115" t="s">
        <v>2691</v>
      </c>
      <c r="I1053" s="114">
        <v>21.01397</v>
      </c>
      <c r="J1053" s="114">
        <v>-101.278413</v>
      </c>
      <c r="K1053" s="113"/>
      <c r="L1053" s="116" t="str">
        <f t="shared" si="51"/>
        <v>Ver en Google Maps</v>
      </c>
      <c r="M1053" s="116">
        <v>2</v>
      </c>
      <c r="N1053" s="139"/>
      <c r="O1053" s="118"/>
      <c r="P1053" s="118"/>
      <c r="Q1053" s="118"/>
      <c r="R1053" s="118"/>
      <c r="S1053" s="118"/>
      <c r="T1053" s="118"/>
      <c r="U1053" s="118"/>
      <c r="V1053" s="118"/>
      <c r="W1053" s="118"/>
      <c r="X1053" s="118"/>
      <c r="Y1053" s="118"/>
      <c r="Z1053" s="118"/>
      <c r="AA1053" s="118"/>
      <c r="AB1053" s="118"/>
      <c r="AC1053" s="119"/>
      <c r="AD1053" s="119"/>
      <c r="AE1053" s="118"/>
      <c r="AF1053" s="152"/>
    </row>
    <row r="1054" spans="1:32" x14ac:dyDescent="0.2">
      <c r="A1054" s="121">
        <v>789</v>
      </c>
      <c r="B1054" s="122" t="s">
        <v>1204</v>
      </c>
      <c r="C1054" s="123" t="s">
        <v>429</v>
      </c>
      <c r="D1054" s="123" t="s">
        <v>15</v>
      </c>
      <c r="E1054" s="123" t="s">
        <v>2802</v>
      </c>
      <c r="F1054" s="124" t="s">
        <v>2803</v>
      </c>
      <c r="G1054" s="124" t="s">
        <v>1231</v>
      </c>
      <c r="H1054" s="124" t="s">
        <v>2691</v>
      </c>
      <c r="I1054" s="123">
        <v>21.01052</v>
      </c>
      <c r="J1054" s="123">
        <v>-101.246905</v>
      </c>
      <c r="K1054" s="122"/>
      <c r="L1054" s="125" t="str">
        <f t="shared" si="51"/>
        <v>Ver en Google Maps</v>
      </c>
      <c r="M1054" s="125">
        <v>1</v>
      </c>
      <c r="N1054" s="140"/>
      <c r="O1054" s="109"/>
      <c r="P1054" s="109"/>
      <c r="Q1054" s="109"/>
      <c r="R1054" s="109"/>
      <c r="S1054" s="109"/>
      <c r="T1054" s="109"/>
      <c r="U1054" s="109"/>
      <c r="V1054" s="109"/>
      <c r="W1054" s="109"/>
      <c r="X1054" s="109"/>
      <c r="Y1054" s="109"/>
      <c r="Z1054" s="109"/>
      <c r="AA1054" s="109"/>
      <c r="AB1054" s="109"/>
      <c r="AC1054" s="110"/>
      <c r="AD1054" s="110"/>
      <c r="AE1054" s="109"/>
      <c r="AF1054" s="151"/>
    </row>
    <row r="1055" spans="1:32" x14ac:dyDescent="0.2">
      <c r="A1055" s="112">
        <v>798</v>
      </c>
      <c r="B1055" s="113" t="s">
        <v>1204</v>
      </c>
      <c r="C1055" s="114" t="s">
        <v>429</v>
      </c>
      <c r="D1055" s="114" t="s">
        <v>16</v>
      </c>
      <c r="E1055" s="114" t="s">
        <v>2804</v>
      </c>
      <c r="F1055" s="115" t="s">
        <v>2805</v>
      </c>
      <c r="G1055" s="115" t="s">
        <v>360</v>
      </c>
      <c r="H1055" s="115" t="s">
        <v>2691</v>
      </c>
      <c r="I1055" s="114">
        <v>21.003830000000001</v>
      </c>
      <c r="J1055" s="114">
        <v>-101.2406</v>
      </c>
      <c r="K1055" s="113"/>
      <c r="L1055" s="116" t="str">
        <f t="shared" si="51"/>
        <v>Ver en Google Maps</v>
      </c>
      <c r="M1055" s="116">
        <v>2</v>
      </c>
      <c r="N1055" s="139"/>
      <c r="O1055" s="118"/>
      <c r="P1055" s="118"/>
      <c r="Q1055" s="118"/>
      <c r="R1055" s="118"/>
      <c r="S1055" s="118"/>
      <c r="T1055" s="118"/>
      <c r="U1055" s="118"/>
      <c r="V1055" s="118"/>
      <c r="W1055" s="118"/>
      <c r="X1055" s="118"/>
      <c r="Y1055" s="118"/>
      <c r="Z1055" s="118"/>
      <c r="AA1055" s="118"/>
      <c r="AB1055" s="118"/>
      <c r="AC1055" s="119"/>
      <c r="AD1055" s="119"/>
      <c r="AE1055" s="118"/>
      <c r="AF1055" s="152"/>
    </row>
    <row r="1056" spans="1:32" x14ac:dyDescent="0.2">
      <c r="A1056" s="121">
        <v>816</v>
      </c>
      <c r="B1056" s="122" t="s">
        <v>1204</v>
      </c>
      <c r="C1056" s="123" t="s">
        <v>429</v>
      </c>
      <c r="D1056" s="123" t="s">
        <v>16</v>
      </c>
      <c r="E1056" s="123" t="s">
        <v>2806</v>
      </c>
      <c r="F1056" s="124" t="s">
        <v>2807</v>
      </c>
      <c r="G1056" s="124" t="s">
        <v>2999</v>
      </c>
      <c r="H1056" s="124" t="s">
        <v>2691</v>
      </c>
      <c r="I1056" s="123">
        <v>21.041519999999998</v>
      </c>
      <c r="J1056" s="123">
        <v>-101.25815</v>
      </c>
      <c r="K1056" s="122"/>
      <c r="L1056" s="125" t="str">
        <f t="shared" si="51"/>
        <v>Ver en Google Maps</v>
      </c>
      <c r="M1056" s="125">
        <v>1</v>
      </c>
      <c r="N1056" s="140"/>
      <c r="O1056" s="109"/>
      <c r="P1056" s="109"/>
      <c r="Q1056" s="109"/>
      <c r="R1056" s="109"/>
      <c r="S1056" s="109"/>
      <c r="T1056" s="109"/>
      <c r="U1056" s="109"/>
      <c r="V1056" s="109"/>
      <c r="W1056" s="109"/>
      <c r="X1056" s="109"/>
      <c r="Y1056" s="109"/>
      <c r="Z1056" s="109"/>
      <c r="AA1056" s="109"/>
      <c r="AB1056" s="109"/>
      <c r="AC1056" s="110"/>
      <c r="AD1056" s="110"/>
      <c r="AE1056" s="109"/>
      <c r="AF1056" s="151"/>
    </row>
    <row r="1057" spans="1:32" x14ac:dyDescent="0.2">
      <c r="A1057" s="112">
        <v>817</v>
      </c>
      <c r="B1057" s="113" t="s">
        <v>1204</v>
      </c>
      <c r="C1057" s="114" t="s">
        <v>429</v>
      </c>
      <c r="D1057" s="114" t="s">
        <v>15</v>
      </c>
      <c r="E1057" s="114" t="s">
        <v>2808</v>
      </c>
      <c r="F1057" s="115" t="s">
        <v>2809</v>
      </c>
      <c r="G1057" s="115" t="s">
        <v>2971</v>
      </c>
      <c r="H1057" s="115" t="s">
        <v>2691</v>
      </c>
      <c r="I1057" s="114">
        <v>21.038927999999999</v>
      </c>
      <c r="J1057" s="114">
        <v>-101.25676</v>
      </c>
      <c r="K1057" s="113"/>
      <c r="L1057" s="116" t="str">
        <f t="shared" si="51"/>
        <v>Ver en Google Maps</v>
      </c>
      <c r="M1057" s="116">
        <v>2</v>
      </c>
      <c r="N1057" s="139"/>
      <c r="O1057" s="118"/>
      <c r="P1057" s="118"/>
      <c r="Q1057" s="118"/>
      <c r="R1057" s="118"/>
      <c r="S1057" s="118"/>
      <c r="T1057" s="118"/>
      <c r="U1057" s="118"/>
      <c r="V1057" s="118"/>
      <c r="W1057" s="118"/>
      <c r="X1057" s="118"/>
      <c r="Y1057" s="118"/>
      <c r="Z1057" s="118"/>
      <c r="AA1057" s="118"/>
      <c r="AB1057" s="118"/>
      <c r="AC1057" s="119"/>
      <c r="AD1057" s="119"/>
      <c r="AE1057" s="118"/>
      <c r="AF1057" s="152"/>
    </row>
    <row r="1058" spans="1:32" x14ac:dyDescent="0.2">
      <c r="A1058" s="121">
        <v>818</v>
      </c>
      <c r="B1058" s="122" t="s">
        <v>1204</v>
      </c>
      <c r="C1058" s="123" t="s">
        <v>429</v>
      </c>
      <c r="D1058" s="123" t="s">
        <v>17</v>
      </c>
      <c r="E1058" s="123" t="s">
        <v>2810</v>
      </c>
      <c r="F1058" s="124" t="s">
        <v>2811</v>
      </c>
      <c r="G1058" s="124" t="s">
        <v>3000</v>
      </c>
      <c r="H1058" s="124" t="s">
        <v>2691</v>
      </c>
      <c r="I1058" s="123">
        <v>21.02852</v>
      </c>
      <c r="J1058" s="123">
        <v>-101.25026099999999</v>
      </c>
      <c r="K1058" s="122"/>
      <c r="L1058" s="125" t="str">
        <f t="shared" si="51"/>
        <v>Ver en Google Maps</v>
      </c>
      <c r="M1058" s="125">
        <v>1</v>
      </c>
      <c r="N1058" s="140"/>
      <c r="O1058" s="109"/>
      <c r="P1058" s="109"/>
      <c r="Q1058" s="109"/>
      <c r="R1058" s="109"/>
      <c r="S1058" s="109"/>
      <c r="T1058" s="109"/>
      <c r="U1058" s="109"/>
      <c r="V1058" s="109"/>
      <c r="W1058" s="109"/>
      <c r="X1058" s="109"/>
      <c r="Y1058" s="109"/>
      <c r="Z1058" s="109"/>
      <c r="AA1058" s="109"/>
      <c r="AB1058" s="109"/>
      <c r="AC1058" s="110"/>
      <c r="AD1058" s="110"/>
      <c r="AE1058" s="109"/>
      <c r="AF1058" s="151"/>
    </row>
    <row r="1059" spans="1:32" x14ac:dyDescent="0.2">
      <c r="A1059" s="112">
        <v>819</v>
      </c>
      <c r="B1059" s="113" t="s">
        <v>1204</v>
      </c>
      <c r="C1059" s="114" t="s">
        <v>429</v>
      </c>
      <c r="D1059" s="114" t="s">
        <v>16</v>
      </c>
      <c r="E1059" s="114" t="s">
        <v>2812</v>
      </c>
      <c r="F1059" s="115" t="s">
        <v>2813</v>
      </c>
      <c r="G1059" s="115" t="s">
        <v>3001</v>
      </c>
      <c r="H1059" s="115" t="s">
        <v>2691</v>
      </c>
      <c r="I1059" s="114">
        <v>21.007273000000001</v>
      </c>
      <c r="J1059" s="114">
        <v>-101.249742</v>
      </c>
      <c r="K1059" s="113"/>
      <c r="L1059" s="116" t="str">
        <f t="shared" si="51"/>
        <v>Ver en Google Maps</v>
      </c>
      <c r="M1059" s="116">
        <v>1</v>
      </c>
      <c r="N1059" s="139"/>
      <c r="O1059" s="118"/>
      <c r="P1059" s="118"/>
      <c r="Q1059" s="118"/>
      <c r="R1059" s="118"/>
      <c r="S1059" s="118"/>
      <c r="T1059" s="118"/>
      <c r="U1059" s="118"/>
      <c r="V1059" s="118"/>
      <c r="W1059" s="118"/>
      <c r="X1059" s="118"/>
      <c r="Y1059" s="118"/>
      <c r="Z1059" s="118"/>
      <c r="AA1059" s="118"/>
      <c r="AB1059" s="118"/>
      <c r="AC1059" s="119"/>
      <c r="AD1059" s="119"/>
      <c r="AE1059" s="118"/>
      <c r="AF1059" s="152"/>
    </row>
    <row r="1060" spans="1:32" x14ac:dyDescent="0.2">
      <c r="A1060" s="121">
        <v>820</v>
      </c>
      <c r="B1060" s="122" t="s">
        <v>1204</v>
      </c>
      <c r="C1060" s="123" t="s">
        <v>429</v>
      </c>
      <c r="D1060" s="123" t="s">
        <v>15</v>
      </c>
      <c r="E1060" s="123" t="s">
        <v>2814</v>
      </c>
      <c r="F1060" s="124" t="s">
        <v>2815</v>
      </c>
      <c r="G1060" s="124" t="s">
        <v>3002</v>
      </c>
      <c r="H1060" s="124" t="s">
        <v>2691</v>
      </c>
      <c r="I1060" s="123">
        <v>21.020060000000001</v>
      </c>
      <c r="J1060" s="123">
        <v>-101.25351999999999</v>
      </c>
      <c r="K1060" s="122"/>
      <c r="L1060" s="125" t="str">
        <f t="shared" si="51"/>
        <v>Ver en Google Maps</v>
      </c>
      <c r="M1060" s="125">
        <v>2</v>
      </c>
      <c r="N1060" s="140"/>
      <c r="O1060" s="109"/>
      <c r="P1060" s="109"/>
      <c r="Q1060" s="109"/>
      <c r="R1060" s="109"/>
      <c r="S1060" s="109"/>
      <c r="T1060" s="109"/>
      <c r="U1060" s="109"/>
      <c r="V1060" s="109"/>
      <c r="W1060" s="109"/>
      <c r="X1060" s="109"/>
      <c r="Y1060" s="109"/>
      <c r="Z1060" s="109"/>
      <c r="AA1060" s="109"/>
      <c r="AB1060" s="109"/>
      <c r="AC1060" s="110"/>
      <c r="AD1060" s="110"/>
      <c r="AE1060" s="109"/>
      <c r="AF1060" s="151"/>
    </row>
    <row r="1061" spans="1:32" x14ac:dyDescent="0.2">
      <c r="A1061" s="112">
        <v>824</v>
      </c>
      <c r="B1061" s="113" t="s">
        <v>1204</v>
      </c>
      <c r="C1061" s="114" t="s">
        <v>14</v>
      </c>
      <c r="D1061" s="114" t="s">
        <v>404</v>
      </c>
      <c r="E1061" s="114" t="s">
        <v>2816</v>
      </c>
      <c r="F1061" s="115" t="s">
        <v>2817</v>
      </c>
      <c r="G1061" s="115" t="s">
        <v>2977</v>
      </c>
      <c r="H1061" s="115" t="s">
        <v>2691</v>
      </c>
      <c r="I1061" s="114">
        <v>21.010770999999998</v>
      </c>
      <c r="J1061" s="114">
        <v>-101.261668</v>
      </c>
      <c r="K1061" s="113"/>
      <c r="L1061" s="116" t="str">
        <f t="shared" si="51"/>
        <v>Ver en Google Maps</v>
      </c>
      <c r="M1061" s="116">
        <v>1</v>
      </c>
      <c r="N1061" s="139"/>
      <c r="O1061" s="118"/>
      <c r="P1061" s="118"/>
      <c r="Q1061" s="118"/>
      <c r="R1061" s="118"/>
      <c r="S1061" s="118"/>
      <c r="T1061" s="118"/>
      <c r="U1061" s="118"/>
      <c r="V1061" s="118"/>
      <c r="W1061" s="118"/>
      <c r="X1061" s="118"/>
      <c r="Y1061" s="118"/>
      <c r="Z1061" s="118"/>
      <c r="AA1061" s="118"/>
      <c r="AB1061" s="118"/>
      <c r="AC1061" s="119"/>
      <c r="AD1061" s="119"/>
      <c r="AE1061" s="118"/>
      <c r="AF1061" s="152"/>
    </row>
    <row r="1062" spans="1:32" x14ac:dyDescent="0.2">
      <c r="A1062" s="121">
        <v>825</v>
      </c>
      <c r="B1062" s="122" t="s">
        <v>1204</v>
      </c>
      <c r="C1062" s="123" t="s">
        <v>14</v>
      </c>
      <c r="D1062" s="123" t="s">
        <v>404</v>
      </c>
      <c r="E1062" s="123" t="s">
        <v>2818</v>
      </c>
      <c r="F1062" s="124" t="s">
        <v>2819</v>
      </c>
      <c r="G1062" s="124" t="s">
        <v>2979</v>
      </c>
      <c r="H1062" s="124" t="s">
        <v>2691</v>
      </c>
      <c r="I1062" s="123">
        <v>21.018605000000001</v>
      </c>
      <c r="J1062" s="123">
        <v>-101.274235</v>
      </c>
      <c r="K1062" s="122" t="s">
        <v>139</v>
      </c>
      <c r="L1062" s="125" t="str">
        <f t="shared" si="51"/>
        <v>Ver en Google Maps</v>
      </c>
      <c r="M1062" s="125">
        <v>1</v>
      </c>
      <c r="N1062" s="138">
        <v>45948</v>
      </c>
      <c r="O1062" s="109">
        <f>DAY('BD1'!$N1062)</f>
        <v>18</v>
      </c>
      <c r="P1062" s="109">
        <f>MONTH('BD1'!$N1062)</f>
        <v>10</v>
      </c>
      <c r="Q1062" s="109">
        <f>YEAR('BD1'!$N1062)</f>
        <v>2025</v>
      </c>
      <c r="R1062" s="109">
        <v>1</v>
      </c>
      <c r="S1062" s="109" t="s">
        <v>934</v>
      </c>
      <c r="T1062" s="109" t="s">
        <v>934</v>
      </c>
      <c r="U1062" s="109" t="s">
        <v>934</v>
      </c>
      <c r="V1062" s="109" t="s">
        <v>934</v>
      </c>
      <c r="W1062" s="109" t="s">
        <v>934</v>
      </c>
      <c r="X1062" s="109" t="s">
        <v>934</v>
      </c>
      <c r="Y1062" s="109" t="s">
        <v>934</v>
      </c>
      <c r="Z1062" s="109" t="s">
        <v>934</v>
      </c>
      <c r="AA1062" s="109">
        <v>0</v>
      </c>
      <c r="AB1062" s="109">
        <v>0</v>
      </c>
      <c r="AC1062" s="110" t="s">
        <v>3068</v>
      </c>
      <c r="AD1062" s="110" t="s">
        <v>2436</v>
      </c>
      <c r="AE1062" s="109">
        <f t="shared" si="49"/>
        <v>0</v>
      </c>
      <c r="AF1062" s="151" t="str">
        <f t="shared" si="50"/>
        <v>Crítico</v>
      </c>
    </row>
    <row r="1063" spans="1:32" x14ac:dyDescent="0.2">
      <c r="A1063" s="112">
        <v>826</v>
      </c>
      <c r="B1063" s="113" t="s">
        <v>1204</v>
      </c>
      <c r="C1063" s="114" t="s">
        <v>14</v>
      </c>
      <c r="D1063" s="114" t="s">
        <v>404</v>
      </c>
      <c r="E1063" s="114" t="s">
        <v>2820</v>
      </c>
      <c r="F1063" s="115" t="s">
        <v>2821</v>
      </c>
      <c r="G1063" s="115" t="s">
        <v>3003</v>
      </c>
      <c r="H1063" s="115" t="s">
        <v>2691</v>
      </c>
      <c r="I1063" s="114">
        <v>20.983035999999998</v>
      </c>
      <c r="J1063" s="114">
        <v>-101.2891</v>
      </c>
      <c r="K1063" s="113"/>
      <c r="L1063" s="116" t="str">
        <f t="shared" si="51"/>
        <v>Ver en Google Maps</v>
      </c>
      <c r="M1063" s="116">
        <v>1</v>
      </c>
      <c r="N1063" s="139"/>
      <c r="O1063" s="118"/>
      <c r="P1063" s="118"/>
      <c r="Q1063" s="118"/>
      <c r="R1063" s="118"/>
      <c r="S1063" s="118"/>
      <c r="T1063" s="118"/>
      <c r="U1063" s="118"/>
      <c r="V1063" s="118"/>
      <c r="W1063" s="118"/>
      <c r="X1063" s="118"/>
      <c r="Y1063" s="118"/>
      <c r="Z1063" s="118"/>
      <c r="AA1063" s="118"/>
      <c r="AB1063" s="118"/>
      <c r="AC1063" s="119"/>
      <c r="AD1063" s="119"/>
      <c r="AE1063" s="118"/>
      <c r="AF1063" s="152"/>
    </row>
    <row r="1064" spans="1:32" x14ac:dyDescent="0.2">
      <c r="A1064" s="121">
        <v>829</v>
      </c>
      <c r="B1064" s="122" t="s">
        <v>1204</v>
      </c>
      <c r="C1064" s="123" t="s">
        <v>14</v>
      </c>
      <c r="D1064" s="123" t="s">
        <v>404</v>
      </c>
      <c r="E1064" s="123" t="s">
        <v>2822</v>
      </c>
      <c r="F1064" s="124" t="s">
        <v>2823</v>
      </c>
      <c r="G1064" s="124" t="s">
        <v>1231</v>
      </c>
      <c r="H1064" s="124" t="s">
        <v>2691</v>
      </c>
      <c r="I1064" s="123">
        <v>21.002952000000001</v>
      </c>
      <c r="J1064" s="123">
        <v>-101.24316</v>
      </c>
      <c r="K1064" s="122"/>
      <c r="L1064" s="125" t="str">
        <f t="shared" si="51"/>
        <v>Ver en Google Maps</v>
      </c>
      <c r="M1064" s="125">
        <v>1</v>
      </c>
      <c r="N1064" s="140"/>
      <c r="O1064" s="109"/>
      <c r="P1064" s="109"/>
      <c r="Q1064" s="109"/>
      <c r="R1064" s="109"/>
      <c r="S1064" s="109"/>
      <c r="T1064" s="109"/>
      <c r="U1064" s="109"/>
      <c r="V1064" s="109"/>
      <c r="W1064" s="109"/>
      <c r="X1064" s="109"/>
      <c r="Y1064" s="109"/>
      <c r="Z1064" s="109"/>
      <c r="AA1064" s="109"/>
      <c r="AB1064" s="109"/>
      <c r="AC1064" s="110"/>
      <c r="AD1064" s="110"/>
      <c r="AE1064" s="109"/>
      <c r="AF1064" s="151"/>
    </row>
    <row r="1065" spans="1:32" x14ac:dyDescent="0.2">
      <c r="A1065" s="112">
        <v>830</v>
      </c>
      <c r="B1065" s="113" t="s">
        <v>1204</v>
      </c>
      <c r="C1065" s="114" t="s">
        <v>14</v>
      </c>
      <c r="D1065" s="114" t="s">
        <v>404</v>
      </c>
      <c r="E1065" s="114" t="s">
        <v>2824</v>
      </c>
      <c r="F1065" s="115" t="s">
        <v>2825</v>
      </c>
      <c r="G1065" s="115" t="s">
        <v>3004</v>
      </c>
      <c r="H1065" s="115" t="s">
        <v>2691</v>
      </c>
      <c r="I1065" s="114">
        <v>20.987703</v>
      </c>
      <c r="J1065" s="114">
        <v>-101.28367299999999</v>
      </c>
      <c r="K1065" s="113"/>
      <c r="L1065" s="116" t="str">
        <f t="shared" si="51"/>
        <v>Ver en Google Maps</v>
      </c>
      <c r="M1065" s="116">
        <v>1</v>
      </c>
      <c r="N1065" s="139"/>
      <c r="O1065" s="118"/>
      <c r="P1065" s="118"/>
      <c r="Q1065" s="118"/>
      <c r="R1065" s="118"/>
      <c r="S1065" s="118"/>
      <c r="T1065" s="118"/>
      <c r="U1065" s="118"/>
      <c r="V1065" s="118"/>
      <c r="W1065" s="118"/>
      <c r="X1065" s="118"/>
      <c r="Y1065" s="118"/>
      <c r="Z1065" s="118"/>
      <c r="AA1065" s="118"/>
      <c r="AB1065" s="118"/>
      <c r="AC1065" s="119"/>
      <c r="AD1065" s="119"/>
      <c r="AE1065" s="118"/>
      <c r="AF1065" s="152"/>
    </row>
    <row r="1066" spans="1:32" x14ac:dyDescent="0.2">
      <c r="A1066" s="121" t="s">
        <v>3028</v>
      </c>
      <c r="B1066" s="122" t="s">
        <v>1204</v>
      </c>
      <c r="C1066" s="123" t="s">
        <v>11</v>
      </c>
      <c r="D1066" s="123" t="s">
        <v>404</v>
      </c>
      <c r="E1066" s="123" t="s">
        <v>2826</v>
      </c>
      <c r="F1066" s="124" t="s">
        <v>2827</v>
      </c>
      <c r="G1066" s="124" t="s">
        <v>2966</v>
      </c>
      <c r="H1066" s="124" t="s">
        <v>2691</v>
      </c>
      <c r="I1066" s="123">
        <v>20.994810000000001</v>
      </c>
      <c r="J1066" s="123">
        <v>-101.27914</v>
      </c>
      <c r="K1066" s="122" t="s">
        <v>139</v>
      </c>
      <c r="L1066" s="125" t="str">
        <f t="shared" si="51"/>
        <v>Ver en Google Maps</v>
      </c>
      <c r="M1066" s="125">
        <v>2</v>
      </c>
      <c r="N1066" s="138">
        <v>45944</v>
      </c>
      <c r="O1066" s="109">
        <f>DAY('BD1'!$N1066)</f>
        <v>14</v>
      </c>
      <c r="P1066" s="109">
        <f>MONTH('BD1'!$N1066)</f>
        <v>10</v>
      </c>
      <c r="Q1066" s="109">
        <f>YEAR('BD1'!$N1066)</f>
        <v>2025</v>
      </c>
      <c r="R1066" s="109">
        <v>1</v>
      </c>
      <c r="S1066" s="109" t="s">
        <v>138</v>
      </c>
      <c r="T1066" s="109" t="s">
        <v>138</v>
      </c>
      <c r="U1066" s="109" t="s">
        <v>138</v>
      </c>
      <c r="V1066" s="109" t="s">
        <v>138</v>
      </c>
      <c r="W1066" s="109" t="s">
        <v>138</v>
      </c>
      <c r="X1066" s="109" t="s">
        <v>138</v>
      </c>
      <c r="Y1066" s="109" t="s">
        <v>138</v>
      </c>
      <c r="Z1066" s="109" t="s">
        <v>138</v>
      </c>
      <c r="AA1066" s="109">
        <v>94.6</v>
      </c>
      <c r="AB1066" s="109">
        <v>64.2</v>
      </c>
      <c r="AC1066" s="110" t="s">
        <v>967</v>
      </c>
      <c r="AD1066" s="110" t="s">
        <v>2436</v>
      </c>
      <c r="AE1066" s="109">
        <f>COUNTIF(S1066:Z1066, "si")</f>
        <v>8</v>
      </c>
      <c r="AF1066" s="151" t="str">
        <f t="shared" si="50"/>
        <v>Estable</v>
      </c>
    </row>
    <row r="1067" spans="1:32" x14ac:dyDescent="0.2">
      <c r="A1067" s="112" t="s">
        <v>3029</v>
      </c>
      <c r="B1067" s="113" t="s">
        <v>1204</v>
      </c>
      <c r="C1067" s="114" t="s">
        <v>11</v>
      </c>
      <c r="D1067" s="114" t="s">
        <v>404</v>
      </c>
      <c r="E1067" s="114" t="s">
        <v>2826</v>
      </c>
      <c r="F1067" s="115" t="s">
        <v>2827</v>
      </c>
      <c r="G1067" s="115" t="s">
        <v>2966</v>
      </c>
      <c r="H1067" s="115" t="s">
        <v>2691</v>
      </c>
      <c r="I1067" s="114">
        <v>20.994810000000001</v>
      </c>
      <c r="J1067" s="114">
        <v>-101.27914</v>
      </c>
      <c r="K1067" s="113" t="s">
        <v>139</v>
      </c>
      <c r="L1067" s="116" t="str">
        <f t="shared" si="51"/>
        <v>Ver en Google Maps</v>
      </c>
      <c r="M1067" s="116">
        <v>2</v>
      </c>
      <c r="N1067" s="137">
        <v>45944</v>
      </c>
      <c r="O1067" s="118">
        <f>DAY('BD1'!$N1067)</f>
        <v>14</v>
      </c>
      <c r="P1067" s="118">
        <f>MONTH('BD1'!$N1067)</f>
        <v>10</v>
      </c>
      <c r="Q1067" s="118">
        <f>YEAR('BD1'!$N1067)</f>
        <v>2025</v>
      </c>
      <c r="R1067" s="118">
        <v>1</v>
      </c>
      <c r="S1067" s="118" t="s">
        <v>138</v>
      </c>
      <c r="T1067" s="118" t="s">
        <v>138</v>
      </c>
      <c r="U1067" s="118" t="s">
        <v>138</v>
      </c>
      <c r="V1067" s="118" t="s">
        <v>138</v>
      </c>
      <c r="W1067" s="118" t="s">
        <v>138</v>
      </c>
      <c r="X1067" s="118" t="s">
        <v>138</v>
      </c>
      <c r="Y1067" s="118" t="s">
        <v>138</v>
      </c>
      <c r="Z1067" s="118" t="s">
        <v>138</v>
      </c>
      <c r="AA1067" s="118">
        <v>28.9</v>
      </c>
      <c r="AB1067" s="118">
        <v>14.9</v>
      </c>
      <c r="AC1067" s="119" t="s">
        <v>967</v>
      </c>
      <c r="AD1067" s="119" t="s">
        <v>2436</v>
      </c>
      <c r="AE1067" s="118">
        <f t="shared" si="49"/>
        <v>8</v>
      </c>
      <c r="AF1067" s="152" t="str">
        <f t="shared" si="50"/>
        <v>Estable</v>
      </c>
    </row>
    <row r="1068" spans="1:32" x14ac:dyDescent="0.2">
      <c r="A1068" s="121">
        <v>832</v>
      </c>
      <c r="B1068" s="122" t="s">
        <v>1204</v>
      </c>
      <c r="C1068" s="123" t="s">
        <v>14</v>
      </c>
      <c r="D1068" s="123" t="s">
        <v>404</v>
      </c>
      <c r="E1068" s="123" t="s">
        <v>2828</v>
      </c>
      <c r="F1068" s="124" t="s">
        <v>2829</v>
      </c>
      <c r="G1068" s="124" t="s">
        <v>2966</v>
      </c>
      <c r="H1068" s="124" t="s">
        <v>2691</v>
      </c>
      <c r="I1068" s="123">
        <v>20.984359000000001</v>
      </c>
      <c r="J1068" s="123">
        <v>-101.28804700000001</v>
      </c>
      <c r="K1068" s="122"/>
      <c r="L1068" s="125" t="str">
        <f t="shared" si="51"/>
        <v>Ver en Google Maps</v>
      </c>
      <c r="M1068" s="125">
        <v>1</v>
      </c>
      <c r="N1068" s="140"/>
      <c r="O1068" s="109"/>
      <c r="P1068" s="109"/>
      <c r="Q1068" s="109"/>
      <c r="R1068" s="109"/>
      <c r="S1068" s="109"/>
      <c r="T1068" s="109"/>
      <c r="U1068" s="109"/>
      <c r="V1068" s="109"/>
      <c r="W1068" s="109"/>
      <c r="X1068" s="109"/>
      <c r="Y1068" s="109"/>
      <c r="Z1068" s="109"/>
      <c r="AA1068" s="109"/>
      <c r="AB1068" s="109"/>
      <c r="AC1068" s="110"/>
      <c r="AD1068" s="110"/>
      <c r="AE1068" s="109"/>
      <c r="AF1068" s="151"/>
    </row>
    <row r="1069" spans="1:32" x14ac:dyDescent="0.2">
      <c r="A1069" s="112">
        <v>833</v>
      </c>
      <c r="B1069" s="113" t="s">
        <v>1204</v>
      </c>
      <c r="C1069" s="114" t="s">
        <v>14</v>
      </c>
      <c r="D1069" s="114" t="s">
        <v>404</v>
      </c>
      <c r="E1069" s="114" t="s">
        <v>2831</v>
      </c>
      <c r="F1069" s="115" t="s">
        <v>2832</v>
      </c>
      <c r="G1069" s="115" t="s">
        <v>1212</v>
      </c>
      <c r="H1069" s="115" t="s">
        <v>2691</v>
      </c>
      <c r="I1069" s="114">
        <v>21.003219999999999</v>
      </c>
      <c r="J1069" s="114">
        <v>-101.24047</v>
      </c>
      <c r="K1069" s="113"/>
      <c r="L1069" s="116" t="str">
        <f t="shared" si="51"/>
        <v>Ver en Google Maps</v>
      </c>
      <c r="M1069" s="116">
        <v>2</v>
      </c>
      <c r="N1069" s="139"/>
      <c r="O1069" s="118"/>
      <c r="P1069" s="118"/>
      <c r="Q1069" s="118"/>
      <c r="R1069" s="118"/>
      <c r="S1069" s="118"/>
      <c r="T1069" s="118"/>
      <c r="U1069" s="118"/>
      <c r="V1069" s="118"/>
      <c r="W1069" s="118"/>
      <c r="X1069" s="118"/>
      <c r="Y1069" s="118"/>
      <c r="Z1069" s="118"/>
      <c r="AA1069" s="118"/>
      <c r="AB1069" s="118"/>
      <c r="AC1069" s="119"/>
      <c r="AD1069" s="119"/>
      <c r="AE1069" s="118"/>
      <c r="AF1069" s="152"/>
    </row>
    <row r="1070" spans="1:32" x14ac:dyDescent="0.2">
      <c r="A1070" s="121">
        <v>834</v>
      </c>
      <c r="B1070" s="122" t="s">
        <v>1204</v>
      </c>
      <c r="C1070" s="123" t="s">
        <v>11</v>
      </c>
      <c r="D1070" s="123" t="s">
        <v>404</v>
      </c>
      <c r="E1070" s="123" t="s">
        <v>2833</v>
      </c>
      <c r="F1070" s="124" t="s">
        <v>2834</v>
      </c>
      <c r="G1070" s="124" t="s">
        <v>2971</v>
      </c>
      <c r="H1070" s="124" t="s">
        <v>2691</v>
      </c>
      <c r="I1070" s="123">
        <v>21.029724000000002</v>
      </c>
      <c r="J1070" s="123">
        <v>-101.255934</v>
      </c>
      <c r="K1070" s="122" t="s">
        <v>139</v>
      </c>
      <c r="L1070" s="125" t="str">
        <f t="shared" si="51"/>
        <v>Ver en Google Maps</v>
      </c>
      <c r="M1070" s="125">
        <v>1</v>
      </c>
      <c r="N1070" s="138">
        <v>45948</v>
      </c>
      <c r="O1070" s="109">
        <f>DAY('BD1'!$N1070)</f>
        <v>18</v>
      </c>
      <c r="P1070" s="109">
        <f>MONTH('BD1'!$N1070)</f>
        <v>10</v>
      </c>
      <c r="Q1070" s="109">
        <f>YEAR('BD1'!$N1070)</f>
        <v>2025</v>
      </c>
      <c r="R1070" s="109">
        <v>1</v>
      </c>
      <c r="S1070" s="109" t="s">
        <v>138</v>
      </c>
      <c r="T1070" s="109" t="s">
        <v>138</v>
      </c>
      <c r="U1070" s="109" t="s">
        <v>138</v>
      </c>
      <c r="V1070" s="109" t="s">
        <v>934</v>
      </c>
      <c r="W1070" s="109" t="s">
        <v>138</v>
      </c>
      <c r="X1070" s="109" t="s">
        <v>138</v>
      </c>
      <c r="Y1070" s="109" t="s">
        <v>934</v>
      </c>
      <c r="Z1070" s="109" t="s">
        <v>934</v>
      </c>
      <c r="AA1070" s="109">
        <v>0</v>
      </c>
      <c r="AB1070" s="109">
        <v>0</v>
      </c>
      <c r="AC1070" s="110" t="s">
        <v>3070</v>
      </c>
      <c r="AD1070" s="110" t="s">
        <v>2436</v>
      </c>
      <c r="AE1070" s="109">
        <f t="shared" si="49"/>
        <v>5</v>
      </c>
      <c r="AF1070" s="151" t="str">
        <f t="shared" si="50"/>
        <v>Rendimiento bajo</v>
      </c>
    </row>
    <row r="1071" spans="1:32" x14ac:dyDescent="0.2">
      <c r="A1071" s="112">
        <v>836</v>
      </c>
      <c r="B1071" s="113" t="s">
        <v>1204</v>
      </c>
      <c r="C1071" s="114" t="s">
        <v>14</v>
      </c>
      <c r="D1071" s="114" t="s">
        <v>404</v>
      </c>
      <c r="E1071" s="114" t="s">
        <v>2830</v>
      </c>
      <c r="F1071" s="115" t="s">
        <v>2835</v>
      </c>
      <c r="G1071" s="115" t="s">
        <v>1231</v>
      </c>
      <c r="H1071" s="115" t="s">
        <v>2691</v>
      </c>
      <c r="I1071" s="114">
        <v>21.012246000000001</v>
      </c>
      <c r="J1071" s="114">
        <v>-101.249082</v>
      </c>
      <c r="K1071" s="113"/>
      <c r="L1071" s="116" t="str">
        <f t="shared" si="51"/>
        <v>Ver en Google Maps</v>
      </c>
      <c r="M1071" s="116">
        <v>1</v>
      </c>
      <c r="N1071" s="139"/>
      <c r="O1071" s="118"/>
      <c r="P1071" s="118"/>
      <c r="Q1071" s="118"/>
      <c r="R1071" s="118"/>
      <c r="S1071" s="118"/>
      <c r="T1071" s="118"/>
      <c r="U1071" s="118"/>
      <c r="V1071" s="118"/>
      <c r="W1071" s="118"/>
      <c r="X1071" s="118"/>
      <c r="Y1071" s="118"/>
      <c r="Z1071" s="118"/>
      <c r="AA1071" s="118"/>
      <c r="AB1071" s="118"/>
      <c r="AC1071" s="119"/>
      <c r="AD1071" s="119"/>
      <c r="AE1071" s="118"/>
      <c r="AF1071" s="152"/>
    </row>
    <row r="1072" spans="1:32" x14ac:dyDescent="0.2">
      <c r="A1072" s="121">
        <v>837</v>
      </c>
      <c r="B1072" s="122" t="s">
        <v>1204</v>
      </c>
      <c r="C1072" s="123" t="s">
        <v>14</v>
      </c>
      <c r="D1072" s="123" t="s">
        <v>404</v>
      </c>
      <c r="E1072" s="123" t="s">
        <v>2836</v>
      </c>
      <c r="F1072" s="124" t="s">
        <v>2837</v>
      </c>
      <c r="G1072" s="124" t="s">
        <v>2968</v>
      </c>
      <c r="H1072" s="124" t="s">
        <v>2691</v>
      </c>
      <c r="I1072" s="123">
        <v>21.009150999999999</v>
      </c>
      <c r="J1072" s="123">
        <v>-101.273414</v>
      </c>
      <c r="K1072" s="122"/>
      <c r="L1072" s="125" t="str">
        <f t="shared" si="51"/>
        <v>Ver en Google Maps</v>
      </c>
      <c r="M1072" s="125">
        <v>1</v>
      </c>
      <c r="N1072" s="140"/>
      <c r="O1072" s="109"/>
      <c r="P1072" s="109"/>
      <c r="Q1072" s="109"/>
      <c r="R1072" s="109"/>
      <c r="S1072" s="109"/>
      <c r="T1072" s="109"/>
      <c r="U1072" s="109"/>
      <c r="V1072" s="109"/>
      <c r="W1072" s="109"/>
      <c r="X1072" s="109"/>
      <c r="Y1072" s="109"/>
      <c r="Z1072" s="109"/>
      <c r="AA1072" s="109"/>
      <c r="AB1072" s="109"/>
      <c r="AC1072" s="110"/>
      <c r="AD1072" s="110"/>
      <c r="AE1072" s="109"/>
      <c r="AF1072" s="151"/>
    </row>
    <row r="1073" spans="1:32" x14ac:dyDescent="0.2">
      <c r="A1073" s="112">
        <v>838</v>
      </c>
      <c r="B1073" s="113" t="s">
        <v>1204</v>
      </c>
      <c r="C1073" s="114" t="s">
        <v>14</v>
      </c>
      <c r="D1073" s="114" t="s">
        <v>404</v>
      </c>
      <c r="E1073" s="114" t="s">
        <v>2838</v>
      </c>
      <c r="F1073" s="115" t="s">
        <v>2839</v>
      </c>
      <c r="G1073" s="115" t="s">
        <v>1231</v>
      </c>
      <c r="H1073" s="115" t="s">
        <v>2691</v>
      </c>
      <c r="I1073" s="114">
        <v>21.004059000000002</v>
      </c>
      <c r="J1073" s="114">
        <v>-101.245217</v>
      </c>
      <c r="K1073" s="113"/>
      <c r="L1073" s="116" t="str">
        <f t="shared" si="51"/>
        <v>Ver en Google Maps</v>
      </c>
      <c r="M1073" s="116">
        <v>1</v>
      </c>
      <c r="N1073" s="139"/>
      <c r="O1073" s="118"/>
      <c r="P1073" s="118"/>
      <c r="Q1073" s="118"/>
      <c r="R1073" s="118"/>
      <c r="S1073" s="118"/>
      <c r="T1073" s="118"/>
      <c r="U1073" s="118"/>
      <c r="V1073" s="118"/>
      <c r="W1073" s="118"/>
      <c r="X1073" s="118"/>
      <c r="Y1073" s="118"/>
      <c r="Z1073" s="118"/>
      <c r="AA1073" s="118"/>
      <c r="AB1073" s="118"/>
      <c r="AC1073" s="119"/>
      <c r="AD1073" s="119"/>
      <c r="AE1073" s="118"/>
      <c r="AF1073" s="152"/>
    </row>
    <row r="1074" spans="1:32" ht="14.25" x14ac:dyDescent="0.2">
      <c r="A1074" s="121">
        <v>839</v>
      </c>
      <c r="B1074" s="122" t="s">
        <v>1204</v>
      </c>
      <c r="C1074" s="123" t="s">
        <v>14</v>
      </c>
      <c r="D1074" s="123" t="s">
        <v>404</v>
      </c>
      <c r="E1074" s="123" t="s">
        <v>2840</v>
      </c>
      <c r="F1074" s="124" t="s">
        <v>2841</v>
      </c>
      <c r="G1074" s="124" t="s">
        <v>1231</v>
      </c>
      <c r="H1074" s="124" t="s">
        <v>2691</v>
      </c>
      <c r="I1074" s="123">
        <v>21.020135</v>
      </c>
      <c r="J1074" s="123">
        <v>-101.260364</v>
      </c>
      <c r="K1074" s="122" t="s">
        <v>139</v>
      </c>
      <c r="L1074" s="141" t="str">
        <f>HYPERLINK("https://www.google.com/maps?q=" &amp; I1074 &amp; "," &amp; J1074, "Ver en Google Maps")</f>
        <v>Ver en Google Maps</v>
      </c>
      <c r="M1074" s="125">
        <v>1</v>
      </c>
      <c r="N1074" s="138">
        <v>45948</v>
      </c>
      <c r="O1074" s="109">
        <f>DAY('BD1'!$N1074)</f>
        <v>18</v>
      </c>
      <c r="P1074" s="109">
        <f>MONTH('BD1'!$N1074)</f>
        <v>10</v>
      </c>
      <c r="Q1074" s="109">
        <f>YEAR('BD1'!$N1074)</f>
        <v>2025</v>
      </c>
      <c r="R1074" s="109">
        <v>1</v>
      </c>
      <c r="S1074" s="109" t="s">
        <v>934</v>
      </c>
      <c r="T1074" s="109" t="s">
        <v>934</v>
      </c>
      <c r="U1074" s="109" t="s">
        <v>934</v>
      </c>
      <c r="V1074" s="109" t="s">
        <v>934</v>
      </c>
      <c r="W1074" s="109" t="s">
        <v>934</v>
      </c>
      <c r="X1074" s="109" t="s">
        <v>934</v>
      </c>
      <c r="Y1074" s="109" t="s">
        <v>934</v>
      </c>
      <c r="Z1074" s="109" t="s">
        <v>934</v>
      </c>
      <c r="AA1074" s="109">
        <v>0</v>
      </c>
      <c r="AB1074" s="109">
        <v>0</v>
      </c>
      <c r="AC1074" s="110" t="s">
        <v>3116</v>
      </c>
      <c r="AD1074" s="110" t="s">
        <v>2436</v>
      </c>
      <c r="AE1074" s="109">
        <f t="shared" si="49"/>
        <v>0</v>
      </c>
      <c r="AF1074" s="151" t="str">
        <f t="shared" si="50"/>
        <v>Crítico</v>
      </c>
    </row>
    <row r="1075" spans="1:32" x14ac:dyDescent="0.2">
      <c r="A1075" s="112">
        <v>840</v>
      </c>
      <c r="B1075" s="113" t="s">
        <v>1204</v>
      </c>
      <c r="C1075" s="114" t="s">
        <v>14</v>
      </c>
      <c r="D1075" s="114" t="s">
        <v>404</v>
      </c>
      <c r="E1075" s="114" t="s">
        <v>2842</v>
      </c>
      <c r="F1075" s="115" t="s">
        <v>2843</v>
      </c>
      <c r="G1075" s="115" t="s">
        <v>2973</v>
      </c>
      <c r="H1075" s="115" t="s">
        <v>2691</v>
      </c>
      <c r="I1075" s="114">
        <v>20.959022000000001</v>
      </c>
      <c r="J1075" s="114">
        <v>-101.271619</v>
      </c>
      <c r="K1075" s="113"/>
      <c r="L1075" s="116" t="str">
        <f t="shared" si="51"/>
        <v>Ver en Google Maps</v>
      </c>
      <c r="M1075" s="116">
        <v>1</v>
      </c>
      <c r="N1075" s="139"/>
      <c r="O1075" s="118"/>
      <c r="P1075" s="118"/>
      <c r="Q1075" s="118"/>
      <c r="R1075" s="118"/>
      <c r="S1075" s="118"/>
      <c r="T1075" s="118"/>
      <c r="U1075" s="118"/>
      <c r="V1075" s="118"/>
      <c r="W1075" s="118"/>
      <c r="X1075" s="118"/>
      <c r="Y1075" s="118"/>
      <c r="Z1075" s="118"/>
      <c r="AA1075" s="118"/>
      <c r="AB1075" s="118"/>
      <c r="AC1075" s="119"/>
      <c r="AD1075" s="119"/>
      <c r="AE1075" s="118"/>
      <c r="AF1075" s="152"/>
    </row>
    <row r="1076" spans="1:32" x14ac:dyDescent="0.2">
      <c r="A1076" s="121">
        <v>841</v>
      </c>
      <c r="B1076" s="122" t="s">
        <v>1204</v>
      </c>
      <c r="C1076" s="123" t="s">
        <v>14</v>
      </c>
      <c r="D1076" s="123" t="s">
        <v>404</v>
      </c>
      <c r="E1076" s="123" t="s">
        <v>2844</v>
      </c>
      <c r="F1076" s="124" t="s">
        <v>2843</v>
      </c>
      <c r="G1076" s="124" t="s">
        <v>3005</v>
      </c>
      <c r="H1076" s="124" t="s">
        <v>2691</v>
      </c>
      <c r="I1076" s="123">
        <v>20.960394000000001</v>
      </c>
      <c r="J1076" s="123">
        <v>-101.274152</v>
      </c>
      <c r="K1076" s="122"/>
      <c r="L1076" s="125" t="str">
        <f t="shared" si="51"/>
        <v>Ver en Google Maps</v>
      </c>
      <c r="M1076" s="125">
        <v>1</v>
      </c>
      <c r="N1076" s="140"/>
      <c r="O1076" s="109"/>
      <c r="P1076" s="109"/>
      <c r="Q1076" s="109"/>
      <c r="R1076" s="109"/>
      <c r="S1076" s="109"/>
      <c r="T1076" s="109"/>
      <c r="U1076" s="109"/>
      <c r="V1076" s="109"/>
      <c r="W1076" s="109"/>
      <c r="X1076" s="109"/>
      <c r="Y1076" s="109"/>
      <c r="Z1076" s="109"/>
      <c r="AA1076" s="109"/>
      <c r="AB1076" s="109"/>
      <c r="AC1076" s="110"/>
      <c r="AD1076" s="110"/>
      <c r="AE1076" s="109"/>
      <c r="AF1076" s="151"/>
    </row>
    <row r="1077" spans="1:32" x14ac:dyDescent="0.2">
      <c r="A1077" s="112">
        <v>842</v>
      </c>
      <c r="B1077" s="113" t="s">
        <v>1204</v>
      </c>
      <c r="C1077" s="114" t="s">
        <v>14</v>
      </c>
      <c r="D1077" s="114" t="s">
        <v>404</v>
      </c>
      <c r="E1077" s="114" t="s">
        <v>2845</v>
      </c>
      <c r="F1077" s="115" t="s">
        <v>2843</v>
      </c>
      <c r="G1077" s="115" t="s">
        <v>2973</v>
      </c>
      <c r="H1077" s="115" t="s">
        <v>2691</v>
      </c>
      <c r="I1077" s="114">
        <v>20.959859999999999</v>
      </c>
      <c r="J1077" s="114">
        <v>-101.27365</v>
      </c>
      <c r="K1077" s="113"/>
      <c r="L1077" s="116" t="str">
        <f t="shared" si="51"/>
        <v>Ver en Google Maps</v>
      </c>
      <c r="M1077" s="116">
        <v>1</v>
      </c>
      <c r="N1077" s="139"/>
      <c r="O1077" s="118"/>
      <c r="P1077" s="118"/>
      <c r="Q1077" s="118"/>
      <c r="R1077" s="118"/>
      <c r="S1077" s="118"/>
      <c r="T1077" s="118"/>
      <c r="U1077" s="118"/>
      <c r="V1077" s="118"/>
      <c r="W1077" s="118"/>
      <c r="X1077" s="118"/>
      <c r="Y1077" s="118"/>
      <c r="Z1077" s="118"/>
      <c r="AA1077" s="118"/>
      <c r="AB1077" s="118"/>
      <c r="AC1077" s="119"/>
      <c r="AD1077" s="119"/>
      <c r="AE1077" s="118"/>
      <c r="AF1077" s="152"/>
    </row>
    <row r="1078" spans="1:32" x14ac:dyDescent="0.2">
      <c r="A1078" s="121">
        <v>843</v>
      </c>
      <c r="B1078" s="122" t="s">
        <v>1204</v>
      </c>
      <c r="C1078" s="123" t="s">
        <v>14</v>
      </c>
      <c r="D1078" s="123" t="s">
        <v>404</v>
      </c>
      <c r="E1078" s="123" t="s">
        <v>2846</v>
      </c>
      <c r="F1078" s="124" t="s">
        <v>2847</v>
      </c>
      <c r="G1078" s="124" t="s">
        <v>1231</v>
      </c>
      <c r="H1078" s="124" t="s">
        <v>2691</v>
      </c>
      <c r="I1078" s="123">
        <v>21.004138000000001</v>
      </c>
      <c r="J1078" s="123">
        <v>-101.246574</v>
      </c>
      <c r="K1078" s="122"/>
      <c r="L1078" s="125" t="str">
        <f t="shared" si="51"/>
        <v>Ver en Google Maps</v>
      </c>
      <c r="M1078" s="125">
        <v>1</v>
      </c>
      <c r="N1078" s="140"/>
      <c r="O1078" s="109"/>
      <c r="P1078" s="109"/>
      <c r="Q1078" s="109"/>
      <c r="R1078" s="109"/>
      <c r="S1078" s="109"/>
      <c r="T1078" s="109"/>
      <c r="U1078" s="109"/>
      <c r="V1078" s="109"/>
      <c r="W1078" s="109"/>
      <c r="X1078" s="109"/>
      <c r="Y1078" s="109"/>
      <c r="Z1078" s="109"/>
      <c r="AA1078" s="109"/>
      <c r="AB1078" s="109"/>
      <c r="AC1078" s="110"/>
      <c r="AD1078" s="110"/>
      <c r="AE1078" s="109"/>
      <c r="AF1078" s="151"/>
    </row>
    <row r="1079" spans="1:32" x14ac:dyDescent="0.2">
      <c r="A1079" s="112">
        <v>846</v>
      </c>
      <c r="B1079" s="113" t="s">
        <v>1204</v>
      </c>
      <c r="C1079" s="114" t="s">
        <v>14</v>
      </c>
      <c r="D1079" s="114" t="s">
        <v>404</v>
      </c>
      <c r="E1079" s="114" t="s">
        <v>2848</v>
      </c>
      <c r="F1079" s="115" t="s">
        <v>2849</v>
      </c>
      <c r="G1079" s="115" t="s">
        <v>1231</v>
      </c>
      <c r="H1079" s="115" t="s">
        <v>2691</v>
      </c>
      <c r="I1079" s="114">
        <v>21.010266000000001</v>
      </c>
      <c r="J1079" s="114">
        <v>-101.24072</v>
      </c>
      <c r="K1079" s="113"/>
      <c r="L1079" s="116" t="str">
        <f t="shared" si="51"/>
        <v>Ver en Google Maps</v>
      </c>
      <c r="M1079" s="116">
        <v>1</v>
      </c>
      <c r="N1079" s="139"/>
      <c r="O1079" s="118"/>
      <c r="P1079" s="118"/>
      <c r="Q1079" s="118"/>
      <c r="R1079" s="118"/>
      <c r="S1079" s="118"/>
      <c r="T1079" s="118"/>
      <c r="U1079" s="118"/>
      <c r="V1079" s="118"/>
      <c r="W1079" s="118"/>
      <c r="X1079" s="118"/>
      <c r="Y1079" s="118"/>
      <c r="Z1079" s="118"/>
      <c r="AA1079" s="118"/>
      <c r="AB1079" s="118"/>
      <c r="AC1079" s="119"/>
      <c r="AD1079" s="119"/>
      <c r="AE1079" s="118"/>
      <c r="AF1079" s="152"/>
    </row>
    <row r="1080" spans="1:32" x14ac:dyDescent="0.2">
      <c r="A1080" s="121">
        <v>851</v>
      </c>
      <c r="B1080" s="122" t="s">
        <v>1204</v>
      </c>
      <c r="C1080" s="123" t="s">
        <v>14</v>
      </c>
      <c r="D1080" s="123" t="s">
        <v>404</v>
      </c>
      <c r="E1080" s="123" t="s">
        <v>2850</v>
      </c>
      <c r="F1080" s="124" t="s">
        <v>2851</v>
      </c>
      <c r="G1080" s="124" t="s">
        <v>2977</v>
      </c>
      <c r="H1080" s="124" t="s">
        <v>2691</v>
      </c>
      <c r="I1080" s="123">
        <v>21.010159999999999</v>
      </c>
      <c r="J1080" s="123">
        <v>-101.25991</v>
      </c>
      <c r="K1080" s="122"/>
      <c r="L1080" s="125" t="str">
        <f t="shared" si="51"/>
        <v>Ver en Google Maps</v>
      </c>
      <c r="M1080" s="125">
        <v>1</v>
      </c>
      <c r="N1080" s="140"/>
      <c r="O1080" s="109"/>
      <c r="P1080" s="109"/>
      <c r="Q1080" s="109"/>
      <c r="R1080" s="109"/>
      <c r="S1080" s="109"/>
      <c r="T1080" s="109"/>
      <c r="U1080" s="109"/>
      <c r="V1080" s="109"/>
      <c r="W1080" s="109"/>
      <c r="X1080" s="109"/>
      <c r="Y1080" s="109"/>
      <c r="Z1080" s="109"/>
      <c r="AA1080" s="109"/>
      <c r="AB1080" s="109"/>
      <c r="AC1080" s="110"/>
      <c r="AD1080" s="110"/>
      <c r="AE1080" s="109"/>
      <c r="AF1080" s="151"/>
    </row>
    <row r="1081" spans="1:32" x14ac:dyDescent="0.2">
      <c r="A1081" s="112">
        <v>856</v>
      </c>
      <c r="B1081" s="113" t="s">
        <v>1204</v>
      </c>
      <c r="C1081" s="114" t="s">
        <v>14</v>
      </c>
      <c r="D1081" s="114" t="s">
        <v>404</v>
      </c>
      <c r="E1081" s="114" t="s">
        <v>2852</v>
      </c>
      <c r="F1081" s="115" t="s">
        <v>2853</v>
      </c>
      <c r="G1081" s="115" t="s">
        <v>1231</v>
      </c>
      <c r="H1081" s="115" t="s">
        <v>2691</v>
      </c>
      <c r="I1081" s="114">
        <v>21.003183</v>
      </c>
      <c r="J1081" s="114">
        <v>-101.24348000000001</v>
      </c>
      <c r="K1081" s="113"/>
      <c r="L1081" s="116" t="str">
        <f t="shared" si="51"/>
        <v>Ver en Google Maps</v>
      </c>
      <c r="M1081" s="116">
        <v>2</v>
      </c>
      <c r="N1081" s="139"/>
      <c r="O1081" s="118"/>
      <c r="P1081" s="118"/>
      <c r="Q1081" s="118"/>
      <c r="R1081" s="118"/>
      <c r="S1081" s="118"/>
      <c r="T1081" s="118"/>
      <c r="U1081" s="118"/>
      <c r="V1081" s="118"/>
      <c r="W1081" s="118"/>
      <c r="X1081" s="118"/>
      <c r="Y1081" s="118"/>
      <c r="Z1081" s="118"/>
      <c r="AA1081" s="118"/>
      <c r="AB1081" s="118"/>
      <c r="AC1081" s="119"/>
      <c r="AD1081" s="119"/>
      <c r="AE1081" s="118"/>
      <c r="AF1081" s="152"/>
    </row>
    <row r="1082" spans="1:32" x14ac:dyDescent="0.2">
      <c r="A1082" s="121">
        <v>857</v>
      </c>
      <c r="B1082" s="122" t="s">
        <v>1204</v>
      </c>
      <c r="C1082" s="123" t="s">
        <v>14</v>
      </c>
      <c r="D1082" s="123" t="s">
        <v>404</v>
      </c>
      <c r="E1082" s="123" t="s">
        <v>2854</v>
      </c>
      <c r="F1082" s="124" t="s">
        <v>2855</v>
      </c>
      <c r="G1082" s="124" t="s">
        <v>2979</v>
      </c>
      <c r="H1082" s="124" t="s">
        <v>2691</v>
      </c>
      <c r="I1082" s="123">
        <v>21.013544</v>
      </c>
      <c r="J1082" s="123">
        <v>-101.27430699999999</v>
      </c>
      <c r="K1082" s="122"/>
      <c r="L1082" s="125" t="str">
        <f t="shared" si="51"/>
        <v>Ver en Google Maps</v>
      </c>
      <c r="M1082" s="125">
        <v>2</v>
      </c>
      <c r="N1082" s="140"/>
      <c r="O1082" s="109"/>
      <c r="P1082" s="109"/>
      <c r="Q1082" s="109"/>
      <c r="R1082" s="109"/>
      <c r="S1082" s="109"/>
      <c r="T1082" s="109"/>
      <c r="U1082" s="109"/>
      <c r="V1082" s="109"/>
      <c r="W1082" s="109"/>
      <c r="X1082" s="109"/>
      <c r="Y1082" s="109"/>
      <c r="Z1082" s="109"/>
      <c r="AA1082" s="109"/>
      <c r="AB1082" s="109"/>
      <c r="AC1082" s="110"/>
      <c r="AD1082" s="110"/>
      <c r="AE1082" s="109"/>
      <c r="AF1082" s="151"/>
    </row>
    <row r="1083" spans="1:32" x14ac:dyDescent="0.2">
      <c r="A1083" s="112">
        <v>858</v>
      </c>
      <c r="B1083" s="113" t="s">
        <v>1204</v>
      </c>
      <c r="C1083" s="114" t="s">
        <v>14</v>
      </c>
      <c r="D1083" s="114" t="s">
        <v>404</v>
      </c>
      <c r="E1083" s="114" t="s">
        <v>2856</v>
      </c>
      <c r="F1083" s="115" t="s">
        <v>2857</v>
      </c>
      <c r="G1083" s="115" t="s">
        <v>2966</v>
      </c>
      <c r="H1083" s="115" t="s">
        <v>2691</v>
      </c>
      <c r="I1083" s="114">
        <v>20.997990000000001</v>
      </c>
      <c r="J1083" s="114">
        <v>-101.28736000000001</v>
      </c>
      <c r="K1083" s="113"/>
      <c r="L1083" s="116" t="str">
        <f t="shared" si="51"/>
        <v>Ver en Google Maps</v>
      </c>
      <c r="M1083" s="116">
        <v>1</v>
      </c>
      <c r="N1083" s="139"/>
      <c r="O1083" s="118"/>
      <c r="P1083" s="118"/>
      <c r="Q1083" s="118"/>
      <c r="R1083" s="118"/>
      <c r="S1083" s="118"/>
      <c r="T1083" s="118"/>
      <c r="U1083" s="118"/>
      <c r="V1083" s="118"/>
      <c r="W1083" s="118"/>
      <c r="X1083" s="118"/>
      <c r="Y1083" s="118"/>
      <c r="Z1083" s="118"/>
      <c r="AA1083" s="118"/>
      <c r="AB1083" s="118"/>
      <c r="AC1083" s="119"/>
      <c r="AD1083" s="119"/>
      <c r="AE1083" s="118"/>
      <c r="AF1083" s="152"/>
    </row>
    <row r="1084" spans="1:32" x14ac:dyDescent="0.2">
      <c r="A1084" s="121">
        <v>859</v>
      </c>
      <c r="B1084" s="122" t="s">
        <v>1204</v>
      </c>
      <c r="C1084" s="123" t="s">
        <v>429</v>
      </c>
      <c r="D1084" s="123" t="s">
        <v>336</v>
      </c>
      <c r="E1084" s="123" t="s">
        <v>2858</v>
      </c>
      <c r="F1084" s="124" t="s">
        <v>2859</v>
      </c>
      <c r="G1084" s="124" t="s">
        <v>3006</v>
      </c>
      <c r="H1084" s="124" t="s">
        <v>2691</v>
      </c>
      <c r="I1084" s="123">
        <v>20.94624</v>
      </c>
      <c r="J1084" s="123">
        <v>-101.29156999999999</v>
      </c>
      <c r="K1084" s="122"/>
      <c r="L1084" s="125" t="str">
        <f t="shared" si="51"/>
        <v>Ver en Google Maps</v>
      </c>
      <c r="M1084" s="125">
        <v>2</v>
      </c>
      <c r="N1084" s="140"/>
      <c r="O1084" s="109"/>
      <c r="P1084" s="109"/>
      <c r="Q1084" s="109"/>
      <c r="R1084" s="109"/>
      <c r="S1084" s="109"/>
      <c r="T1084" s="109"/>
      <c r="U1084" s="109"/>
      <c r="V1084" s="109"/>
      <c r="W1084" s="109"/>
      <c r="X1084" s="109"/>
      <c r="Y1084" s="109"/>
      <c r="Z1084" s="109"/>
      <c r="AA1084" s="109"/>
      <c r="AB1084" s="109"/>
      <c r="AC1084" s="110"/>
      <c r="AD1084" s="110"/>
      <c r="AE1084" s="109"/>
      <c r="AF1084" s="151"/>
    </row>
    <row r="1085" spans="1:32" x14ac:dyDescent="0.2">
      <c r="A1085" s="112">
        <v>860</v>
      </c>
      <c r="B1085" s="113" t="s">
        <v>1204</v>
      </c>
      <c r="C1085" s="114" t="s">
        <v>14</v>
      </c>
      <c r="D1085" s="114" t="s">
        <v>404</v>
      </c>
      <c r="E1085" s="114" t="s">
        <v>2860</v>
      </c>
      <c r="F1085" s="115" t="s">
        <v>2861</v>
      </c>
      <c r="G1085" s="115" t="s">
        <v>2974</v>
      </c>
      <c r="H1085" s="115" t="s">
        <v>2691</v>
      </c>
      <c r="I1085" s="114">
        <v>20.987966</v>
      </c>
      <c r="J1085" s="114">
        <v>-101.28432599999999</v>
      </c>
      <c r="K1085" s="113" t="s">
        <v>139</v>
      </c>
      <c r="L1085" s="116" t="str">
        <f t="shared" si="51"/>
        <v>Ver en Google Maps</v>
      </c>
      <c r="M1085" s="116">
        <v>1</v>
      </c>
      <c r="N1085" s="137">
        <v>45944</v>
      </c>
      <c r="O1085" s="118">
        <f>DAY('BD1'!$N1085)</f>
        <v>14</v>
      </c>
      <c r="P1085" s="118">
        <f>MONTH('BD1'!$N1085)</f>
        <v>10</v>
      </c>
      <c r="Q1085" s="118">
        <f>YEAR('BD1'!$N1085)</f>
        <v>2025</v>
      </c>
      <c r="R1085" s="118">
        <v>1</v>
      </c>
      <c r="S1085" s="118" t="s">
        <v>138</v>
      </c>
      <c r="T1085" s="118" t="s">
        <v>138</v>
      </c>
      <c r="U1085" s="118" t="s">
        <v>138</v>
      </c>
      <c r="V1085" s="118" t="s">
        <v>138</v>
      </c>
      <c r="W1085" s="118" t="s">
        <v>138</v>
      </c>
      <c r="X1085" s="118" t="s">
        <v>138</v>
      </c>
      <c r="Y1085" s="118" t="s">
        <v>138</v>
      </c>
      <c r="Z1085" s="118" t="s">
        <v>138</v>
      </c>
      <c r="AA1085" s="118">
        <v>29</v>
      </c>
      <c r="AB1085" s="118">
        <v>18.2</v>
      </c>
      <c r="AC1085" s="119" t="s">
        <v>967</v>
      </c>
      <c r="AD1085" s="119" t="s">
        <v>2436</v>
      </c>
      <c r="AE1085" s="118">
        <f t="shared" si="49"/>
        <v>8</v>
      </c>
      <c r="AF1085" s="152" t="str">
        <f t="shared" si="50"/>
        <v>Estable</v>
      </c>
    </row>
    <row r="1086" spans="1:32" x14ac:dyDescent="0.2">
      <c r="A1086" s="121">
        <v>861</v>
      </c>
      <c r="B1086" s="122" t="s">
        <v>1204</v>
      </c>
      <c r="C1086" s="123" t="s">
        <v>18</v>
      </c>
      <c r="D1086" s="123" t="s">
        <v>404</v>
      </c>
      <c r="E1086" s="123" t="s">
        <v>2862</v>
      </c>
      <c r="F1086" s="124" t="s">
        <v>2863</v>
      </c>
      <c r="G1086" s="124" t="s">
        <v>1105</v>
      </c>
      <c r="H1086" s="124" t="s">
        <v>2691</v>
      </c>
      <c r="I1086" s="123">
        <v>21.015574000000001</v>
      </c>
      <c r="J1086" s="123">
        <v>-101.25327299999999</v>
      </c>
      <c r="K1086" s="122" t="s">
        <v>139</v>
      </c>
      <c r="L1086" s="125" t="str">
        <f t="shared" si="51"/>
        <v>Ver en Google Maps</v>
      </c>
      <c r="M1086" s="125">
        <v>1</v>
      </c>
      <c r="N1086" s="138">
        <v>45948</v>
      </c>
      <c r="O1086" s="109">
        <f>DAY('BD1'!$N1086)</f>
        <v>18</v>
      </c>
      <c r="P1086" s="109">
        <f>MONTH('BD1'!$N1086)</f>
        <v>10</v>
      </c>
      <c r="Q1086" s="109">
        <f>YEAR('BD1'!$N1086)</f>
        <v>2025</v>
      </c>
      <c r="R1086" s="109">
        <v>1</v>
      </c>
      <c r="S1086" s="109" t="s">
        <v>138</v>
      </c>
      <c r="T1086" s="109" t="s">
        <v>138</v>
      </c>
      <c r="U1086" s="109" t="s">
        <v>138</v>
      </c>
      <c r="V1086" s="109" t="s">
        <v>138</v>
      </c>
      <c r="W1086" s="109" t="s">
        <v>138</v>
      </c>
      <c r="X1086" s="109" t="s">
        <v>138</v>
      </c>
      <c r="Y1086" s="109" t="s">
        <v>138</v>
      </c>
      <c r="Z1086" s="109" t="s">
        <v>138</v>
      </c>
      <c r="AA1086" s="109">
        <v>126</v>
      </c>
      <c r="AB1086" s="109">
        <v>131</v>
      </c>
      <c r="AC1086" s="110" t="s">
        <v>967</v>
      </c>
      <c r="AD1086" s="110" t="s">
        <v>2436</v>
      </c>
      <c r="AE1086" s="109">
        <f t="shared" si="49"/>
        <v>8</v>
      </c>
      <c r="AF1086" s="151" t="str">
        <f t="shared" si="50"/>
        <v>Estable</v>
      </c>
    </row>
    <row r="1087" spans="1:32" x14ac:dyDescent="0.2">
      <c r="A1087" s="112">
        <v>865</v>
      </c>
      <c r="B1087" s="113" t="s">
        <v>1204</v>
      </c>
      <c r="C1087" s="114" t="s">
        <v>14</v>
      </c>
      <c r="D1087" s="114" t="s">
        <v>735</v>
      </c>
      <c r="E1087" s="114" t="s">
        <v>2864</v>
      </c>
      <c r="F1087" s="115" t="s">
        <v>2865</v>
      </c>
      <c r="G1087" s="115" t="s">
        <v>2966</v>
      </c>
      <c r="H1087" s="115" t="s">
        <v>2691</v>
      </c>
      <c r="I1087" s="114">
        <v>21.004021000000002</v>
      </c>
      <c r="J1087" s="114">
        <v>-101.285721</v>
      </c>
      <c r="K1087" s="113" t="s">
        <v>139</v>
      </c>
      <c r="L1087" s="116" t="str">
        <f t="shared" si="51"/>
        <v>Ver en Google Maps</v>
      </c>
      <c r="M1087" s="116">
        <v>2</v>
      </c>
      <c r="N1087" s="137">
        <v>45944</v>
      </c>
      <c r="O1087" s="118">
        <f>DAY('BD1'!$N1087)</f>
        <v>14</v>
      </c>
      <c r="P1087" s="118">
        <f>MONTH('BD1'!$N1087)</f>
        <v>10</v>
      </c>
      <c r="Q1087" s="118">
        <f>YEAR('BD1'!$N1087)</f>
        <v>2025</v>
      </c>
      <c r="R1087" s="118">
        <v>1</v>
      </c>
      <c r="S1087" s="118" t="s">
        <v>138</v>
      </c>
      <c r="T1087" s="118" t="s">
        <v>138</v>
      </c>
      <c r="U1087" s="118" t="s">
        <v>138</v>
      </c>
      <c r="V1087" s="118" t="s">
        <v>138</v>
      </c>
      <c r="W1087" s="118" t="s">
        <v>138</v>
      </c>
      <c r="X1087" s="118" t="s">
        <v>138</v>
      </c>
      <c r="Y1087" s="118" t="s">
        <v>138</v>
      </c>
      <c r="Z1087" s="118" t="s">
        <v>934</v>
      </c>
      <c r="AA1087" s="118">
        <v>11.4</v>
      </c>
      <c r="AB1087" s="118">
        <v>0.09</v>
      </c>
      <c r="AC1087" s="119" t="s">
        <v>1412</v>
      </c>
      <c r="AD1087" s="119" t="s">
        <v>2436</v>
      </c>
      <c r="AE1087" s="118">
        <f t="shared" si="49"/>
        <v>7</v>
      </c>
      <c r="AF1087" s="152" t="str">
        <f t="shared" si="50"/>
        <v>Funcional con observaciones</v>
      </c>
    </row>
    <row r="1088" spans="1:32" x14ac:dyDescent="0.2">
      <c r="A1088" s="121">
        <v>877</v>
      </c>
      <c r="B1088" s="122" t="s">
        <v>1204</v>
      </c>
      <c r="C1088" s="123" t="s">
        <v>14</v>
      </c>
      <c r="D1088" s="123" t="s">
        <v>404</v>
      </c>
      <c r="E1088" s="123" t="s">
        <v>2866</v>
      </c>
      <c r="F1088" s="124" t="s">
        <v>2867</v>
      </c>
      <c r="G1088" s="124" t="s">
        <v>3007</v>
      </c>
      <c r="H1088" s="124" t="s">
        <v>2691</v>
      </c>
      <c r="I1088" s="123">
        <v>21.012986999999999</v>
      </c>
      <c r="J1088" s="123">
        <v>-101.26099499999999</v>
      </c>
      <c r="K1088" s="122"/>
      <c r="L1088" s="125" t="str">
        <f t="shared" si="51"/>
        <v>Ver en Google Maps</v>
      </c>
      <c r="M1088" s="125">
        <v>1</v>
      </c>
      <c r="N1088" s="140"/>
      <c r="O1088" s="109"/>
      <c r="P1088" s="109"/>
      <c r="Q1088" s="109"/>
      <c r="R1088" s="109"/>
      <c r="S1088" s="109"/>
      <c r="T1088" s="109"/>
      <c r="U1088" s="109"/>
      <c r="V1088" s="109"/>
      <c r="W1088" s="109"/>
      <c r="X1088" s="109"/>
      <c r="Y1088" s="109"/>
      <c r="Z1088" s="109"/>
      <c r="AA1088" s="109"/>
      <c r="AB1088" s="109"/>
      <c r="AC1088" s="110"/>
      <c r="AD1088" s="110"/>
      <c r="AE1088" s="109"/>
      <c r="AF1088" s="151"/>
    </row>
    <row r="1089" spans="1:32" x14ac:dyDescent="0.2">
      <c r="A1089" s="112">
        <v>878</v>
      </c>
      <c r="B1089" s="113" t="s">
        <v>1204</v>
      </c>
      <c r="C1089" s="114" t="s">
        <v>14</v>
      </c>
      <c r="D1089" s="114" t="s">
        <v>404</v>
      </c>
      <c r="E1089" s="114" t="s">
        <v>2868</v>
      </c>
      <c r="F1089" s="115" t="s">
        <v>2869</v>
      </c>
      <c r="G1089" s="115" t="s">
        <v>3008</v>
      </c>
      <c r="H1089" s="115" t="s">
        <v>2691</v>
      </c>
      <c r="I1089" s="114">
        <v>20.987864999999999</v>
      </c>
      <c r="J1089" s="114">
        <v>-101.28378600000001</v>
      </c>
      <c r="K1089" s="113" t="s">
        <v>139</v>
      </c>
      <c r="L1089" s="116" t="str">
        <f t="shared" si="51"/>
        <v>Ver en Google Maps</v>
      </c>
      <c r="M1089" s="116">
        <v>1</v>
      </c>
      <c r="N1089" s="137">
        <v>45944</v>
      </c>
      <c r="O1089" s="118">
        <f>DAY('BD1'!$N1089)</f>
        <v>14</v>
      </c>
      <c r="P1089" s="118">
        <f>MONTH('BD1'!$N1089)</f>
        <v>10</v>
      </c>
      <c r="Q1089" s="118">
        <f>YEAR('BD1'!$N1089)</f>
        <v>2025</v>
      </c>
      <c r="R1089" s="118">
        <v>1</v>
      </c>
      <c r="S1089" s="118" t="s">
        <v>138</v>
      </c>
      <c r="T1089" s="118" t="s">
        <v>138</v>
      </c>
      <c r="U1089" s="118" t="s">
        <v>138</v>
      </c>
      <c r="V1089" s="118" t="s">
        <v>138</v>
      </c>
      <c r="W1089" s="118" t="s">
        <v>138</v>
      </c>
      <c r="X1089" s="118" t="s">
        <v>138</v>
      </c>
      <c r="Y1089" s="118" t="s">
        <v>138</v>
      </c>
      <c r="Z1089" s="118" t="s">
        <v>138</v>
      </c>
      <c r="AA1089" s="118">
        <v>113</v>
      </c>
      <c r="AB1089" s="118">
        <v>107</v>
      </c>
      <c r="AC1089" s="119" t="s">
        <v>967</v>
      </c>
      <c r="AD1089" s="119" t="s">
        <v>2436</v>
      </c>
      <c r="AE1089" s="118">
        <f t="shared" si="49"/>
        <v>8</v>
      </c>
      <c r="AF1089" s="152" t="str">
        <f t="shared" si="50"/>
        <v>Estable</v>
      </c>
    </row>
    <row r="1090" spans="1:32" x14ac:dyDescent="0.2">
      <c r="A1090" s="121">
        <v>879</v>
      </c>
      <c r="B1090" s="122" t="s">
        <v>1204</v>
      </c>
      <c r="C1090" s="123" t="s">
        <v>14</v>
      </c>
      <c r="D1090" s="123" t="s">
        <v>404</v>
      </c>
      <c r="E1090" s="123" t="s">
        <v>2870</v>
      </c>
      <c r="F1090" s="124" t="s">
        <v>2871</v>
      </c>
      <c r="G1090" s="124" t="s">
        <v>2966</v>
      </c>
      <c r="H1090" s="124" t="s">
        <v>2691</v>
      </c>
      <c r="I1090" s="123">
        <v>21.0122</v>
      </c>
      <c r="J1090" s="123">
        <v>-101.27500000000001</v>
      </c>
      <c r="K1090" s="122"/>
      <c r="L1090" s="125" t="str">
        <f t="shared" si="51"/>
        <v>Ver en Google Maps</v>
      </c>
      <c r="M1090" s="125">
        <v>2</v>
      </c>
      <c r="N1090" s="140"/>
      <c r="O1090" s="109"/>
      <c r="P1090" s="109"/>
      <c r="Q1090" s="109"/>
      <c r="R1090" s="109"/>
      <c r="S1090" s="109"/>
      <c r="T1090" s="109"/>
      <c r="U1090" s="109"/>
      <c r="V1090" s="109"/>
      <c r="W1090" s="109"/>
      <c r="X1090" s="109"/>
      <c r="Y1090" s="109"/>
      <c r="Z1090" s="109"/>
      <c r="AA1090" s="109"/>
      <c r="AB1090" s="109"/>
      <c r="AC1090" s="110"/>
      <c r="AD1090" s="110"/>
      <c r="AE1090" s="109"/>
      <c r="AF1090" s="151"/>
    </row>
    <row r="1091" spans="1:32" x14ac:dyDescent="0.2">
      <c r="A1091" s="112">
        <v>893</v>
      </c>
      <c r="B1091" s="113" t="s">
        <v>1204</v>
      </c>
      <c r="C1091" s="114" t="s">
        <v>429</v>
      </c>
      <c r="D1091" s="114" t="s">
        <v>15</v>
      </c>
      <c r="E1091" s="114" t="s">
        <v>2872</v>
      </c>
      <c r="F1091" s="115" t="s">
        <v>2873</v>
      </c>
      <c r="G1091" s="115" t="s">
        <v>3001</v>
      </c>
      <c r="H1091" s="115" t="s">
        <v>2691</v>
      </c>
      <c r="I1091" s="114">
        <v>21.005870999999999</v>
      </c>
      <c r="J1091" s="114">
        <v>-101.24755999999999</v>
      </c>
      <c r="K1091" s="113"/>
      <c r="L1091" s="116" t="str">
        <f t="shared" si="51"/>
        <v>Ver en Google Maps</v>
      </c>
      <c r="M1091" s="116">
        <v>1</v>
      </c>
      <c r="N1091" s="139"/>
      <c r="O1091" s="118"/>
      <c r="P1091" s="118"/>
      <c r="Q1091" s="118"/>
      <c r="R1091" s="118"/>
      <c r="S1091" s="118"/>
      <c r="T1091" s="118"/>
      <c r="U1091" s="118"/>
      <c r="V1091" s="118"/>
      <c r="W1091" s="118"/>
      <c r="X1091" s="118"/>
      <c r="Y1091" s="118"/>
      <c r="Z1091" s="118"/>
      <c r="AA1091" s="118"/>
      <c r="AB1091" s="118"/>
      <c r="AC1091" s="119"/>
      <c r="AD1091" s="119"/>
      <c r="AE1091" s="118"/>
      <c r="AF1091" s="152"/>
    </row>
    <row r="1092" spans="1:32" x14ac:dyDescent="0.2">
      <c r="A1092" s="121">
        <v>896</v>
      </c>
      <c r="B1092" s="122" t="s">
        <v>1204</v>
      </c>
      <c r="C1092" s="123" t="s">
        <v>14</v>
      </c>
      <c r="D1092" s="123" t="s">
        <v>404</v>
      </c>
      <c r="E1092" s="123" t="s">
        <v>2874</v>
      </c>
      <c r="F1092" s="124" t="s">
        <v>2875</v>
      </c>
      <c r="G1092" s="124" t="s">
        <v>2966</v>
      </c>
      <c r="H1092" s="124" t="s">
        <v>2691</v>
      </c>
      <c r="I1092" s="123">
        <v>20.995384999999999</v>
      </c>
      <c r="J1092" s="123">
        <v>-101.290575</v>
      </c>
      <c r="K1092" s="122" t="s">
        <v>139</v>
      </c>
      <c r="L1092" s="125" t="str">
        <f t="shared" si="51"/>
        <v>Ver en Google Maps</v>
      </c>
      <c r="M1092" s="125">
        <v>1</v>
      </c>
      <c r="N1092" s="138">
        <v>45944</v>
      </c>
      <c r="O1092" s="109">
        <f>DAY('BD1'!$N1092)</f>
        <v>14</v>
      </c>
      <c r="P1092" s="109">
        <f>MONTH('BD1'!$N1092)</f>
        <v>10</v>
      </c>
      <c r="Q1092" s="109">
        <f>YEAR('BD1'!$N1092)</f>
        <v>2025</v>
      </c>
      <c r="R1092" s="109">
        <v>1</v>
      </c>
      <c r="S1092" s="109" t="s">
        <v>138</v>
      </c>
      <c r="T1092" s="109" t="s">
        <v>138</v>
      </c>
      <c r="U1092" s="109" t="s">
        <v>138</v>
      </c>
      <c r="V1092" s="109" t="s">
        <v>138</v>
      </c>
      <c r="W1092" s="109" t="s">
        <v>138</v>
      </c>
      <c r="X1092" s="109" t="s">
        <v>138</v>
      </c>
      <c r="Y1092" s="109" t="s">
        <v>138</v>
      </c>
      <c r="Z1092" s="109" t="s">
        <v>138</v>
      </c>
      <c r="AA1092" s="109">
        <v>36.5</v>
      </c>
      <c r="AB1092" s="109">
        <v>32.4</v>
      </c>
      <c r="AC1092" s="110" t="s">
        <v>967</v>
      </c>
      <c r="AD1092" s="110" t="s">
        <v>2436</v>
      </c>
      <c r="AE1092" s="109">
        <f t="shared" si="49"/>
        <v>8</v>
      </c>
      <c r="AF1092" s="151" t="str">
        <f t="shared" ref="AF1090:AF1139" si="52">IF(AE1092=8,"Estable",(IF(AE1092=7,"Funcional con observaciones", (IF(AE1092=6,"Funcional con observaciones",(IF(AE1092=5,"Rendimiento bajo",(IF(AE1092=4,"Parcialmente funcional",(IF(AE1092=3,"Parcialmente funcional",(IF(AE1092=2,"Inoperativo",(IF(AE1092=1,"Inoperativo","Crítico")))))))))))))))</f>
        <v>Estable</v>
      </c>
    </row>
    <row r="1093" spans="1:32" x14ac:dyDescent="0.2">
      <c r="A1093" s="112">
        <v>899</v>
      </c>
      <c r="B1093" s="113" t="s">
        <v>1204</v>
      </c>
      <c r="C1093" s="114" t="s">
        <v>14</v>
      </c>
      <c r="D1093" s="114" t="s">
        <v>404</v>
      </c>
      <c r="E1093" s="114" t="s">
        <v>2876</v>
      </c>
      <c r="F1093" s="115" t="s">
        <v>2877</v>
      </c>
      <c r="G1093" s="115" t="s">
        <v>2968</v>
      </c>
      <c r="H1093" s="115" t="s">
        <v>2691</v>
      </c>
      <c r="I1093" s="114">
        <v>21.013662</v>
      </c>
      <c r="J1093" s="114">
        <v>-101.271931</v>
      </c>
      <c r="K1093" s="113"/>
      <c r="L1093" s="116" t="str">
        <f t="shared" si="51"/>
        <v>Ver en Google Maps</v>
      </c>
      <c r="M1093" s="116">
        <v>1</v>
      </c>
      <c r="N1093" s="139"/>
      <c r="O1093" s="118"/>
      <c r="P1093" s="118"/>
      <c r="Q1093" s="118"/>
      <c r="R1093" s="118"/>
      <c r="S1093" s="118"/>
      <c r="T1093" s="118"/>
      <c r="U1093" s="118"/>
      <c r="V1093" s="118"/>
      <c r="W1093" s="118"/>
      <c r="X1093" s="118"/>
      <c r="Y1093" s="118"/>
      <c r="Z1093" s="118"/>
      <c r="AA1093" s="118"/>
      <c r="AB1093" s="118"/>
      <c r="AC1093" s="119"/>
      <c r="AD1093" s="119"/>
      <c r="AE1093" s="118"/>
      <c r="AF1093" s="152"/>
    </row>
    <row r="1094" spans="1:32" x14ac:dyDescent="0.2">
      <c r="A1094" s="121">
        <v>901</v>
      </c>
      <c r="B1094" s="122" t="s">
        <v>1204</v>
      </c>
      <c r="C1094" s="123" t="s">
        <v>14</v>
      </c>
      <c r="D1094" s="123" t="s">
        <v>404</v>
      </c>
      <c r="E1094" s="123" t="s">
        <v>2878</v>
      </c>
      <c r="F1094" s="124" t="s">
        <v>2879</v>
      </c>
      <c r="G1094" s="124" t="s">
        <v>2966</v>
      </c>
      <c r="H1094" s="124" t="s">
        <v>2691</v>
      </c>
      <c r="I1094" s="123">
        <v>20.985609</v>
      </c>
      <c r="J1094" s="123">
        <v>-101.285455</v>
      </c>
      <c r="K1094" s="122" t="s">
        <v>3057</v>
      </c>
      <c r="L1094" s="125" t="str">
        <f t="shared" si="51"/>
        <v>Ver en Google Maps</v>
      </c>
      <c r="M1094" s="125">
        <v>1</v>
      </c>
      <c r="N1094" s="138">
        <v>45944</v>
      </c>
      <c r="O1094" s="109">
        <f>DAY('BD1'!$N1094)</f>
        <v>14</v>
      </c>
      <c r="P1094" s="109">
        <f>MONTH('BD1'!$N1094)</f>
        <v>10</v>
      </c>
      <c r="Q1094" s="109">
        <f>YEAR('BD1'!$N1094)</f>
        <v>2025</v>
      </c>
      <c r="R1094" s="109">
        <v>1</v>
      </c>
      <c r="S1094" s="109" t="s">
        <v>138</v>
      </c>
      <c r="T1094" s="109" t="s">
        <v>138</v>
      </c>
      <c r="U1094" s="109" t="s">
        <v>138</v>
      </c>
      <c r="V1094" s="109" t="s">
        <v>138</v>
      </c>
      <c r="W1094" s="109" t="s">
        <v>138</v>
      </c>
      <c r="X1094" s="109" t="s">
        <v>138</v>
      </c>
      <c r="Y1094" s="109" t="s">
        <v>138</v>
      </c>
      <c r="Z1094" s="109" t="s">
        <v>138</v>
      </c>
      <c r="AA1094" s="109">
        <v>103</v>
      </c>
      <c r="AB1094" s="109">
        <v>116</v>
      </c>
      <c r="AC1094" s="156" t="s">
        <v>3061</v>
      </c>
      <c r="AD1094" s="110" t="s">
        <v>2436</v>
      </c>
      <c r="AE1094" s="109">
        <f t="shared" si="49"/>
        <v>8</v>
      </c>
      <c r="AF1094" s="151" t="str">
        <f t="shared" si="52"/>
        <v>Estable</v>
      </c>
    </row>
    <row r="1095" spans="1:32" x14ac:dyDescent="0.2">
      <c r="A1095" s="112">
        <v>907</v>
      </c>
      <c r="B1095" s="113" t="s">
        <v>1204</v>
      </c>
      <c r="C1095" s="114" t="s">
        <v>14</v>
      </c>
      <c r="D1095" s="114" t="s">
        <v>404</v>
      </c>
      <c r="E1095" s="114" t="s">
        <v>2880</v>
      </c>
      <c r="F1095" s="115" t="s">
        <v>2869</v>
      </c>
      <c r="G1095" s="115" t="s">
        <v>3008</v>
      </c>
      <c r="H1095" s="115" t="s">
        <v>2691</v>
      </c>
      <c r="I1095" s="114">
        <v>20.987929000000001</v>
      </c>
      <c r="J1095" s="114">
        <v>-101.28359399999999</v>
      </c>
      <c r="K1095" s="113" t="s">
        <v>139</v>
      </c>
      <c r="L1095" s="116" t="str">
        <f t="shared" si="51"/>
        <v>Ver en Google Maps</v>
      </c>
      <c r="M1095" s="116">
        <v>1</v>
      </c>
      <c r="N1095" s="137">
        <v>45944</v>
      </c>
      <c r="O1095" s="118">
        <f>DAY('BD1'!$N1095)</f>
        <v>14</v>
      </c>
      <c r="P1095" s="118">
        <f>MONTH('BD1'!$N1095)</f>
        <v>10</v>
      </c>
      <c r="Q1095" s="118">
        <f>YEAR('BD1'!$N1095)</f>
        <v>2025</v>
      </c>
      <c r="R1095" s="118">
        <v>1</v>
      </c>
      <c r="S1095" s="118" t="s">
        <v>138</v>
      </c>
      <c r="T1095" s="118" t="s">
        <v>138</v>
      </c>
      <c r="U1095" s="118" t="s">
        <v>138</v>
      </c>
      <c r="V1095" s="118" t="s">
        <v>138</v>
      </c>
      <c r="W1095" s="118" t="s">
        <v>138</v>
      </c>
      <c r="X1095" s="118" t="s">
        <v>138</v>
      </c>
      <c r="Y1095" s="118" t="s">
        <v>934</v>
      </c>
      <c r="Z1095" s="118" t="s">
        <v>138</v>
      </c>
      <c r="AA1095" s="118">
        <v>46.3</v>
      </c>
      <c r="AB1095" s="118">
        <v>46.9</v>
      </c>
      <c r="AC1095" s="119" t="s">
        <v>3030</v>
      </c>
      <c r="AD1095" s="119" t="s">
        <v>2436</v>
      </c>
      <c r="AE1095" s="118">
        <f t="shared" si="49"/>
        <v>7</v>
      </c>
      <c r="AF1095" s="152" t="str">
        <f t="shared" si="52"/>
        <v>Funcional con observaciones</v>
      </c>
    </row>
    <row r="1096" spans="1:32" x14ac:dyDescent="0.2">
      <c r="A1096" s="121">
        <v>908</v>
      </c>
      <c r="B1096" s="122" t="s">
        <v>1204</v>
      </c>
      <c r="C1096" s="123" t="s">
        <v>14</v>
      </c>
      <c r="D1096" s="123" t="s">
        <v>404</v>
      </c>
      <c r="E1096" s="123" t="s">
        <v>2881</v>
      </c>
      <c r="F1096" s="124" t="s">
        <v>2882</v>
      </c>
      <c r="G1096" s="124" t="s">
        <v>2650</v>
      </c>
      <c r="H1096" s="124" t="s">
        <v>2691</v>
      </c>
      <c r="I1096" s="123">
        <v>21.028261000000001</v>
      </c>
      <c r="J1096" s="123">
        <v>-101.261703</v>
      </c>
      <c r="K1096" s="122"/>
      <c r="L1096" s="125" t="str">
        <f t="shared" si="51"/>
        <v>Ver en Google Maps</v>
      </c>
      <c r="M1096" s="125">
        <v>1</v>
      </c>
      <c r="N1096" s="140"/>
      <c r="O1096" s="109"/>
      <c r="P1096" s="109"/>
      <c r="Q1096" s="109"/>
      <c r="R1096" s="109"/>
      <c r="S1096" s="109"/>
      <c r="T1096" s="109"/>
      <c r="U1096" s="109"/>
      <c r="V1096" s="109"/>
      <c r="W1096" s="109"/>
      <c r="X1096" s="109"/>
      <c r="Y1096" s="109"/>
      <c r="Z1096" s="109"/>
      <c r="AA1096" s="109"/>
      <c r="AB1096" s="109"/>
      <c r="AC1096" s="110"/>
      <c r="AD1096" s="110"/>
      <c r="AE1096" s="109"/>
      <c r="AF1096" s="151"/>
    </row>
    <row r="1097" spans="1:32" x14ac:dyDescent="0.2">
      <c r="A1097" s="112">
        <v>910</v>
      </c>
      <c r="B1097" s="113" t="s">
        <v>1204</v>
      </c>
      <c r="C1097" s="114" t="s">
        <v>14</v>
      </c>
      <c r="D1097" s="114" t="s">
        <v>404</v>
      </c>
      <c r="E1097" s="114" t="s">
        <v>2883</v>
      </c>
      <c r="F1097" s="115" t="s">
        <v>2884</v>
      </c>
      <c r="G1097" s="115" t="s">
        <v>2650</v>
      </c>
      <c r="H1097" s="115" t="s">
        <v>2691</v>
      </c>
      <c r="I1097" s="114">
        <v>21.027868999999999</v>
      </c>
      <c r="J1097" s="114">
        <v>-101.260209</v>
      </c>
      <c r="K1097" s="113"/>
      <c r="L1097" s="116" t="str">
        <f t="shared" si="51"/>
        <v>Ver en Google Maps</v>
      </c>
      <c r="M1097" s="116">
        <v>1</v>
      </c>
      <c r="N1097" s="139"/>
      <c r="O1097" s="118"/>
      <c r="P1097" s="118"/>
      <c r="Q1097" s="118"/>
      <c r="R1097" s="118"/>
      <c r="S1097" s="118"/>
      <c r="T1097" s="118"/>
      <c r="U1097" s="118"/>
      <c r="V1097" s="118"/>
      <c r="W1097" s="118"/>
      <c r="X1097" s="118"/>
      <c r="Y1097" s="118"/>
      <c r="Z1097" s="118"/>
      <c r="AA1097" s="118"/>
      <c r="AB1097" s="118"/>
      <c r="AC1097" s="119"/>
      <c r="AD1097" s="119"/>
      <c r="AE1097" s="118"/>
      <c r="AF1097" s="152"/>
    </row>
    <row r="1098" spans="1:32" x14ac:dyDescent="0.2">
      <c r="A1098" s="121">
        <v>913</v>
      </c>
      <c r="B1098" s="122" t="s">
        <v>1204</v>
      </c>
      <c r="C1098" s="123" t="s">
        <v>14</v>
      </c>
      <c r="D1098" s="123" t="s">
        <v>404</v>
      </c>
      <c r="E1098" s="123" t="s">
        <v>2885</v>
      </c>
      <c r="F1098" s="124" t="s">
        <v>2886</v>
      </c>
      <c r="G1098" s="124" t="s">
        <v>2996</v>
      </c>
      <c r="H1098" s="124" t="s">
        <v>2691</v>
      </c>
      <c r="I1098" s="123">
        <v>21.012329999999999</v>
      </c>
      <c r="J1098" s="123">
        <v>-101.28182700000001</v>
      </c>
      <c r="K1098" s="122" t="s">
        <v>139</v>
      </c>
      <c r="L1098" s="125" t="str">
        <f t="shared" si="51"/>
        <v>Ver en Google Maps</v>
      </c>
      <c r="M1098" s="125">
        <v>1</v>
      </c>
      <c r="N1098" s="138">
        <v>45944</v>
      </c>
      <c r="O1098" s="109">
        <f>DAY('BD1'!$N1098)</f>
        <v>14</v>
      </c>
      <c r="P1098" s="109">
        <f>MONTH('BD1'!$N1098)</f>
        <v>10</v>
      </c>
      <c r="Q1098" s="109">
        <f>YEAR('BD1'!$N1098)</f>
        <v>2025</v>
      </c>
      <c r="R1098" s="109">
        <v>1</v>
      </c>
      <c r="S1098" s="109" t="s">
        <v>138</v>
      </c>
      <c r="T1098" s="109" t="s">
        <v>138</v>
      </c>
      <c r="U1098" s="109" t="s">
        <v>138</v>
      </c>
      <c r="V1098" s="109" t="s">
        <v>138</v>
      </c>
      <c r="W1098" s="109" t="s">
        <v>138</v>
      </c>
      <c r="X1098" s="109" t="s">
        <v>138</v>
      </c>
      <c r="Y1098" s="109" t="s">
        <v>138</v>
      </c>
      <c r="Z1098" s="109" t="s">
        <v>138</v>
      </c>
      <c r="AA1098" s="109">
        <v>75.8</v>
      </c>
      <c r="AB1098" s="109">
        <v>34</v>
      </c>
      <c r="AC1098" s="110" t="s">
        <v>967</v>
      </c>
      <c r="AD1098" s="110" t="s">
        <v>2436</v>
      </c>
      <c r="AE1098" s="109">
        <f t="shared" ref="AE1098:AE1139" si="53">COUNTIF(S1098:Z1098, "si")</f>
        <v>8</v>
      </c>
      <c r="AF1098" s="151" t="str">
        <f t="shared" si="52"/>
        <v>Estable</v>
      </c>
    </row>
    <row r="1099" spans="1:32" x14ac:dyDescent="0.2">
      <c r="A1099" s="112">
        <v>915</v>
      </c>
      <c r="B1099" s="113" t="s">
        <v>1204</v>
      </c>
      <c r="C1099" s="114" t="s">
        <v>14</v>
      </c>
      <c r="D1099" s="114" t="s">
        <v>404</v>
      </c>
      <c r="E1099" s="114" t="s">
        <v>2887</v>
      </c>
      <c r="F1099" s="115" t="s">
        <v>2888</v>
      </c>
      <c r="G1099" s="115" t="s">
        <v>3009</v>
      </c>
      <c r="H1099" s="115" t="s">
        <v>2691</v>
      </c>
      <c r="I1099" s="114">
        <v>21.014192000000001</v>
      </c>
      <c r="J1099" s="114">
        <v>-101.246546</v>
      </c>
      <c r="K1099" s="113"/>
      <c r="L1099" s="116" t="str">
        <f t="shared" si="51"/>
        <v>Ver en Google Maps</v>
      </c>
      <c r="M1099" s="116">
        <v>1</v>
      </c>
      <c r="N1099" s="139"/>
      <c r="O1099" s="118"/>
      <c r="P1099" s="118"/>
      <c r="Q1099" s="118"/>
      <c r="R1099" s="118"/>
      <c r="S1099" s="118"/>
      <c r="T1099" s="118"/>
      <c r="U1099" s="118"/>
      <c r="V1099" s="118"/>
      <c r="W1099" s="118"/>
      <c r="X1099" s="118"/>
      <c r="Y1099" s="118"/>
      <c r="Z1099" s="118"/>
      <c r="AA1099" s="118"/>
      <c r="AB1099" s="118"/>
      <c r="AC1099" s="119"/>
      <c r="AD1099" s="119"/>
      <c r="AE1099" s="118"/>
      <c r="AF1099" s="152"/>
    </row>
    <row r="1100" spans="1:32" x14ac:dyDescent="0.2">
      <c r="A1100" s="121">
        <v>918</v>
      </c>
      <c r="B1100" s="122" t="s">
        <v>1204</v>
      </c>
      <c r="C1100" s="123" t="s">
        <v>14</v>
      </c>
      <c r="D1100" s="123" t="s">
        <v>404</v>
      </c>
      <c r="E1100" s="123" t="s">
        <v>2889</v>
      </c>
      <c r="F1100" s="124" t="s">
        <v>2817</v>
      </c>
      <c r="G1100" s="124" t="s">
        <v>2970</v>
      </c>
      <c r="H1100" s="124" t="s">
        <v>2691</v>
      </c>
      <c r="I1100" s="123">
        <v>21.011520000000001</v>
      </c>
      <c r="J1100" s="123">
        <v>-101.26165</v>
      </c>
      <c r="K1100" s="122"/>
      <c r="L1100" s="125" t="str">
        <f t="shared" si="51"/>
        <v>Ver en Google Maps</v>
      </c>
      <c r="M1100" s="125">
        <v>1</v>
      </c>
      <c r="N1100" s="140"/>
      <c r="O1100" s="109"/>
      <c r="P1100" s="109"/>
      <c r="Q1100" s="109"/>
      <c r="R1100" s="109"/>
      <c r="S1100" s="109"/>
      <c r="T1100" s="109"/>
      <c r="U1100" s="109"/>
      <c r="V1100" s="109"/>
      <c r="W1100" s="109"/>
      <c r="X1100" s="109"/>
      <c r="Y1100" s="109"/>
      <c r="Z1100" s="109"/>
      <c r="AA1100" s="109"/>
      <c r="AB1100" s="109"/>
      <c r="AC1100" s="110"/>
      <c r="AD1100" s="110"/>
      <c r="AE1100" s="109"/>
      <c r="AF1100" s="151"/>
    </row>
    <row r="1101" spans="1:32" x14ac:dyDescent="0.2">
      <c r="A1101" s="112">
        <v>919</v>
      </c>
      <c r="B1101" s="113" t="s">
        <v>1204</v>
      </c>
      <c r="C1101" s="114" t="s">
        <v>14</v>
      </c>
      <c r="D1101" s="114" t="s">
        <v>404</v>
      </c>
      <c r="E1101" s="114" t="s">
        <v>2890</v>
      </c>
      <c r="F1101" s="115" t="s">
        <v>2827</v>
      </c>
      <c r="G1101" s="115" t="s">
        <v>2966</v>
      </c>
      <c r="H1101" s="115" t="s">
        <v>2691</v>
      </c>
      <c r="I1101" s="114">
        <v>20.993950000000002</v>
      </c>
      <c r="J1101" s="114">
        <v>-101.28264</v>
      </c>
      <c r="K1101" s="113"/>
      <c r="L1101" s="116" t="str">
        <f t="shared" si="51"/>
        <v>Ver en Google Maps</v>
      </c>
      <c r="M1101" s="116">
        <v>1</v>
      </c>
      <c r="N1101" s="139"/>
      <c r="O1101" s="118"/>
      <c r="P1101" s="118"/>
      <c r="Q1101" s="118"/>
      <c r="R1101" s="118"/>
      <c r="S1101" s="118"/>
      <c r="T1101" s="118"/>
      <c r="U1101" s="118"/>
      <c r="V1101" s="118"/>
      <c r="W1101" s="118"/>
      <c r="X1101" s="118"/>
      <c r="Y1101" s="118"/>
      <c r="Z1101" s="118"/>
      <c r="AA1101" s="118"/>
      <c r="AB1101" s="118"/>
      <c r="AC1101" s="119"/>
      <c r="AD1101" s="119"/>
      <c r="AE1101" s="118"/>
      <c r="AF1101" s="152"/>
    </row>
    <row r="1102" spans="1:32" x14ac:dyDescent="0.2">
      <c r="A1102" s="121">
        <v>920</v>
      </c>
      <c r="B1102" s="122" t="s">
        <v>1204</v>
      </c>
      <c r="C1102" s="123" t="s">
        <v>14</v>
      </c>
      <c r="D1102" s="123" t="s">
        <v>404</v>
      </c>
      <c r="E1102" s="123" t="s">
        <v>2891</v>
      </c>
      <c r="F1102" s="124" t="s">
        <v>2892</v>
      </c>
      <c r="G1102" s="124" t="s">
        <v>1212</v>
      </c>
      <c r="H1102" s="124" t="s">
        <v>2691</v>
      </c>
      <c r="I1102" s="123">
        <v>21.015219999999999</v>
      </c>
      <c r="J1102" s="123">
        <v>-101.26647</v>
      </c>
      <c r="K1102" s="122"/>
      <c r="L1102" s="125" t="str">
        <f t="shared" si="51"/>
        <v>Ver en Google Maps</v>
      </c>
      <c r="M1102" s="125">
        <v>1</v>
      </c>
      <c r="N1102" s="140"/>
      <c r="O1102" s="109"/>
      <c r="P1102" s="109"/>
      <c r="Q1102" s="109"/>
      <c r="R1102" s="109"/>
      <c r="S1102" s="109"/>
      <c r="T1102" s="109"/>
      <c r="U1102" s="109"/>
      <c r="V1102" s="109"/>
      <c r="W1102" s="109"/>
      <c r="X1102" s="109"/>
      <c r="Y1102" s="109"/>
      <c r="Z1102" s="109"/>
      <c r="AA1102" s="109"/>
      <c r="AB1102" s="109"/>
      <c r="AC1102" s="110"/>
      <c r="AD1102" s="110"/>
      <c r="AE1102" s="109"/>
      <c r="AF1102" s="151"/>
    </row>
    <row r="1103" spans="1:32" x14ac:dyDescent="0.2">
      <c r="A1103" s="112">
        <v>922</v>
      </c>
      <c r="B1103" s="113" t="s">
        <v>1204</v>
      </c>
      <c r="C1103" s="114" t="s">
        <v>14</v>
      </c>
      <c r="D1103" s="114" t="s">
        <v>404</v>
      </c>
      <c r="E1103" s="114" t="s">
        <v>2893</v>
      </c>
      <c r="F1103" s="115" t="s">
        <v>2894</v>
      </c>
      <c r="G1103" s="115" t="s">
        <v>2979</v>
      </c>
      <c r="H1103" s="115" t="s">
        <v>2691</v>
      </c>
      <c r="I1103" s="114">
        <v>21.018682999999999</v>
      </c>
      <c r="J1103" s="114">
        <v>-101.273932</v>
      </c>
      <c r="K1103" s="113" t="s">
        <v>139</v>
      </c>
      <c r="L1103" s="116" t="str">
        <f t="shared" si="51"/>
        <v>Ver en Google Maps</v>
      </c>
      <c r="M1103" s="116">
        <v>1</v>
      </c>
      <c r="N1103" s="137">
        <v>45948</v>
      </c>
      <c r="O1103" s="118">
        <f>DAY('BD1'!$N1103)</f>
        <v>18</v>
      </c>
      <c r="P1103" s="118">
        <f>MONTH('BD1'!$N1103)</f>
        <v>10</v>
      </c>
      <c r="Q1103" s="118">
        <f>YEAR('BD1'!$N1103)</f>
        <v>2025</v>
      </c>
      <c r="R1103" s="118">
        <v>1</v>
      </c>
      <c r="S1103" s="118" t="s">
        <v>934</v>
      </c>
      <c r="T1103" s="118" t="s">
        <v>934</v>
      </c>
      <c r="U1103" s="118" t="s">
        <v>934</v>
      </c>
      <c r="V1103" s="118" t="s">
        <v>934</v>
      </c>
      <c r="W1103" s="118" t="s">
        <v>934</v>
      </c>
      <c r="X1103" s="118" t="s">
        <v>934</v>
      </c>
      <c r="Y1103" s="118" t="s">
        <v>934</v>
      </c>
      <c r="Z1103" s="118" t="s">
        <v>934</v>
      </c>
      <c r="AA1103" s="118">
        <v>0</v>
      </c>
      <c r="AB1103" s="118">
        <v>0</v>
      </c>
      <c r="AC1103" s="119" t="s">
        <v>3068</v>
      </c>
      <c r="AD1103" s="119" t="s">
        <v>2436</v>
      </c>
      <c r="AE1103" s="118">
        <f t="shared" si="53"/>
        <v>0</v>
      </c>
      <c r="AF1103" s="152" t="str">
        <f t="shared" si="52"/>
        <v>Crítico</v>
      </c>
    </row>
    <row r="1104" spans="1:32" x14ac:dyDescent="0.2">
      <c r="A1104" s="121">
        <v>923</v>
      </c>
      <c r="B1104" s="122" t="s">
        <v>1204</v>
      </c>
      <c r="C1104" s="123" t="s">
        <v>14</v>
      </c>
      <c r="D1104" s="123" t="s">
        <v>404</v>
      </c>
      <c r="E1104" s="123" t="s">
        <v>2895</v>
      </c>
      <c r="F1104" s="124" t="s">
        <v>2896</v>
      </c>
      <c r="G1104" s="124" t="s">
        <v>2977</v>
      </c>
      <c r="H1104" s="124" t="s">
        <v>2691</v>
      </c>
      <c r="I1104" s="123">
        <v>21.011165999999999</v>
      </c>
      <c r="J1104" s="123">
        <v>-101.26293</v>
      </c>
      <c r="K1104" s="122" t="s">
        <v>139</v>
      </c>
      <c r="L1104" s="125" t="str">
        <f t="shared" si="51"/>
        <v>Ver en Google Maps</v>
      </c>
      <c r="M1104" s="125">
        <v>1</v>
      </c>
      <c r="N1104" s="138">
        <v>45944</v>
      </c>
      <c r="O1104" s="109">
        <f>DAY('BD1'!$N1104)</f>
        <v>14</v>
      </c>
      <c r="P1104" s="109">
        <f>MONTH('BD1'!$N1104)</f>
        <v>10</v>
      </c>
      <c r="Q1104" s="109">
        <f>YEAR('BD1'!$N1104)</f>
        <v>2025</v>
      </c>
      <c r="R1104" s="109">
        <v>1</v>
      </c>
      <c r="S1104" s="109" t="s">
        <v>138</v>
      </c>
      <c r="T1104" s="109" t="s">
        <v>138</v>
      </c>
      <c r="U1104" s="109" t="s">
        <v>138</v>
      </c>
      <c r="V1104" s="109" t="s">
        <v>138</v>
      </c>
      <c r="W1104" s="109" t="s">
        <v>138</v>
      </c>
      <c r="X1104" s="109" t="s">
        <v>138</v>
      </c>
      <c r="Y1104" s="109" t="s">
        <v>138</v>
      </c>
      <c r="Z1104" s="109" t="s">
        <v>138</v>
      </c>
      <c r="AA1104" s="109">
        <v>93</v>
      </c>
      <c r="AB1104" s="109">
        <v>90.3</v>
      </c>
      <c r="AC1104" s="110" t="s">
        <v>967</v>
      </c>
      <c r="AD1104" s="110" t="s">
        <v>2436</v>
      </c>
      <c r="AE1104" s="109">
        <f t="shared" si="53"/>
        <v>8</v>
      </c>
      <c r="AF1104" s="151" t="str">
        <f t="shared" si="52"/>
        <v>Estable</v>
      </c>
    </row>
    <row r="1105" spans="1:32" x14ac:dyDescent="0.2">
      <c r="A1105" s="112">
        <v>924</v>
      </c>
      <c r="B1105" s="113" t="s">
        <v>1204</v>
      </c>
      <c r="C1105" s="114" t="s">
        <v>7</v>
      </c>
      <c r="D1105" s="114" t="s">
        <v>404</v>
      </c>
      <c r="E1105" s="114" t="s">
        <v>2897</v>
      </c>
      <c r="F1105" s="115" t="s">
        <v>2898</v>
      </c>
      <c r="G1105" s="115" t="s">
        <v>1231</v>
      </c>
      <c r="H1105" s="115" t="s">
        <v>2691</v>
      </c>
      <c r="I1105" s="114">
        <v>21.020088000000001</v>
      </c>
      <c r="J1105" s="114">
        <v>-101.26660200000001</v>
      </c>
      <c r="K1105" s="113" t="s">
        <v>139</v>
      </c>
      <c r="L1105" s="116" t="str">
        <f t="shared" si="51"/>
        <v>Ver en Google Maps</v>
      </c>
      <c r="M1105" s="116">
        <v>1</v>
      </c>
      <c r="N1105" s="137">
        <v>45948</v>
      </c>
      <c r="O1105" s="118">
        <f>DAY('BD1'!$N1105)</f>
        <v>18</v>
      </c>
      <c r="P1105" s="118">
        <f>MONTH('BD1'!$N1105)</f>
        <v>10</v>
      </c>
      <c r="Q1105" s="118">
        <f>YEAR('BD1'!$N1105)</f>
        <v>2025</v>
      </c>
      <c r="R1105" s="118">
        <v>1</v>
      </c>
      <c r="S1105" s="118" t="s">
        <v>138</v>
      </c>
      <c r="T1105" s="118" t="s">
        <v>138</v>
      </c>
      <c r="U1105" s="118" t="s">
        <v>138</v>
      </c>
      <c r="V1105" s="118" t="s">
        <v>138</v>
      </c>
      <c r="W1105" s="118" t="s">
        <v>138</v>
      </c>
      <c r="X1105" s="118" t="s">
        <v>138</v>
      </c>
      <c r="Y1105" s="118" t="s">
        <v>138</v>
      </c>
      <c r="Z1105" s="118" t="s">
        <v>138</v>
      </c>
      <c r="AA1105" s="118">
        <v>52.7</v>
      </c>
      <c r="AB1105" s="118">
        <v>58.1</v>
      </c>
      <c r="AC1105" s="119" t="s">
        <v>967</v>
      </c>
      <c r="AD1105" s="119" t="s">
        <v>2436</v>
      </c>
      <c r="AE1105" s="118">
        <f t="shared" si="53"/>
        <v>8</v>
      </c>
      <c r="AF1105" s="152" t="str">
        <f t="shared" si="52"/>
        <v>Estable</v>
      </c>
    </row>
    <row r="1106" spans="1:32" x14ac:dyDescent="0.2">
      <c r="A1106" s="121">
        <v>925</v>
      </c>
      <c r="B1106" s="122" t="s">
        <v>1204</v>
      </c>
      <c r="C1106" s="123" t="s">
        <v>14</v>
      </c>
      <c r="D1106" s="123" t="s">
        <v>404</v>
      </c>
      <c r="E1106" s="123" t="s">
        <v>2899</v>
      </c>
      <c r="F1106" s="124" t="s">
        <v>2900</v>
      </c>
      <c r="G1106" s="124" t="s">
        <v>3008</v>
      </c>
      <c r="H1106" s="124" t="s">
        <v>2691</v>
      </c>
      <c r="I1106" s="123">
        <v>20.978100000000001</v>
      </c>
      <c r="J1106" s="123">
        <v>-101.2811</v>
      </c>
      <c r="K1106" s="122" t="s">
        <v>3057</v>
      </c>
      <c r="L1106" s="125" t="str">
        <f t="shared" ref="L1106:L1139" si="54">HYPERLINK("https://www.google.com/maps?q=" &amp; I1106 &amp; "," &amp; J1106, "Ver en Google Maps")</f>
        <v>Ver en Google Maps</v>
      </c>
      <c r="M1106" s="125">
        <v>1</v>
      </c>
      <c r="N1106" s="138">
        <v>45944</v>
      </c>
      <c r="O1106" s="109">
        <f>DAY('BD1'!$N1106)</f>
        <v>14</v>
      </c>
      <c r="P1106" s="109">
        <f>MONTH('BD1'!$N1106)</f>
        <v>10</v>
      </c>
      <c r="Q1106" s="109">
        <f>YEAR('BD1'!$N1106)</f>
        <v>2025</v>
      </c>
      <c r="R1106" s="109">
        <v>1</v>
      </c>
      <c r="S1106" s="109" t="s">
        <v>934</v>
      </c>
      <c r="T1106" s="109" t="s">
        <v>934</v>
      </c>
      <c r="U1106" s="109" t="s">
        <v>934</v>
      </c>
      <c r="V1106" s="109" t="s">
        <v>934</v>
      </c>
      <c r="W1106" s="109" t="s">
        <v>934</v>
      </c>
      <c r="X1106" s="109" t="s">
        <v>934</v>
      </c>
      <c r="Y1106" s="109" t="s">
        <v>934</v>
      </c>
      <c r="Z1106" s="109" t="s">
        <v>934</v>
      </c>
      <c r="AA1106" s="109">
        <v>0</v>
      </c>
      <c r="AB1106" s="109">
        <v>0</v>
      </c>
      <c r="AC1106" s="110" t="s">
        <v>3062</v>
      </c>
      <c r="AD1106" s="110" t="s">
        <v>2436</v>
      </c>
      <c r="AE1106" s="109">
        <f t="shared" si="53"/>
        <v>0</v>
      </c>
      <c r="AF1106" s="151" t="str">
        <f t="shared" si="52"/>
        <v>Crítico</v>
      </c>
    </row>
    <row r="1107" spans="1:32" x14ac:dyDescent="0.2">
      <c r="A1107" s="112">
        <v>926</v>
      </c>
      <c r="B1107" s="113" t="s">
        <v>1204</v>
      </c>
      <c r="C1107" s="114" t="s">
        <v>14</v>
      </c>
      <c r="D1107" s="114" t="s">
        <v>404</v>
      </c>
      <c r="E1107" s="114" t="s">
        <v>2901</v>
      </c>
      <c r="F1107" s="115" t="s">
        <v>2817</v>
      </c>
      <c r="G1107" s="115" t="s">
        <v>2970</v>
      </c>
      <c r="H1107" s="115" t="s">
        <v>2691</v>
      </c>
      <c r="I1107" s="114">
        <v>21.011520000000001</v>
      </c>
      <c r="J1107" s="114">
        <v>-101.26165</v>
      </c>
      <c r="K1107" s="113" t="s">
        <v>139</v>
      </c>
      <c r="L1107" s="116" t="str">
        <f t="shared" si="54"/>
        <v>Ver en Google Maps</v>
      </c>
      <c r="M1107" s="116">
        <v>1</v>
      </c>
      <c r="N1107" s="137">
        <v>45944</v>
      </c>
      <c r="O1107" s="118">
        <f>DAY('BD1'!$N1107)</f>
        <v>14</v>
      </c>
      <c r="P1107" s="118">
        <f>MONTH('BD1'!$N1107)</f>
        <v>10</v>
      </c>
      <c r="Q1107" s="118">
        <f>YEAR('BD1'!$N1107)</f>
        <v>2025</v>
      </c>
      <c r="R1107" s="118">
        <v>1</v>
      </c>
      <c r="S1107" s="118" t="s">
        <v>138</v>
      </c>
      <c r="T1107" s="118" t="s">
        <v>138</v>
      </c>
      <c r="U1107" s="118" t="s">
        <v>138</v>
      </c>
      <c r="V1107" s="118" t="s">
        <v>138</v>
      </c>
      <c r="W1107" s="118" t="s">
        <v>138</v>
      </c>
      <c r="X1107" s="118" t="s">
        <v>138</v>
      </c>
      <c r="Y1107" s="118" t="s">
        <v>138</v>
      </c>
      <c r="Z1107" s="118" t="s">
        <v>138</v>
      </c>
      <c r="AA1107" s="118">
        <v>90.3</v>
      </c>
      <c r="AB1107" s="118">
        <v>102</v>
      </c>
      <c r="AC1107" s="119" t="s">
        <v>967</v>
      </c>
      <c r="AD1107" s="119" t="s">
        <v>2436</v>
      </c>
      <c r="AE1107" s="118">
        <f t="shared" si="53"/>
        <v>8</v>
      </c>
      <c r="AF1107" s="152" t="str">
        <f t="shared" si="52"/>
        <v>Estable</v>
      </c>
    </row>
    <row r="1108" spans="1:32" x14ac:dyDescent="0.2">
      <c r="A1108" s="121">
        <v>931</v>
      </c>
      <c r="B1108" s="122" t="s">
        <v>1204</v>
      </c>
      <c r="C1108" s="123" t="s">
        <v>429</v>
      </c>
      <c r="D1108" s="123" t="s">
        <v>336</v>
      </c>
      <c r="E1108" s="123" t="s">
        <v>2902</v>
      </c>
      <c r="F1108" s="124" t="s">
        <v>2903</v>
      </c>
      <c r="G1108" s="124" t="s">
        <v>2979</v>
      </c>
      <c r="H1108" s="124" t="s">
        <v>2691</v>
      </c>
      <c r="I1108" s="123">
        <v>21.015279</v>
      </c>
      <c r="J1108" s="123">
        <v>-101.272971</v>
      </c>
      <c r="K1108" s="122"/>
      <c r="L1108" s="125" t="str">
        <f t="shared" si="54"/>
        <v>Ver en Google Maps</v>
      </c>
      <c r="M1108" s="125">
        <v>2</v>
      </c>
      <c r="N1108" s="140"/>
      <c r="O1108" s="109"/>
      <c r="P1108" s="109"/>
      <c r="Q1108" s="109"/>
      <c r="R1108" s="109"/>
      <c r="S1108" s="109"/>
      <c r="T1108" s="109"/>
      <c r="U1108" s="109"/>
      <c r="V1108" s="109"/>
      <c r="W1108" s="109"/>
      <c r="X1108" s="109"/>
      <c r="Y1108" s="109"/>
      <c r="Z1108" s="109"/>
      <c r="AA1108" s="109"/>
      <c r="AB1108" s="109"/>
      <c r="AC1108" s="110"/>
      <c r="AD1108" s="110"/>
      <c r="AE1108" s="109"/>
      <c r="AF1108" s="151"/>
    </row>
    <row r="1109" spans="1:32" x14ac:dyDescent="0.2">
      <c r="A1109" s="112">
        <v>935</v>
      </c>
      <c r="B1109" s="113" t="s">
        <v>1204</v>
      </c>
      <c r="C1109" s="114" t="s">
        <v>429</v>
      </c>
      <c r="D1109" s="114" t="s">
        <v>336</v>
      </c>
      <c r="E1109" s="114" t="s">
        <v>2904</v>
      </c>
      <c r="F1109" s="115" t="s">
        <v>2905</v>
      </c>
      <c r="G1109" s="115" t="s">
        <v>3010</v>
      </c>
      <c r="H1109" s="115" t="s">
        <v>2691</v>
      </c>
      <c r="I1109" s="114">
        <v>21.005469999999999</v>
      </c>
      <c r="J1109" s="114">
        <v>-101.248394</v>
      </c>
      <c r="K1109" s="113"/>
      <c r="L1109" s="116" t="str">
        <f t="shared" si="54"/>
        <v>Ver en Google Maps</v>
      </c>
      <c r="M1109" s="116">
        <v>2</v>
      </c>
      <c r="N1109" s="139"/>
      <c r="O1109" s="118"/>
      <c r="P1109" s="118"/>
      <c r="Q1109" s="118"/>
      <c r="R1109" s="118"/>
      <c r="S1109" s="118"/>
      <c r="T1109" s="118"/>
      <c r="U1109" s="118"/>
      <c r="V1109" s="118"/>
      <c r="W1109" s="118"/>
      <c r="X1109" s="118"/>
      <c r="Y1109" s="118"/>
      <c r="Z1109" s="118"/>
      <c r="AA1109" s="118"/>
      <c r="AB1109" s="118"/>
      <c r="AC1109" s="119"/>
      <c r="AD1109" s="119"/>
      <c r="AE1109" s="118"/>
      <c r="AF1109" s="152"/>
    </row>
    <row r="1110" spans="1:32" x14ac:dyDescent="0.2">
      <c r="A1110" s="121">
        <v>936</v>
      </c>
      <c r="B1110" s="122" t="s">
        <v>1204</v>
      </c>
      <c r="C1110" s="123" t="s">
        <v>429</v>
      </c>
      <c r="D1110" s="123" t="s">
        <v>336</v>
      </c>
      <c r="E1110" s="123" t="s">
        <v>2906</v>
      </c>
      <c r="F1110" s="124" t="s">
        <v>2907</v>
      </c>
      <c r="G1110" s="124" t="s">
        <v>2973</v>
      </c>
      <c r="H1110" s="124" t="s">
        <v>2691</v>
      </c>
      <c r="I1110" s="123">
        <v>20.961960000000001</v>
      </c>
      <c r="J1110" s="123">
        <v>-101.2748</v>
      </c>
      <c r="K1110" s="122"/>
      <c r="L1110" s="125" t="str">
        <f t="shared" si="54"/>
        <v>Ver en Google Maps</v>
      </c>
      <c r="M1110" s="125">
        <v>2</v>
      </c>
      <c r="N1110" s="140"/>
      <c r="O1110" s="109"/>
      <c r="P1110" s="109"/>
      <c r="Q1110" s="109"/>
      <c r="R1110" s="109"/>
      <c r="S1110" s="109"/>
      <c r="T1110" s="109"/>
      <c r="U1110" s="109"/>
      <c r="V1110" s="109"/>
      <c r="W1110" s="109"/>
      <c r="X1110" s="109"/>
      <c r="Y1110" s="109"/>
      <c r="Z1110" s="109"/>
      <c r="AA1110" s="109"/>
      <c r="AB1110" s="109"/>
      <c r="AC1110" s="110"/>
      <c r="AD1110" s="110"/>
      <c r="AE1110" s="109"/>
      <c r="AF1110" s="151"/>
    </row>
    <row r="1111" spans="1:32" x14ac:dyDescent="0.2">
      <c r="A1111" s="112">
        <v>937</v>
      </c>
      <c r="B1111" s="113" t="s">
        <v>1204</v>
      </c>
      <c r="C1111" s="114" t="s">
        <v>429</v>
      </c>
      <c r="D1111" s="114" t="s">
        <v>336</v>
      </c>
      <c r="E1111" s="114" t="s">
        <v>2908</v>
      </c>
      <c r="F1111" s="115" t="s">
        <v>2909</v>
      </c>
      <c r="G1111" s="115" t="s">
        <v>2309</v>
      </c>
      <c r="H1111" s="115" t="s">
        <v>2691</v>
      </c>
      <c r="I1111" s="114">
        <v>21.013310000000001</v>
      </c>
      <c r="J1111" s="114">
        <v>-101.27843</v>
      </c>
      <c r="K1111" s="113"/>
      <c r="L1111" s="116" t="str">
        <f t="shared" si="54"/>
        <v>Ver en Google Maps</v>
      </c>
      <c r="M1111" s="116">
        <v>2</v>
      </c>
      <c r="N1111" s="139"/>
      <c r="O1111" s="118"/>
      <c r="P1111" s="118"/>
      <c r="Q1111" s="118"/>
      <c r="R1111" s="118"/>
      <c r="S1111" s="118"/>
      <c r="T1111" s="118"/>
      <c r="U1111" s="118"/>
      <c r="V1111" s="118"/>
      <c r="W1111" s="118"/>
      <c r="X1111" s="118"/>
      <c r="Y1111" s="118"/>
      <c r="Z1111" s="118"/>
      <c r="AA1111" s="118"/>
      <c r="AB1111" s="118"/>
      <c r="AC1111" s="119"/>
      <c r="AD1111" s="119"/>
      <c r="AE1111" s="118"/>
      <c r="AF1111" s="152"/>
    </row>
    <row r="1112" spans="1:32" x14ac:dyDescent="0.2">
      <c r="A1112" s="121">
        <v>944</v>
      </c>
      <c r="B1112" s="122" t="s">
        <v>1204</v>
      </c>
      <c r="C1112" s="123" t="s">
        <v>429</v>
      </c>
      <c r="D1112" s="123" t="s">
        <v>132</v>
      </c>
      <c r="E1112" s="123" t="s">
        <v>2910</v>
      </c>
      <c r="F1112" s="124" t="s">
        <v>2911</v>
      </c>
      <c r="G1112" s="124" t="s">
        <v>3011</v>
      </c>
      <c r="H1112" s="124" t="s">
        <v>2691</v>
      </c>
      <c r="I1112" s="123">
        <v>20.943473999999998</v>
      </c>
      <c r="J1112" s="123">
        <v>-101.285554</v>
      </c>
      <c r="K1112" s="122"/>
      <c r="L1112" s="125" t="str">
        <f t="shared" si="54"/>
        <v>Ver en Google Maps</v>
      </c>
      <c r="M1112" s="125">
        <v>2</v>
      </c>
      <c r="N1112" s="140"/>
      <c r="O1112" s="109"/>
      <c r="P1112" s="109"/>
      <c r="Q1112" s="109"/>
      <c r="R1112" s="109"/>
      <c r="S1112" s="109"/>
      <c r="T1112" s="109"/>
      <c r="U1112" s="109"/>
      <c r="V1112" s="109"/>
      <c r="W1112" s="109"/>
      <c r="X1112" s="109"/>
      <c r="Y1112" s="109"/>
      <c r="Z1112" s="109"/>
      <c r="AA1112" s="109"/>
      <c r="AB1112" s="109"/>
      <c r="AC1112" s="110"/>
      <c r="AD1112" s="110"/>
      <c r="AE1112" s="109"/>
      <c r="AF1112" s="151"/>
    </row>
    <row r="1113" spans="1:32" x14ac:dyDescent="0.2">
      <c r="A1113" s="112">
        <v>956</v>
      </c>
      <c r="B1113" s="113" t="s">
        <v>1204</v>
      </c>
      <c r="C1113" s="114" t="s">
        <v>87</v>
      </c>
      <c r="D1113" s="114" t="s">
        <v>404</v>
      </c>
      <c r="E1113" s="114" t="s">
        <v>2912</v>
      </c>
      <c r="F1113" s="115" t="s">
        <v>2913</v>
      </c>
      <c r="G1113" s="115" t="s">
        <v>1212</v>
      </c>
      <c r="H1113" s="115" t="s">
        <v>2691</v>
      </c>
      <c r="I1113" s="114">
        <v>21.020106999999999</v>
      </c>
      <c r="J1113" s="114">
        <v>-101.259486</v>
      </c>
      <c r="K1113" s="113" t="s">
        <v>139</v>
      </c>
      <c r="L1113" s="116" t="str">
        <f t="shared" si="54"/>
        <v>Ver en Google Maps</v>
      </c>
      <c r="M1113" s="116">
        <v>1</v>
      </c>
      <c r="N1113" s="137">
        <v>45948</v>
      </c>
      <c r="O1113" s="118">
        <f>DAY('BD1'!$N1113)</f>
        <v>18</v>
      </c>
      <c r="P1113" s="118">
        <f>MONTH('BD1'!$N1113)</f>
        <v>10</v>
      </c>
      <c r="Q1113" s="118">
        <f>YEAR('BD1'!$N1113)</f>
        <v>2025</v>
      </c>
      <c r="R1113" s="118">
        <v>1</v>
      </c>
      <c r="S1113" s="118" t="s">
        <v>138</v>
      </c>
      <c r="T1113" s="118" t="s">
        <v>138</v>
      </c>
      <c r="U1113" s="118" t="s">
        <v>138</v>
      </c>
      <c r="V1113" s="118" t="s">
        <v>138</v>
      </c>
      <c r="W1113" s="118" t="s">
        <v>138</v>
      </c>
      <c r="X1113" s="118" t="s">
        <v>138</v>
      </c>
      <c r="Y1113" s="118" t="s">
        <v>138</v>
      </c>
      <c r="Z1113" s="118" t="s">
        <v>138</v>
      </c>
      <c r="AA1113" s="118">
        <v>7.08</v>
      </c>
      <c r="AB1113" s="118">
        <v>7.48</v>
      </c>
      <c r="AC1113" s="119" t="s">
        <v>1412</v>
      </c>
      <c r="AD1113" s="119" t="s">
        <v>2436</v>
      </c>
      <c r="AE1113" s="118">
        <f t="shared" si="53"/>
        <v>8</v>
      </c>
      <c r="AF1113" s="152" t="str">
        <f t="shared" si="52"/>
        <v>Estable</v>
      </c>
    </row>
    <row r="1114" spans="1:32" x14ac:dyDescent="0.2">
      <c r="A1114" s="121">
        <v>957</v>
      </c>
      <c r="B1114" s="122" t="s">
        <v>1204</v>
      </c>
      <c r="C1114" s="123" t="s">
        <v>87</v>
      </c>
      <c r="D1114" s="123" t="s">
        <v>404</v>
      </c>
      <c r="E1114" s="123" t="s">
        <v>2914</v>
      </c>
      <c r="F1114" s="124" t="s">
        <v>2915</v>
      </c>
      <c r="G1114" s="124" t="s">
        <v>3012</v>
      </c>
      <c r="H1114" s="124" t="s">
        <v>2691</v>
      </c>
      <c r="I1114" s="123">
        <v>21.010169999999999</v>
      </c>
      <c r="J1114" s="123">
        <v>-101.252979</v>
      </c>
      <c r="K1114" s="122"/>
      <c r="L1114" s="125" t="str">
        <f t="shared" si="54"/>
        <v>Ver en Google Maps</v>
      </c>
      <c r="M1114" s="125">
        <v>1</v>
      </c>
      <c r="N1114" s="140"/>
      <c r="O1114" s="109"/>
      <c r="P1114" s="109"/>
      <c r="Q1114" s="109"/>
      <c r="R1114" s="109"/>
      <c r="S1114" s="109"/>
      <c r="T1114" s="109"/>
      <c r="U1114" s="109"/>
      <c r="V1114" s="109"/>
      <c r="W1114" s="109"/>
      <c r="X1114" s="109"/>
      <c r="Y1114" s="109"/>
      <c r="Z1114" s="109"/>
      <c r="AA1114" s="109"/>
      <c r="AB1114" s="109"/>
      <c r="AC1114" s="110"/>
      <c r="AD1114" s="110"/>
      <c r="AE1114" s="109"/>
      <c r="AF1114" s="151"/>
    </row>
    <row r="1115" spans="1:32" x14ac:dyDescent="0.2">
      <c r="A1115" s="112">
        <v>960</v>
      </c>
      <c r="B1115" s="113" t="s">
        <v>1204</v>
      </c>
      <c r="C1115" s="114" t="s">
        <v>87</v>
      </c>
      <c r="D1115" s="114" t="s">
        <v>404</v>
      </c>
      <c r="E1115" s="114" t="s">
        <v>2916</v>
      </c>
      <c r="F1115" s="115" t="s">
        <v>2917</v>
      </c>
      <c r="G1115" s="115" t="s">
        <v>3013</v>
      </c>
      <c r="H1115" s="115" t="s">
        <v>2691</v>
      </c>
      <c r="I1115" s="114">
        <v>20.980824999999999</v>
      </c>
      <c r="J1115" s="114">
        <v>-101.28917300000001</v>
      </c>
      <c r="K1115" s="113"/>
      <c r="L1115" s="116" t="str">
        <f t="shared" si="54"/>
        <v>Ver en Google Maps</v>
      </c>
      <c r="M1115" s="116">
        <v>2</v>
      </c>
      <c r="N1115" s="139"/>
      <c r="O1115" s="118"/>
      <c r="P1115" s="118"/>
      <c r="Q1115" s="118"/>
      <c r="R1115" s="118"/>
      <c r="S1115" s="118"/>
      <c r="T1115" s="118"/>
      <c r="U1115" s="118"/>
      <c r="V1115" s="118"/>
      <c r="W1115" s="118"/>
      <c r="X1115" s="118"/>
      <c r="Y1115" s="118"/>
      <c r="Z1115" s="118"/>
      <c r="AA1115" s="118"/>
      <c r="AB1115" s="118"/>
      <c r="AC1115" s="119"/>
      <c r="AD1115" s="119"/>
      <c r="AE1115" s="118"/>
      <c r="AF1115" s="152"/>
    </row>
    <row r="1116" spans="1:32" x14ac:dyDescent="0.2">
      <c r="A1116" s="121">
        <v>961</v>
      </c>
      <c r="B1116" s="122" t="s">
        <v>1204</v>
      </c>
      <c r="C1116" s="123" t="s">
        <v>87</v>
      </c>
      <c r="D1116" s="123" t="s">
        <v>805</v>
      </c>
      <c r="E1116" s="123" t="s">
        <v>2918</v>
      </c>
      <c r="F1116" s="124" t="s">
        <v>2919</v>
      </c>
      <c r="G1116" s="124" t="s">
        <v>1231</v>
      </c>
      <c r="H1116" s="124" t="s">
        <v>2691</v>
      </c>
      <c r="I1116" s="123">
        <v>21.01933</v>
      </c>
      <c r="J1116" s="123">
        <v>-101.261144</v>
      </c>
      <c r="K1116" s="122" t="s">
        <v>139</v>
      </c>
      <c r="L1116" s="125" t="str">
        <f t="shared" si="54"/>
        <v>Ver en Google Maps</v>
      </c>
      <c r="M1116" s="125">
        <v>2</v>
      </c>
      <c r="N1116" s="138">
        <v>45948</v>
      </c>
      <c r="O1116" s="109">
        <f>DAY('BD1'!$N1116)</f>
        <v>18</v>
      </c>
      <c r="P1116" s="109">
        <f>MONTH('BD1'!$N1116)</f>
        <v>10</v>
      </c>
      <c r="Q1116" s="109">
        <f>YEAR('BD1'!$N1116)</f>
        <v>2025</v>
      </c>
      <c r="R1116" s="109">
        <v>1</v>
      </c>
      <c r="S1116" s="109" t="s">
        <v>138</v>
      </c>
      <c r="T1116" s="109" t="s">
        <v>138</v>
      </c>
      <c r="U1116" s="109" t="s">
        <v>138</v>
      </c>
      <c r="V1116" s="109" t="s">
        <v>138</v>
      </c>
      <c r="W1116" s="109" t="s">
        <v>138</v>
      </c>
      <c r="X1116" s="109" t="s">
        <v>138</v>
      </c>
      <c r="Y1116" s="109" t="s">
        <v>138</v>
      </c>
      <c r="Z1116" s="109" t="s">
        <v>138</v>
      </c>
      <c r="AA1116" s="109">
        <v>81.099999999999994</v>
      </c>
      <c r="AB1116" s="109">
        <v>67.400000000000006</v>
      </c>
      <c r="AC1116" s="110" t="s">
        <v>967</v>
      </c>
      <c r="AD1116" s="110" t="s">
        <v>2436</v>
      </c>
      <c r="AE1116" s="109">
        <f t="shared" si="53"/>
        <v>8</v>
      </c>
      <c r="AF1116" s="151" t="str">
        <f t="shared" si="52"/>
        <v>Estable</v>
      </c>
    </row>
    <row r="1117" spans="1:32" x14ac:dyDescent="0.2">
      <c r="A1117" s="112">
        <v>962</v>
      </c>
      <c r="B1117" s="113" t="s">
        <v>1204</v>
      </c>
      <c r="C1117" s="114" t="s">
        <v>87</v>
      </c>
      <c r="D1117" s="114" t="s">
        <v>563</v>
      </c>
      <c r="E1117" s="114" t="s">
        <v>2920</v>
      </c>
      <c r="F1117" s="115" t="s">
        <v>2921</v>
      </c>
      <c r="G1117" s="115" t="s">
        <v>2966</v>
      </c>
      <c r="H1117" s="115" t="s">
        <v>2691</v>
      </c>
      <c r="I1117" s="114">
        <v>20.995987</v>
      </c>
      <c r="J1117" s="114">
        <v>-101.29027000000001</v>
      </c>
      <c r="K1117" s="113" t="s">
        <v>139</v>
      </c>
      <c r="L1117" s="116" t="str">
        <f t="shared" si="54"/>
        <v>Ver en Google Maps</v>
      </c>
      <c r="M1117" s="116">
        <v>2</v>
      </c>
      <c r="N1117" s="137">
        <v>45944</v>
      </c>
      <c r="O1117" s="118">
        <f>DAY('BD1'!$N1117)</f>
        <v>14</v>
      </c>
      <c r="P1117" s="118">
        <f>MONTH('BD1'!$N1117)</f>
        <v>10</v>
      </c>
      <c r="Q1117" s="118">
        <f>YEAR('BD1'!$N1117)</f>
        <v>2025</v>
      </c>
      <c r="R1117" s="118">
        <v>1</v>
      </c>
      <c r="S1117" s="118" t="s">
        <v>138</v>
      </c>
      <c r="T1117" s="118" t="s">
        <v>138</v>
      </c>
      <c r="U1117" s="118" t="s">
        <v>138</v>
      </c>
      <c r="V1117" s="118" t="s">
        <v>138</v>
      </c>
      <c r="W1117" s="118" t="s">
        <v>138</v>
      </c>
      <c r="X1117" s="118" t="s">
        <v>138</v>
      </c>
      <c r="Y1117" s="118" t="s">
        <v>138</v>
      </c>
      <c r="Z1117" s="118" t="s">
        <v>138</v>
      </c>
      <c r="AA1117" s="118">
        <v>96.6</v>
      </c>
      <c r="AB1117" s="118">
        <v>66.599999999999994</v>
      </c>
      <c r="AC1117" s="119" t="s">
        <v>967</v>
      </c>
      <c r="AD1117" s="119" t="s">
        <v>2436</v>
      </c>
      <c r="AE1117" s="118">
        <f t="shared" si="53"/>
        <v>8</v>
      </c>
      <c r="AF1117" s="152" t="str">
        <f t="shared" si="52"/>
        <v>Estable</v>
      </c>
    </row>
    <row r="1118" spans="1:32" x14ac:dyDescent="0.2">
      <c r="A1118" s="121">
        <v>1014</v>
      </c>
      <c r="B1118" s="122" t="s">
        <v>1204</v>
      </c>
      <c r="C1118" s="123" t="s">
        <v>87</v>
      </c>
      <c r="D1118" s="123" t="s">
        <v>782</v>
      </c>
      <c r="E1118" s="123" t="s">
        <v>2922</v>
      </c>
      <c r="F1118" s="124" t="s">
        <v>2923</v>
      </c>
      <c r="G1118" s="124" t="s">
        <v>3003</v>
      </c>
      <c r="H1118" s="124" t="s">
        <v>2691</v>
      </c>
      <c r="I1118" s="123">
        <v>20.980824999999999</v>
      </c>
      <c r="J1118" s="123">
        <v>-101.28917300000001</v>
      </c>
      <c r="K1118" s="122"/>
      <c r="L1118" s="125" t="str">
        <f t="shared" si="54"/>
        <v>Ver en Google Maps</v>
      </c>
      <c r="M1118" s="125">
        <v>3</v>
      </c>
      <c r="N1118" s="140"/>
      <c r="O1118" s="109"/>
      <c r="P1118" s="109"/>
      <c r="Q1118" s="109"/>
      <c r="R1118" s="109"/>
      <c r="S1118" s="109"/>
      <c r="T1118" s="109"/>
      <c r="U1118" s="109"/>
      <c r="V1118" s="109"/>
      <c r="W1118" s="109"/>
      <c r="X1118" s="109"/>
      <c r="Y1118" s="109"/>
      <c r="Z1118" s="109"/>
      <c r="AA1118" s="109"/>
      <c r="AB1118" s="109"/>
      <c r="AC1118" s="110"/>
      <c r="AD1118" s="110"/>
      <c r="AE1118" s="109"/>
      <c r="AF1118" s="151"/>
    </row>
    <row r="1119" spans="1:32" x14ac:dyDescent="0.2">
      <c r="A1119" s="112">
        <v>1015</v>
      </c>
      <c r="B1119" s="113" t="s">
        <v>1204</v>
      </c>
      <c r="C1119" s="114" t="s">
        <v>87</v>
      </c>
      <c r="D1119" s="114" t="s">
        <v>842</v>
      </c>
      <c r="E1119" s="114" t="s">
        <v>2924</v>
      </c>
      <c r="F1119" s="115" t="s">
        <v>2923</v>
      </c>
      <c r="G1119" s="115" t="s">
        <v>3003</v>
      </c>
      <c r="H1119" s="115" t="s">
        <v>2691</v>
      </c>
      <c r="I1119" s="114">
        <v>20.980824999999999</v>
      </c>
      <c r="J1119" s="114">
        <v>-101.28917300000001</v>
      </c>
      <c r="K1119" s="113" t="s">
        <v>139</v>
      </c>
      <c r="L1119" s="116" t="str">
        <f t="shared" si="54"/>
        <v>Ver en Google Maps</v>
      </c>
      <c r="M1119" s="116">
        <v>2</v>
      </c>
      <c r="N1119" s="137">
        <v>45944</v>
      </c>
      <c r="O1119" s="118">
        <f>DAY('BD1'!$N1119)</f>
        <v>14</v>
      </c>
      <c r="P1119" s="118">
        <f>MONTH('BD1'!$N1119)</f>
        <v>10</v>
      </c>
      <c r="Q1119" s="118">
        <f>YEAR('BD1'!$N1119)</f>
        <v>2025</v>
      </c>
      <c r="R1119" s="118">
        <v>1</v>
      </c>
      <c r="S1119" s="118" t="s">
        <v>138</v>
      </c>
      <c r="T1119" s="118" t="s">
        <v>138</v>
      </c>
      <c r="U1119" s="118" t="s">
        <v>138</v>
      </c>
      <c r="V1119" s="118" t="s">
        <v>138</v>
      </c>
      <c r="W1119" s="118" t="s">
        <v>138</v>
      </c>
      <c r="X1119" s="118" t="s">
        <v>138</v>
      </c>
      <c r="Y1119" s="118" t="s">
        <v>138</v>
      </c>
      <c r="Z1119" s="118" t="s">
        <v>138</v>
      </c>
      <c r="AA1119" s="118">
        <v>59</v>
      </c>
      <c r="AB1119" s="118">
        <v>67.900000000000006</v>
      </c>
      <c r="AC1119" s="119" t="s">
        <v>967</v>
      </c>
      <c r="AD1119" s="119" t="s">
        <v>2436</v>
      </c>
      <c r="AE1119" s="118">
        <f t="shared" si="53"/>
        <v>8</v>
      </c>
      <c r="AF1119" s="152" t="str">
        <f t="shared" si="52"/>
        <v>Estable</v>
      </c>
    </row>
    <row r="1120" spans="1:32" x14ac:dyDescent="0.2">
      <c r="A1120" s="121">
        <v>1024</v>
      </c>
      <c r="B1120" s="122" t="s">
        <v>1204</v>
      </c>
      <c r="C1120" s="123" t="s">
        <v>87</v>
      </c>
      <c r="D1120" s="123" t="s">
        <v>404</v>
      </c>
      <c r="E1120" s="123" t="s">
        <v>2925</v>
      </c>
      <c r="F1120" s="124" t="s">
        <v>2926</v>
      </c>
      <c r="G1120" s="124" t="s">
        <v>2966</v>
      </c>
      <c r="H1120" s="124" t="s">
        <v>2691</v>
      </c>
      <c r="I1120" s="123">
        <v>20.996269999999999</v>
      </c>
      <c r="J1120" s="123">
        <v>-101.284486</v>
      </c>
      <c r="K1120" s="122" t="s">
        <v>139</v>
      </c>
      <c r="L1120" s="125" t="str">
        <f t="shared" si="54"/>
        <v>Ver en Google Maps</v>
      </c>
      <c r="M1120" s="125">
        <v>1</v>
      </c>
      <c r="N1120" s="138">
        <v>45944</v>
      </c>
      <c r="O1120" s="109">
        <f>DAY('BD1'!$N1120)</f>
        <v>14</v>
      </c>
      <c r="P1120" s="109">
        <f>MONTH('BD1'!$N1120)</f>
        <v>10</v>
      </c>
      <c r="Q1120" s="109">
        <f>YEAR('BD1'!$N1120)</f>
        <v>2025</v>
      </c>
      <c r="R1120" s="109">
        <v>1</v>
      </c>
      <c r="S1120" s="109" t="s">
        <v>138</v>
      </c>
      <c r="T1120" s="109" t="s">
        <v>138</v>
      </c>
      <c r="U1120" s="109" t="s">
        <v>138</v>
      </c>
      <c r="V1120" s="109" t="s">
        <v>138</v>
      </c>
      <c r="W1120" s="109" t="s">
        <v>138</v>
      </c>
      <c r="X1120" s="109" t="s">
        <v>138</v>
      </c>
      <c r="Y1120" s="109" t="s">
        <v>138</v>
      </c>
      <c r="Z1120" s="109" t="s">
        <v>138</v>
      </c>
      <c r="AA1120" s="109">
        <v>90.4</v>
      </c>
      <c r="AB1120" s="109">
        <v>28.7</v>
      </c>
      <c r="AC1120" s="110" t="s">
        <v>967</v>
      </c>
      <c r="AD1120" s="110" t="s">
        <v>2436</v>
      </c>
      <c r="AE1120" s="109">
        <f t="shared" si="53"/>
        <v>8</v>
      </c>
      <c r="AF1120" s="151" t="str">
        <f t="shared" si="52"/>
        <v>Estable</v>
      </c>
    </row>
    <row r="1121" spans="1:32" x14ac:dyDescent="0.2">
      <c r="A1121" s="112">
        <v>1025</v>
      </c>
      <c r="B1121" s="113" t="s">
        <v>1204</v>
      </c>
      <c r="C1121" s="114" t="s">
        <v>87</v>
      </c>
      <c r="D1121" s="114" t="s">
        <v>2927</v>
      </c>
      <c r="E1121" s="114" t="s">
        <v>2928</v>
      </c>
      <c r="F1121" s="115" t="s">
        <v>2929</v>
      </c>
      <c r="G1121" s="115" t="s">
        <v>3008</v>
      </c>
      <c r="H1121" s="115" t="s">
        <v>2691</v>
      </c>
      <c r="I1121" s="114">
        <v>20.986408999999998</v>
      </c>
      <c r="J1121" s="114">
        <v>-101.286877</v>
      </c>
      <c r="K1121" s="113" t="s">
        <v>139</v>
      </c>
      <c r="L1121" s="116" t="str">
        <f t="shared" si="54"/>
        <v>Ver en Google Maps</v>
      </c>
      <c r="M1121" s="116">
        <v>2</v>
      </c>
      <c r="N1121" s="137">
        <v>45944</v>
      </c>
      <c r="O1121" s="118">
        <f>DAY('BD1'!$N1121)</f>
        <v>14</v>
      </c>
      <c r="P1121" s="118">
        <f>MONTH('BD1'!$N1121)</f>
        <v>10</v>
      </c>
      <c r="Q1121" s="118">
        <f>YEAR('BD1'!$N1121)</f>
        <v>2025</v>
      </c>
      <c r="R1121" s="118">
        <v>1</v>
      </c>
      <c r="S1121" s="118" t="s">
        <v>138</v>
      </c>
      <c r="T1121" s="118" t="s">
        <v>138</v>
      </c>
      <c r="U1121" s="118" t="s">
        <v>138</v>
      </c>
      <c r="V1121" s="118" t="s">
        <v>138</v>
      </c>
      <c r="W1121" s="118" t="s">
        <v>138</v>
      </c>
      <c r="X1121" s="118" t="s">
        <v>138</v>
      </c>
      <c r="Y1121" s="118" t="s">
        <v>138</v>
      </c>
      <c r="Z1121" s="118" t="s">
        <v>138</v>
      </c>
      <c r="AA1121" s="118">
        <v>109</v>
      </c>
      <c r="AB1121" s="118">
        <v>109</v>
      </c>
      <c r="AC1121" s="119" t="s">
        <v>967</v>
      </c>
      <c r="AD1121" s="119" t="s">
        <v>2436</v>
      </c>
      <c r="AE1121" s="118">
        <f t="shared" si="53"/>
        <v>8</v>
      </c>
      <c r="AF1121" s="152" t="str">
        <f t="shared" si="52"/>
        <v>Estable</v>
      </c>
    </row>
    <row r="1122" spans="1:32" x14ac:dyDescent="0.2">
      <c r="A1122" s="121">
        <v>1026</v>
      </c>
      <c r="B1122" s="122" t="s">
        <v>1204</v>
      </c>
      <c r="C1122" s="123" t="s">
        <v>87</v>
      </c>
      <c r="D1122" s="123" t="s">
        <v>404</v>
      </c>
      <c r="E1122" s="123" t="s">
        <v>2930</v>
      </c>
      <c r="F1122" s="124" t="s">
        <v>2931</v>
      </c>
      <c r="G1122" s="124" t="s">
        <v>2966</v>
      </c>
      <c r="H1122" s="124" t="s">
        <v>2691</v>
      </c>
      <c r="I1122" s="123">
        <v>20.994458999999999</v>
      </c>
      <c r="J1122" s="123">
        <v>-101.292158</v>
      </c>
      <c r="K1122" s="122" t="s">
        <v>139</v>
      </c>
      <c r="L1122" s="125" t="str">
        <f t="shared" si="54"/>
        <v>Ver en Google Maps</v>
      </c>
      <c r="M1122" s="125">
        <v>1</v>
      </c>
      <c r="N1122" s="138">
        <v>45944</v>
      </c>
      <c r="O1122" s="109">
        <f>DAY('BD1'!$N1122)</f>
        <v>14</v>
      </c>
      <c r="P1122" s="109">
        <f>MONTH('BD1'!$N1122)</f>
        <v>10</v>
      </c>
      <c r="Q1122" s="109">
        <f>YEAR('BD1'!$N1122)</f>
        <v>2025</v>
      </c>
      <c r="R1122" s="109">
        <v>1</v>
      </c>
      <c r="S1122" s="109" t="s">
        <v>138</v>
      </c>
      <c r="T1122" s="109" t="s">
        <v>934</v>
      </c>
      <c r="U1122" s="109" t="s">
        <v>138</v>
      </c>
      <c r="V1122" s="109" t="s">
        <v>934</v>
      </c>
      <c r="W1122" s="109" t="s">
        <v>138</v>
      </c>
      <c r="X1122" s="109" t="s">
        <v>934</v>
      </c>
      <c r="Y1122" s="109" t="s">
        <v>934</v>
      </c>
      <c r="Z1122" s="109" t="s">
        <v>934</v>
      </c>
      <c r="AA1122" s="109">
        <v>0</v>
      </c>
      <c r="AB1122" s="109">
        <v>0</v>
      </c>
      <c r="AC1122" s="110" t="s">
        <v>3031</v>
      </c>
      <c r="AD1122" s="110" t="s">
        <v>2436</v>
      </c>
      <c r="AE1122" s="109">
        <f t="shared" si="53"/>
        <v>3</v>
      </c>
      <c r="AF1122" s="151" t="str">
        <f t="shared" si="52"/>
        <v>Parcialmente funcional</v>
      </c>
    </row>
    <row r="1123" spans="1:32" x14ac:dyDescent="0.2">
      <c r="A1123" s="112">
        <v>1028</v>
      </c>
      <c r="B1123" s="113" t="s">
        <v>1204</v>
      </c>
      <c r="C1123" s="114" t="s">
        <v>87</v>
      </c>
      <c r="D1123" s="114" t="s">
        <v>404</v>
      </c>
      <c r="E1123" s="114" t="s">
        <v>2932</v>
      </c>
      <c r="F1123" s="115" t="s">
        <v>2933</v>
      </c>
      <c r="G1123" s="115" t="s">
        <v>2973</v>
      </c>
      <c r="H1123" s="115" t="s">
        <v>2691</v>
      </c>
      <c r="I1123" s="114">
        <v>20.959389999999999</v>
      </c>
      <c r="J1123" s="114">
        <v>-101.273535</v>
      </c>
      <c r="K1123" s="113"/>
      <c r="L1123" s="116" t="str">
        <f t="shared" si="54"/>
        <v>Ver en Google Maps</v>
      </c>
      <c r="M1123" s="116">
        <v>1</v>
      </c>
      <c r="N1123" s="139"/>
      <c r="O1123" s="118"/>
      <c r="P1123" s="118"/>
      <c r="Q1123" s="118"/>
      <c r="R1123" s="118"/>
      <c r="S1123" s="118"/>
      <c r="T1123" s="118"/>
      <c r="U1123" s="118"/>
      <c r="V1123" s="118"/>
      <c r="W1123" s="118"/>
      <c r="X1123" s="118"/>
      <c r="Y1123" s="118"/>
      <c r="Z1123" s="118"/>
      <c r="AA1123" s="118"/>
      <c r="AB1123" s="118"/>
      <c r="AC1123" s="119"/>
      <c r="AD1123" s="119"/>
      <c r="AE1123" s="118"/>
      <c r="AF1123" s="152"/>
    </row>
    <row r="1124" spans="1:32" x14ac:dyDescent="0.2">
      <c r="A1124" s="121">
        <v>1044</v>
      </c>
      <c r="B1124" s="122" t="s">
        <v>1204</v>
      </c>
      <c r="C1124" s="123" t="s">
        <v>87</v>
      </c>
      <c r="D1124" s="123" t="s">
        <v>563</v>
      </c>
      <c r="E1124" s="123" t="s">
        <v>2934</v>
      </c>
      <c r="F1124" s="124" t="s">
        <v>2935</v>
      </c>
      <c r="G1124" s="124" t="s">
        <v>2973</v>
      </c>
      <c r="H1124" s="124" t="s">
        <v>2691</v>
      </c>
      <c r="I1124" s="123">
        <v>20.967573999999999</v>
      </c>
      <c r="J1124" s="123">
        <v>-101.27360299999999</v>
      </c>
      <c r="K1124" s="122"/>
      <c r="L1124" s="125" t="str">
        <f t="shared" si="54"/>
        <v>Ver en Google Maps</v>
      </c>
      <c r="M1124" s="125">
        <v>2</v>
      </c>
      <c r="N1124" s="140"/>
      <c r="O1124" s="109"/>
      <c r="P1124" s="109"/>
      <c r="Q1124" s="109"/>
      <c r="R1124" s="109"/>
      <c r="S1124" s="109"/>
      <c r="T1124" s="109"/>
      <c r="U1124" s="109"/>
      <c r="V1124" s="109"/>
      <c r="W1124" s="109"/>
      <c r="X1124" s="109"/>
      <c r="Y1124" s="109"/>
      <c r="Z1124" s="109"/>
      <c r="AA1124" s="109"/>
      <c r="AB1124" s="109"/>
      <c r="AC1124" s="110"/>
      <c r="AD1124" s="110"/>
      <c r="AE1124" s="109"/>
      <c r="AF1124" s="151"/>
    </row>
    <row r="1125" spans="1:32" x14ac:dyDescent="0.2">
      <c r="A1125" s="112">
        <v>1054</v>
      </c>
      <c r="B1125" s="113" t="s">
        <v>1204</v>
      </c>
      <c r="C1125" s="114" t="s">
        <v>87</v>
      </c>
      <c r="D1125" s="114" t="s">
        <v>404</v>
      </c>
      <c r="E1125" s="114" t="s">
        <v>2936</v>
      </c>
      <c r="F1125" s="115" t="s">
        <v>2937</v>
      </c>
      <c r="G1125" s="115" t="s">
        <v>3008</v>
      </c>
      <c r="H1125" s="115" t="s">
        <v>2691</v>
      </c>
      <c r="I1125" s="114">
        <v>20.96209</v>
      </c>
      <c r="J1125" s="114">
        <v>-101.27329</v>
      </c>
      <c r="K1125" s="113"/>
      <c r="L1125" s="116" t="str">
        <f t="shared" si="54"/>
        <v>Ver en Google Maps</v>
      </c>
      <c r="M1125" s="116">
        <v>2</v>
      </c>
      <c r="N1125" s="139"/>
      <c r="O1125" s="118"/>
      <c r="P1125" s="118"/>
      <c r="Q1125" s="118"/>
      <c r="R1125" s="118"/>
      <c r="S1125" s="118"/>
      <c r="T1125" s="118"/>
      <c r="U1125" s="118"/>
      <c r="V1125" s="118"/>
      <c r="W1125" s="118"/>
      <c r="X1125" s="118"/>
      <c r="Y1125" s="118"/>
      <c r="Z1125" s="118"/>
      <c r="AA1125" s="118"/>
      <c r="AB1125" s="118"/>
      <c r="AC1125" s="119"/>
      <c r="AD1125" s="119"/>
      <c r="AE1125" s="118"/>
      <c r="AF1125" s="152"/>
    </row>
    <row r="1126" spans="1:32" x14ac:dyDescent="0.2">
      <c r="A1126" s="121">
        <v>1056</v>
      </c>
      <c r="B1126" s="122" t="s">
        <v>1204</v>
      </c>
      <c r="C1126" s="123" t="s">
        <v>14</v>
      </c>
      <c r="D1126" s="123" t="s">
        <v>404</v>
      </c>
      <c r="E1126" s="123" t="s">
        <v>2938</v>
      </c>
      <c r="F1126" s="124" t="s">
        <v>2939</v>
      </c>
      <c r="G1126" s="124" t="s">
        <v>1212</v>
      </c>
      <c r="H1126" s="124" t="s">
        <v>2691</v>
      </c>
      <c r="I1126" s="123">
        <v>21.003256</v>
      </c>
      <c r="J1126" s="123">
        <v>-101.243756</v>
      </c>
      <c r="K1126" s="122"/>
      <c r="L1126" s="125" t="str">
        <f t="shared" si="54"/>
        <v>Ver en Google Maps</v>
      </c>
      <c r="M1126" s="125">
        <v>1</v>
      </c>
      <c r="N1126" s="140"/>
      <c r="O1126" s="109"/>
      <c r="P1126" s="109"/>
      <c r="Q1126" s="109"/>
      <c r="R1126" s="109"/>
      <c r="S1126" s="109"/>
      <c r="T1126" s="109"/>
      <c r="U1126" s="109"/>
      <c r="V1126" s="109"/>
      <c r="W1126" s="109"/>
      <c r="X1126" s="109"/>
      <c r="Y1126" s="109"/>
      <c r="Z1126" s="109"/>
      <c r="AA1126" s="109"/>
      <c r="AB1126" s="109"/>
      <c r="AC1126" s="110"/>
      <c r="AD1126" s="110"/>
      <c r="AE1126" s="109"/>
      <c r="AF1126" s="151"/>
    </row>
    <row r="1127" spans="1:32" x14ac:dyDescent="0.2">
      <c r="A1127" s="112">
        <v>1062</v>
      </c>
      <c r="B1127" s="113" t="s">
        <v>1204</v>
      </c>
      <c r="C1127" s="114" t="s">
        <v>14</v>
      </c>
      <c r="D1127" s="114" t="s">
        <v>404</v>
      </c>
      <c r="E1127" s="114" t="s">
        <v>2940</v>
      </c>
      <c r="F1127" s="115" t="s">
        <v>2941</v>
      </c>
      <c r="G1127" s="115" t="s">
        <v>3014</v>
      </c>
      <c r="H1127" s="115" t="s">
        <v>2691</v>
      </c>
      <c r="I1127" s="114">
        <v>20.941970000000001</v>
      </c>
      <c r="J1127" s="114">
        <v>-101.28055999999999</v>
      </c>
      <c r="K1127" s="113"/>
      <c r="L1127" s="116" t="str">
        <f t="shared" si="54"/>
        <v>Ver en Google Maps</v>
      </c>
      <c r="M1127" s="116">
        <v>1</v>
      </c>
      <c r="N1127" s="139"/>
      <c r="O1127" s="118"/>
      <c r="P1127" s="118"/>
      <c r="Q1127" s="118"/>
      <c r="R1127" s="118"/>
      <c r="S1127" s="118"/>
      <c r="T1127" s="118"/>
      <c r="U1127" s="118"/>
      <c r="V1127" s="118"/>
      <c r="W1127" s="118"/>
      <c r="X1127" s="118"/>
      <c r="Y1127" s="118"/>
      <c r="Z1127" s="118"/>
      <c r="AA1127" s="118"/>
      <c r="AB1127" s="118"/>
      <c r="AC1127" s="119"/>
      <c r="AD1127" s="119"/>
      <c r="AE1127" s="118"/>
      <c r="AF1127" s="152"/>
    </row>
    <row r="1128" spans="1:32" x14ac:dyDescent="0.2">
      <c r="A1128" s="121">
        <v>1090</v>
      </c>
      <c r="B1128" s="122" t="s">
        <v>1204</v>
      </c>
      <c r="C1128" s="123" t="s">
        <v>426</v>
      </c>
      <c r="D1128" s="123" t="s">
        <v>404</v>
      </c>
      <c r="E1128" s="123" t="s">
        <v>2942</v>
      </c>
      <c r="F1128" s="124" t="s">
        <v>2943</v>
      </c>
      <c r="G1128" s="124" t="s">
        <v>1212</v>
      </c>
      <c r="H1128" s="124" t="s">
        <v>2691</v>
      </c>
      <c r="I1128" s="123">
        <v>21.016120000000001</v>
      </c>
      <c r="J1128" s="123">
        <v>-101.25360000000001</v>
      </c>
      <c r="K1128" s="122" t="s">
        <v>139</v>
      </c>
      <c r="L1128" s="125" t="str">
        <f t="shared" si="54"/>
        <v>Ver en Google Maps</v>
      </c>
      <c r="M1128" s="125">
        <v>1</v>
      </c>
      <c r="N1128" s="138">
        <v>45948</v>
      </c>
      <c r="O1128" s="109">
        <f>DAY('BD1'!$N1128)</f>
        <v>18</v>
      </c>
      <c r="P1128" s="109">
        <f>MONTH('BD1'!$N1128)</f>
        <v>10</v>
      </c>
      <c r="Q1128" s="109">
        <f>YEAR('BD1'!$N1128)</f>
        <v>2025</v>
      </c>
      <c r="R1128" s="109">
        <v>1</v>
      </c>
      <c r="S1128" s="109" t="s">
        <v>138</v>
      </c>
      <c r="T1128" s="109" t="s">
        <v>138</v>
      </c>
      <c r="U1128" s="109" t="s">
        <v>138</v>
      </c>
      <c r="V1128" s="109" t="s">
        <v>138</v>
      </c>
      <c r="W1128" s="109" t="s">
        <v>138</v>
      </c>
      <c r="X1128" s="109" t="s">
        <v>138</v>
      </c>
      <c r="Y1128" s="109" t="s">
        <v>934</v>
      </c>
      <c r="Z1128" s="109" t="s">
        <v>138</v>
      </c>
      <c r="AA1128" s="109">
        <v>51.9</v>
      </c>
      <c r="AB1128" s="109">
        <v>8.7200000000000006</v>
      </c>
      <c r="AC1128" s="110" t="s">
        <v>3071</v>
      </c>
      <c r="AD1128" s="110" t="s">
        <v>2436</v>
      </c>
      <c r="AE1128" s="109">
        <f t="shared" si="53"/>
        <v>7</v>
      </c>
      <c r="AF1128" s="151" t="str">
        <f t="shared" si="52"/>
        <v>Funcional con observaciones</v>
      </c>
    </row>
    <row r="1129" spans="1:32" x14ac:dyDescent="0.2">
      <c r="A1129" s="112">
        <v>1098</v>
      </c>
      <c r="B1129" s="113" t="s">
        <v>1204</v>
      </c>
      <c r="C1129" s="114" t="s">
        <v>14</v>
      </c>
      <c r="D1129" s="114" t="s">
        <v>404</v>
      </c>
      <c r="E1129" s="114" t="s">
        <v>2944</v>
      </c>
      <c r="F1129" s="115" t="s">
        <v>2945</v>
      </c>
      <c r="G1129" s="115" t="s">
        <v>3015</v>
      </c>
      <c r="H1129" s="115" t="s">
        <v>2691</v>
      </c>
      <c r="I1129" s="114">
        <v>20.955577999999999</v>
      </c>
      <c r="J1129" s="114">
        <v>-101.28103400000001</v>
      </c>
      <c r="K1129" s="113"/>
      <c r="L1129" s="116" t="str">
        <f t="shared" si="54"/>
        <v>Ver en Google Maps</v>
      </c>
      <c r="M1129" s="116">
        <v>1</v>
      </c>
      <c r="N1129" s="139"/>
      <c r="O1129" s="118"/>
      <c r="P1129" s="118"/>
      <c r="Q1129" s="118"/>
      <c r="R1129" s="118"/>
      <c r="S1129" s="118"/>
      <c r="T1129" s="118"/>
      <c r="U1129" s="118"/>
      <c r="V1129" s="118"/>
      <c r="W1129" s="118"/>
      <c r="X1129" s="118"/>
      <c r="Y1129" s="118"/>
      <c r="Z1129" s="118"/>
      <c r="AA1129" s="118"/>
      <c r="AB1129" s="118"/>
      <c r="AC1129" s="119"/>
      <c r="AD1129" s="119"/>
      <c r="AE1129" s="118"/>
      <c r="AF1129" s="152"/>
    </row>
    <row r="1130" spans="1:32" x14ac:dyDescent="0.2">
      <c r="A1130" s="121">
        <v>1107</v>
      </c>
      <c r="B1130" s="122" t="s">
        <v>1204</v>
      </c>
      <c r="C1130" s="123" t="s">
        <v>429</v>
      </c>
      <c r="D1130" s="123" t="s">
        <v>132</v>
      </c>
      <c r="E1130" s="123" t="s">
        <v>2946</v>
      </c>
      <c r="F1130" s="124" t="s">
        <v>2947</v>
      </c>
      <c r="G1130" s="124" t="s">
        <v>1783</v>
      </c>
      <c r="H1130" s="124" t="s">
        <v>2691</v>
      </c>
      <c r="I1130" s="123">
        <v>21.012664000000001</v>
      </c>
      <c r="J1130" s="123">
        <v>-101.281316</v>
      </c>
      <c r="K1130" s="122" t="s">
        <v>139</v>
      </c>
      <c r="L1130" s="125" t="str">
        <f t="shared" si="54"/>
        <v>Ver en Google Maps</v>
      </c>
      <c r="M1130" s="125">
        <v>2</v>
      </c>
      <c r="N1130" s="138">
        <v>45944</v>
      </c>
      <c r="O1130" s="109">
        <f>DAY('BD1'!$N1130)</f>
        <v>14</v>
      </c>
      <c r="P1130" s="109">
        <f>MONTH('BD1'!$N1130)</f>
        <v>10</v>
      </c>
      <c r="Q1130" s="109">
        <f>YEAR('BD1'!$N1130)</f>
        <v>2025</v>
      </c>
      <c r="R1130" s="109">
        <v>1</v>
      </c>
      <c r="S1130" s="109" t="s">
        <v>138</v>
      </c>
      <c r="T1130" s="109" t="s">
        <v>138</v>
      </c>
      <c r="U1130" s="109" t="s">
        <v>138</v>
      </c>
      <c r="V1130" s="109" t="s">
        <v>138</v>
      </c>
      <c r="W1130" s="109" t="s">
        <v>138</v>
      </c>
      <c r="X1130" s="109" t="s">
        <v>138</v>
      </c>
      <c r="Y1130" s="109" t="s">
        <v>138</v>
      </c>
      <c r="Z1130" s="109" t="s">
        <v>138</v>
      </c>
      <c r="AA1130" s="109">
        <v>34.700000000000003</v>
      </c>
      <c r="AB1130" s="109">
        <v>11.2</v>
      </c>
      <c r="AC1130" s="110" t="s">
        <v>967</v>
      </c>
      <c r="AD1130" s="110" t="s">
        <v>2436</v>
      </c>
      <c r="AE1130" s="109">
        <f t="shared" si="53"/>
        <v>8</v>
      </c>
      <c r="AF1130" s="151" t="str">
        <f t="shared" si="52"/>
        <v>Estable</v>
      </c>
    </row>
    <row r="1131" spans="1:32" x14ac:dyDescent="0.2">
      <c r="A1131" s="112">
        <v>1108</v>
      </c>
      <c r="B1131" s="113" t="s">
        <v>1204</v>
      </c>
      <c r="C1131" s="114" t="s">
        <v>429</v>
      </c>
      <c r="D1131" s="114" t="s">
        <v>132</v>
      </c>
      <c r="E1131" s="114" t="s">
        <v>2948</v>
      </c>
      <c r="F1131" s="115" t="s">
        <v>2949</v>
      </c>
      <c r="G1131" s="115" t="s">
        <v>2984</v>
      </c>
      <c r="H1131" s="115" t="s">
        <v>2691</v>
      </c>
      <c r="I1131" s="114">
        <v>20.995170999999999</v>
      </c>
      <c r="J1131" s="114">
        <v>-101.292805</v>
      </c>
      <c r="K1131" s="113"/>
      <c r="L1131" s="116" t="str">
        <f t="shared" si="54"/>
        <v>Ver en Google Maps</v>
      </c>
      <c r="M1131" s="116">
        <v>2</v>
      </c>
      <c r="N1131" s="139"/>
      <c r="O1131" s="118"/>
      <c r="P1131" s="118"/>
      <c r="Q1131" s="118"/>
      <c r="R1131" s="118"/>
      <c r="S1131" s="118"/>
      <c r="T1131" s="118"/>
      <c r="U1131" s="118"/>
      <c r="V1131" s="118"/>
      <c r="W1131" s="118"/>
      <c r="X1131" s="118"/>
      <c r="Y1131" s="118"/>
      <c r="Z1131" s="118"/>
      <c r="AA1131" s="118"/>
      <c r="AB1131" s="118"/>
      <c r="AC1131" s="119"/>
      <c r="AD1131" s="119"/>
      <c r="AE1131" s="118"/>
      <c r="AF1131" s="152"/>
    </row>
    <row r="1132" spans="1:32" x14ac:dyDescent="0.2">
      <c r="A1132" s="121">
        <v>1111</v>
      </c>
      <c r="B1132" s="122" t="s">
        <v>1204</v>
      </c>
      <c r="C1132" s="123" t="s">
        <v>7</v>
      </c>
      <c r="D1132" s="123" t="s">
        <v>404</v>
      </c>
      <c r="E1132" s="123" t="s">
        <v>2950</v>
      </c>
      <c r="F1132" s="124" t="s">
        <v>2951</v>
      </c>
      <c r="G1132" s="124" t="s">
        <v>2966</v>
      </c>
      <c r="H1132" s="124" t="s">
        <v>2691</v>
      </c>
      <c r="I1132" s="123">
        <v>21.006716000000001</v>
      </c>
      <c r="J1132" s="123">
        <v>-101.28431999999999</v>
      </c>
      <c r="K1132" s="122" t="s">
        <v>139</v>
      </c>
      <c r="L1132" s="125" t="str">
        <f t="shared" si="54"/>
        <v>Ver en Google Maps</v>
      </c>
      <c r="M1132" s="125">
        <v>1</v>
      </c>
      <c r="N1132" s="138">
        <v>45944</v>
      </c>
      <c r="O1132" s="109">
        <f>DAY('BD1'!$N1132)</f>
        <v>14</v>
      </c>
      <c r="P1132" s="109">
        <f>MONTH('BD1'!$N1132)</f>
        <v>10</v>
      </c>
      <c r="Q1132" s="109">
        <f>YEAR('BD1'!$N1132)</f>
        <v>2025</v>
      </c>
      <c r="R1132" s="109">
        <v>1</v>
      </c>
      <c r="S1132" s="109" t="s">
        <v>138</v>
      </c>
      <c r="T1132" s="109" t="s">
        <v>138</v>
      </c>
      <c r="U1132" s="109" t="s">
        <v>138</v>
      </c>
      <c r="V1132" s="109" t="s">
        <v>138</v>
      </c>
      <c r="W1132" s="109" t="s">
        <v>138</v>
      </c>
      <c r="X1132" s="109" t="s">
        <v>138</v>
      </c>
      <c r="Y1132" s="109" t="s">
        <v>138</v>
      </c>
      <c r="Z1132" s="109" t="s">
        <v>138</v>
      </c>
      <c r="AA1132" s="109">
        <v>102</v>
      </c>
      <c r="AB1132" s="109">
        <v>28.9</v>
      </c>
      <c r="AC1132" s="110" t="s">
        <v>967</v>
      </c>
      <c r="AD1132" s="110" t="s">
        <v>2436</v>
      </c>
      <c r="AE1132" s="109">
        <f t="shared" si="53"/>
        <v>8</v>
      </c>
      <c r="AF1132" s="151" t="str">
        <f t="shared" si="52"/>
        <v>Estable</v>
      </c>
    </row>
    <row r="1133" spans="1:32" x14ac:dyDescent="0.2">
      <c r="A1133" s="112">
        <v>1112</v>
      </c>
      <c r="B1133" s="113" t="s">
        <v>1204</v>
      </c>
      <c r="C1133" s="114" t="s">
        <v>7</v>
      </c>
      <c r="D1133" s="114" t="s">
        <v>404</v>
      </c>
      <c r="E1133" s="114" t="s">
        <v>2952</v>
      </c>
      <c r="F1133" s="115" t="s">
        <v>2953</v>
      </c>
      <c r="G1133" s="115" t="s">
        <v>2979</v>
      </c>
      <c r="H1133" s="115" t="s">
        <v>2691</v>
      </c>
      <c r="I1133" s="114">
        <v>21.020667</v>
      </c>
      <c r="J1133" s="114">
        <v>-101.274896</v>
      </c>
      <c r="K1133" s="113" t="s">
        <v>139</v>
      </c>
      <c r="L1133" s="116" t="str">
        <f t="shared" si="54"/>
        <v>Ver en Google Maps</v>
      </c>
      <c r="M1133" s="116">
        <v>1</v>
      </c>
      <c r="N1133" s="137">
        <v>45948</v>
      </c>
      <c r="O1133" s="118">
        <f>DAY('BD1'!$N1133)</f>
        <v>18</v>
      </c>
      <c r="P1133" s="118">
        <f>MONTH('BD1'!$N1133)</f>
        <v>10</v>
      </c>
      <c r="Q1133" s="118">
        <f>YEAR('BD1'!$N1133)</f>
        <v>2025</v>
      </c>
      <c r="R1133" s="118">
        <v>1</v>
      </c>
      <c r="S1133" s="118" t="s">
        <v>138</v>
      </c>
      <c r="T1133" s="118" t="s">
        <v>138</v>
      </c>
      <c r="U1133" s="118" t="s">
        <v>138</v>
      </c>
      <c r="V1133" s="118" t="s">
        <v>934</v>
      </c>
      <c r="W1133" s="118" t="s">
        <v>138</v>
      </c>
      <c r="X1133" s="118" t="s">
        <v>934</v>
      </c>
      <c r="Y1133" s="118" t="s">
        <v>934</v>
      </c>
      <c r="Z1133" s="118" t="s">
        <v>934</v>
      </c>
      <c r="AA1133" s="118">
        <v>5.22</v>
      </c>
      <c r="AB1133" s="118">
        <v>9.86</v>
      </c>
      <c r="AC1133" s="119" t="s">
        <v>3069</v>
      </c>
      <c r="AD1133" s="119" t="s">
        <v>2436</v>
      </c>
      <c r="AE1133" s="118">
        <f t="shared" si="53"/>
        <v>4</v>
      </c>
      <c r="AF1133" s="152" t="str">
        <f t="shared" si="52"/>
        <v>Parcialmente funcional</v>
      </c>
    </row>
    <row r="1134" spans="1:32" x14ac:dyDescent="0.2">
      <c r="A1134" s="121">
        <v>1113</v>
      </c>
      <c r="B1134" s="122" t="s">
        <v>1204</v>
      </c>
      <c r="C1134" s="123" t="s">
        <v>7</v>
      </c>
      <c r="D1134" s="123" t="s">
        <v>404</v>
      </c>
      <c r="E1134" s="123" t="s">
        <v>2954</v>
      </c>
      <c r="F1134" s="124" t="s">
        <v>2955</v>
      </c>
      <c r="G1134" s="124" t="s">
        <v>3008</v>
      </c>
      <c r="H1134" s="124" t="s">
        <v>2691</v>
      </c>
      <c r="I1134" s="123">
        <v>20.986649</v>
      </c>
      <c r="J1134" s="123">
        <v>-101.285355</v>
      </c>
      <c r="K1134" s="122" t="s">
        <v>139</v>
      </c>
      <c r="L1134" s="125" t="str">
        <f t="shared" si="54"/>
        <v>Ver en Google Maps</v>
      </c>
      <c r="M1134" s="125">
        <v>1</v>
      </c>
      <c r="N1134" s="138">
        <v>45944</v>
      </c>
      <c r="O1134" s="109">
        <f>DAY('BD1'!$N1134)</f>
        <v>14</v>
      </c>
      <c r="P1134" s="109">
        <f>MONTH('BD1'!$N1134)</f>
        <v>10</v>
      </c>
      <c r="Q1134" s="109">
        <f>YEAR('BD1'!$N1134)</f>
        <v>2025</v>
      </c>
      <c r="R1134" s="109">
        <v>1</v>
      </c>
      <c r="S1134" s="109" t="s">
        <v>138</v>
      </c>
      <c r="T1134" s="109" t="s">
        <v>138</v>
      </c>
      <c r="U1134" s="109" t="s">
        <v>138</v>
      </c>
      <c r="V1134" s="109" t="s">
        <v>138</v>
      </c>
      <c r="W1134" s="109" t="s">
        <v>138</v>
      </c>
      <c r="X1134" s="109" t="s">
        <v>138</v>
      </c>
      <c r="Y1134" s="109" t="s">
        <v>138</v>
      </c>
      <c r="Z1134" s="109" t="s">
        <v>138</v>
      </c>
      <c r="AA1134" s="109">
        <v>87</v>
      </c>
      <c r="AB1134" s="109">
        <v>39</v>
      </c>
      <c r="AC1134" s="110" t="s">
        <v>967</v>
      </c>
      <c r="AD1134" s="110" t="s">
        <v>2436</v>
      </c>
      <c r="AE1134" s="109">
        <f t="shared" si="53"/>
        <v>8</v>
      </c>
      <c r="AF1134" s="151" t="str">
        <f t="shared" si="52"/>
        <v>Estable</v>
      </c>
    </row>
    <row r="1135" spans="1:32" x14ac:dyDescent="0.2">
      <c r="A1135" s="112">
        <v>1114</v>
      </c>
      <c r="B1135" s="113" t="s">
        <v>1204</v>
      </c>
      <c r="C1135" s="114" t="s">
        <v>7</v>
      </c>
      <c r="D1135" s="114" t="s">
        <v>404</v>
      </c>
      <c r="E1135" s="114" t="s">
        <v>2956</v>
      </c>
      <c r="F1135" s="115" t="s">
        <v>2957</v>
      </c>
      <c r="G1135" s="115" t="s">
        <v>3016</v>
      </c>
      <c r="H1135" s="115" t="s">
        <v>2691</v>
      </c>
      <c r="I1135" s="114">
        <v>20.977557000000001</v>
      </c>
      <c r="J1135" s="114">
        <v>-101.27727899999999</v>
      </c>
      <c r="K1135" s="113" t="s">
        <v>139</v>
      </c>
      <c r="L1135" s="116" t="str">
        <f t="shared" si="54"/>
        <v>Ver en Google Maps</v>
      </c>
      <c r="M1135" s="116">
        <v>1</v>
      </c>
      <c r="N1135" s="137">
        <v>45944</v>
      </c>
      <c r="O1135" s="118">
        <f>DAY('BD1'!$N1135)</f>
        <v>14</v>
      </c>
      <c r="P1135" s="118">
        <f>MONTH('BD1'!$N1135)</f>
        <v>10</v>
      </c>
      <c r="Q1135" s="118">
        <f>YEAR('BD1'!$N1135)</f>
        <v>2025</v>
      </c>
      <c r="R1135" s="118">
        <v>1</v>
      </c>
      <c r="S1135" s="118" t="s">
        <v>138</v>
      </c>
      <c r="T1135" s="118" t="s">
        <v>138</v>
      </c>
      <c r="U1135" s="118" t="s">
        <v>138</v>
      </c>
      <c r="V1135" s="118" t="s">
        <v>138</v>
      </c>
      <c r="W1135" s="118" t="s">
        <v>138</v>
      </c>
      <c r="X1135" s="118" t="s">
        <v>138</v>
      </c>
      <c r="Y1135" s="118" t="s">
        <v>934</v>
      </c>
      <c r="Z1135" s="118" t="s">
        <v>138</v>
      </c>
      <c r="AA1135" s="118">
        <v>22.7</v>
      </c>
      <c r="AB1135" s="118">
        <v>1.03</v>
      </c>
      <c r="AC1135" s="119" t="s">
        <v>3075</v>
      </c>
      <c r="AD1135" s="119" t="s">
        <v>2436</v>
      </c>
      <c r="AE1135" s="118">
        <f t="shared" si="53"/>
        <v>7</v>
      </c>
      <c r="AF1135" s="152" t="str">
        <f t="shared" si="52"/>
        <v>Funcional con observaciones</v>
      </c>
    </row>
    <row r="1136" spans="1:32" x14ac:dyDescent="0.2">
      <c r="A1136" s="121">
        <v>1115</v>
      </c>
      <c r="B1136" s="122" t="s">
        <v>1204</v>
      </c>
      <c r="C1136" s="123" t="s">
        <v>7</v>
      </c>
      <c r="D1136" s="123" t="s">
        <v>404</v>
      </c>
      <c r="E1136" s="123" t="s">
        <v>2958</v>
      </c>
      <c r="F1136" s="124" t="s">
        <v>2959</v>
      </c>
      <c r="G1136" s="124" t="s">
        <v>3003</v>
      </c>
      <c r="H1136" s="124" t="s">
        <v>2691</v>
      </c>
      <c r="I1136" s="123">
        <v>20.981656999999998</v>
      </c>
      <c r="J1136" s="123">
        <v>-101.287488</v>
      </c>
      <c r="K1136" s="122" t="s">
        <v>139</v>
      </c>
      <c r="L1136" s="125" t="str">
        <f t="shared" si="54"/>
        <v>Ver en Google Maps</v>
      </c>
      <c r="M1136" s="125">
        <v>1</v>
      </c>
      <c r="N1136" s="138">
        <v>45944</v>
      </c>
      <c r="O1136" s="109">
        <f>DAY('BD1'!$N1136)</f>
        <v>14</v>
      </c>
      <c r="P1136" s="109">
        <f>MONTH('BD1'!$N1136)</f>
        <v>10</v>
      </c>
      <c r="Q1136" s="109">
        <f>YEAR('BD1'!$N1136)</f>
        <v>2025</v>
      </c>
      <c r="R1136" s="109">
        <v>1</v>
      </c>
      <c r="S1136" s="109" t="s">
        <v>138</v>
      </c>
      <c r="T1136" s="109" t="s">
        <v>138</v>
      </c>
      <c r="U1136" s="109" t="s">
        <v>138</v>
      </c>
      <c r="V1136" s="109" t="s">
        <v>138</v>
      </c>
      <c r="W1136" s="109" t="s">
        <v>138</v>
      </c>
      <c r="X1136" s="109" t="s">
        <v>138</v>
      </c>
      <c r="Y1136" s="109" t="s">
        <v>138</v>
      </c>
      <c r="Z1136" s="109" t="s">
        <v>138</v>
      </c>
      <c r="AA1136" s="109">
        <v>34.4</v>
      </c>
      <c r="AB1136" s="109">
        <v>32.200000000000003</v>
      </c>
      <c r="AC1136" s="110" t="s">
        <v>967</v>
      </c>
      <c r="AD1136" s="110" t="s">
        <v>2436</v>
      </c>
      <c r="AE1136" s="109">
        <f t="shared" si="53"/>
        <v>8</v>
      </c>
      <c r="AF1136" s="151" t="str">
        <f t="shared" si="52"/>
        <v>Estable</v>
      </c>
    </row>
    <row r="1137" spans="1:32" x14ac:dyDescent="0.2">
      <c r="A1137" s="112">
        <v>1116</v>
      </c>
      <c r="B1137" s="113" t="s">
        <v>1204</v>
      </c>
      <c r="C1137" s="114" t="s">
        <v>7</v>
      </c>
      <c r="D1137" s="114" t="s">
        <v>404</v>
      </c>
      <c r="E1137" s="114" t="s">
        <v>2960</v>
      </c>
      <c r="F1137" s="115" t="s">
        <v>2961</v>
      </c>
      <c r="G1137" s="115" t="s">
        <v>3017</v>
      </c>
      <c r="H1137" s="115" t="s">
        <v>2691</v>
      </c>
      <c r="I1137" s="114">
        <v>20.976686000000001</v>
      </c>
      <c r="J1137" s="114">
        <v>-101.278325</v>
      </c>
      <c r="K1137" s="113" t="s">
        <v>139</v>
      </c>
      <c r="L1137" s="116" t="str">
        <f t="shared" si="54"/>
        <v>Ver en Google Maps</v>
      </c>
      <c r="M1137" s="116">
        <v>1</v>
      </c>
      <c r="N1137" s="137">
        <v>45944</v>
      </c>
      <c r="O1137" s="118">
        <f>DAY('BD1'!$N1137)</f>
        <v>14</v>
      </c>
      <c r="P1137" s="118">
        <f>MONTH('BD1'!$N1137)</f>
        <v>10</v>
      </c>
      <c r="Q1137" s="118">
        <f>YEAR('BD1'!$N1137)</f>
        <v>2025</v>
      </c>
      <c r="R1137" s="118">
        <v>1</v>
      </c>
      <c r="S1137" s="118" t="s">
        <v>138</v>
      </c>
      <c r="T1137" s="118" t="s">
        <v>138</v>
      </c>
      <c r="U1137" s="118" t="s">
        <v>138</v>
      </c>
      <c r="V1137" s="118" t="s">
        <v>138</v>
      </c>
      <c r="W1137" s="118" t="s">
        <v>138</v>
      </c>
      <c r="X1137" s="118" t="s">
        <v>138</v>
      </c>
      <c r="Y1137" s="118" t="s">
        <v>138</v>
      </c>
      <c r="Z1137" s="118" t="s">
        <v>138</v>
      </c>
      <c r="AA1137" s="118">
        <v>53.5</v>
      </c>
      <c r="AB1137" s="118">
        <v>52.2</v>
      </c>
      <c r="AC1137" s="119" t="s">
        <v>967</v>
      </c>
      <c r="AD1137" s="119" t="s">
        <v>2436</v>
      </c>
      <c r="AE1137" s="118">
        <f t="shared" si="53"/>
        <v>8</v>
      </c>
      <c r="AF1137" s="152" t="str">
        <f t="shared" si="52"/>
        <v>Estable</v>
      </c>
    </row>
    <row r="1138" spans="1:32" x14ac:dyDescent="0.2">
      <c r="A1138" s="121">
        <v>1117</v>
      </c>
      <c r="B1138" s="122" t="s">
        <v>1204</v>
      </c>
      <c r="C1138" s="123" t="s">
        <v>7</v>
      </c>
      <c r="D1138" s="123" t="s">
        <v>404</v>
      </c>
      <c r="E1138" s="123" t="s">
        <v>2962</v>
      </c>
      <c r="F1138" s="124" t="s">
        <v>2963</v>
      </c>
      <c r="G1138" s="124" t="s">
        <v>3018</v>
      </c>
      <c r="H1138" s="124" t="s">
        <v>2691</v>
      </c>
      <c r="I1138" s="123">
        <v>21.016134000000001</v>
      </c>
      <c r="J1138" s="123">
        <v>-101.277557</v>
      </c>
      <c r="K1138" s="122" t="s">
        <v>139</v>
      </c>
      <c r="L1138" s="125" t="str">
        <f t="shared" si="54"/>
        <v>Ver en Google Maps</v>
      </c>
      <c r="M1138" s="125">
        <v>1</v>
      </c>
      <c r="N1138" s="138">
        <v>45948</v>
      </c>
      <c r="O1138" s="109">
        <f>DAY('BD1'!$N1138)</f>
        <v>18</v>
      </c>
      <c r="P1138" s="109">
        <f>MONTH('BD1'!$N1138)</f>
        <v>10</v>
      </c>
      <c r="Q1138" s="109">
        <f>YEAR('BD1'!$N1138)</f>
        <v>2025</v>
      </c>
      <c r="R1138" s="109">
        <v>1</v>
      </c>
      <c r="S1138" s="109" t="s">
        <v>138</v>
      </c>
      <c r="T1138" s="109" t="s">
        <v>138</v>
      </c>
      <c r="U1138" s="109" t="s">
        <v>138</v>
      </c>
      <c r="V1138" s="109" t="s">
        <v>138</v>
      </c>
      <c r="W1138" s="109" t="s">
        <v>138</v>
      </c>
      <c r="X1138" s="109" t="s">
        <v>138</v>
      </c>
      <c r="Y1138" s="109" t="s">
        <v>138</v>
      </c>
      <c r="Z1138" s="109" t="s">
        <v>138</v>
      </c>
      <c r="AA1138" s="109">
        <v>55.9</v>
      </c>
      <c r="AB1138" s="109">
        <v>50.9</v>
      </c>
      <c r="AC1138" s="110" t="s">
        <v>967</v>
      </c>
      <c r="AD1138" s="110" t="s">
        <v>2436</v>
      </c>
      <c r="AE1138" s="109">
        <f t="shared" si="53"/>
        <v>8</v>
      </c>
      <c r="AF1138" s="151" t="str">
        <f t="shared" si="52"/>
        <v>Estable</v>
      </c>
    </row>
    <row r="1139" spans="1:32" x14ac:dyDescent="0.2">
      <c r="A1139" s="142">
        <v>1118</v>
      </c>
      <c r="B1139" s="143" t="s">
        <v>1204</v>
      </c>
      <c r="C1139" s="144" t="s">
        <v>7</v>
      </c>
      <c r="D1139" s="144" t="s">
        <v>404</v>
      </c>
      <c r="E1139" s="144" t="s">
        <v>2964</v>
      </c>
      <c r="F1139" s="145" t="s">
        <v>2965</v>
      </c>
      <c r="G1139" s="145" t="s">
        <v>3019</v>
      </c>
      <c r="H1139" s="145" t="s">
        <v>2691</v>
      </c>
      <c r="I1139" s="144">
        <v>21.040866000000001</v>
      </c>
      <c r="J1139" s="144">
        <v>-101.257276</v>
      </c>
      <c r="K1139" s="143" t="s">
        <v>139</v>
      </c>
      <c r="L1139" s="146" t="str">
        <f t="shared" si="54"/>
        <v>Ver en Google Maps</v>
      </c>
      <c r="M1139" s="146">
        <v>1</v>
      </c>
      <c r="N1139" s="147">
        <v>45948</v>
      </c>
      <c r="O1139" s="148">
        <f>DAY('BD1'!$N1139)</f>
        <v>18</v>
      </c>
      <c r="P1139" s="148">
        <f>MONTH('BD1'!$N1139)</f>
        <v>10</v>
      </c>
      <c r="Q1139" s="148">
        <f>YEAR('BD1'!$N1139)</f>
        <v>2025</v>
      </c>
      <c r="R1139" s="148">
        <v>1</v>
      </c>
      <c r="S1139" s="148" t="s">
        <v>138</v>
      </c>
      <c r="T1139" s="148" t="s">
        <v>138</v>
      </c>
      <c r="U1139" s="148" t="s">
        <v>138</v>
      </c>
      <c r="V1139" s="148" t="s">
        <v>138</v>
      </c>
      <c r="W1139" s="148" t="s">
        <v>138</v>
      </c>
      <c r="X1139" s="148" t="s">
        <v>138</v>
      </c>
      <c r="Y1139" s="148" t="s">
        <v>138</v>
      </c>
      <c r="Z1139" s="148" t="s">
        <v>138</v>
      </c>
      <c r="AA1139" s="148">
        <v>45.2</v>
      </c>
      <c r="AB1139" s="148">
        <v>43.1</v>
      </c>
      <c r="AC1139" s="149" t="s">
        <v>967</v>
      </c>
      <c r="AD1139" s="149" t="s">
        <v>2436</v>
      </c>
      <c r="AE1139" s="148">
        <f t="shared" si="53"/>
        <v>8</v>
      </c>
      <c r="AF1139" s="157" t="str">
        <f t="shared" si="52"/>
        <v>Estable</v>
      </c>
    </row>
  </sheetData>
  <conditionalFormatting sqref="AA2:AA1048576">
    <cfRule type="cellIs" dxfId="11" priority="3" operator="lessThan">
      <formula>14</formula>
    </cfRule>
    <cfRule type="cellIs" dxfId="10" priority="4" operator="greaterThan">
      <formula>14.1</formula>
    </cfRule>
  </conditionalFormatting>
  <conditionalFormatting sqref="AB2:AB1048576">
    <cfRule type="cellIs" dxfId="9" priority="1" operator="lessThan">
      <formula>10</formula>
    </cfRule>
    <cfRule type="cellIs" dxfId="8" priority="2" operator="greaterThan">
      <formula>10.1</formula>
    </cfRule>
  </conditionalFormatting>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AF72-1799-40A3-A0A3-F50EB362211B}">
  <sheetPr codeName="Hoja1"/>
  <dimension ref="A1:AF1139"/>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RowHeight="12" x14ac:dyDescent="0.2"/>
  <cols>
    <col min="1" max="1" width="5" style="1" bestFit="1" customWidth="1"/>
    <col min="2" max="2" width="11.5" style="1" customWidth="1"/>
    <col min="3" max="3" width="11.19921875" style="3"/>
    <col min="4" max="4" width="7.8984375" style="3" customWidth="1"/>
    <col min="5" max="5" width="15.59765625" style="2" customWidth="1"/>
    <col min="6" max="7" width="11.19921875" style="2"/>
    <col min="8" max="8" width="7.69921875" style="1" customWidth="1"/>
    <col min="9" max="9" width="6.09765625" style="3" bestFit="1" customWidth="1"/>
    <col min="10" max="10" width="7.09765625" style="3" bestFit="1" customWidth="1"/>
    <col min="11" max="11" width="5.3984375" style="1" customWidth="1"/>
    <col min="12" max="12" width="11.69921875" style="1" bestFit="1" customWidth="1"/>
    <col min="13" max="13" width="5.09765625" style="1" customWidth="1"/>
    <col min="14" max="14" width="9" style="1" customWidth="1"/>
    <col min="15" max="16" width="6" style="1" customWidth="1"/>
    <col min="17" max="26" width="5.796875" style="1" customWidth="1"/>
    <col min="27" max="28" width="6" style="1" customWidth="1"/>
    <col min="29" max="29" width="10.19921875" style="2" customWidth="1"/>
    <col min="30" max="30" width="7.8984375" style="2" customWidth="1"/>
    <col min="31" max="31" width="7" style="1" customWidth="1"/>
    <col min="32" max="32" width="8.3984375" style="2" bestFit="1" customWidth="1"/>
    <col min="33" max="16384" width="11.19921875" style="2"/>
  </cols>
  <sheetData>
    <row r="1" spans="1:32" ht="12.75" thickBot="1" x14ac:dyDescent="0.25">
      <c r="A1" s="96" t="s">
        <v>942</v>
      </c>
      <c r="B1" s="96" t="s">
        <v>955</v>
      </c>
      <c r="C1" s="97" t="s">
        <v>0</v>
      </c>
      <c r="D1" s="97" t="s">
        <v>943</v>
      </c>
      <c r="E1" s="98" t="s">
        <v>1</v>
      </c>
      <c r="F1" s="98" t="s">
        <v>2</v>
      </c>
      <c r="G1" s="98" t="s">
        <v>3</v>
      </c>
      <c r="H1" s="96" t="s">
        <v>6</v>
      </c>
      <c r="I1" s="97" t="s">
        <v>4</v>
      </c>
      <c r="J1" s="97" t="s">
        <v>5</v>
      </c>
      <c r="K1" s="96" t="s">
        <v>3065</v>
      </c>
      <c r="L1" s="96" t="s">
        <v>924</v>
      </c>
      <c r="M1" s="96" t="s">
        <v>941</v>
      </c>
      <c r="N1" s="99" t="s">
        <v>925</v>
      </c>
      <c r="O1" s="100" t="s">
        <v>1423</v>
      </c>
      <c r="P1" s="100" t="s">
        <v>1424</v>
      </c>
      <c r="Q1" s="100" t="s">
        <v>1425</v>
      </c>
      <c r="R1" s="100" t="s">
        <v>923</v>
      </c>
      <c r="S1" s="100" t="s">
        <v>926</v>
      </c>
      <c r="T1" s="100" t="s">
        <v>1422</v>
      </c>
      <c r="U1" s="100" t="s">
        <v>952</v>
      </c>
      <c r="V1" s="100" t="s">
        <v>927</v>
      </c>
      <c r="W1" s="100" t="s">
        <v>928</v>
      </c>
      <c r="X1" s="100" t="s">
        <v>929</v>
      </c>
      <c r="Y1" s="100" t="s">
        <v>930</v>
      </c>
      <c r="Z1" s="100" t="s">
        <v>3027</v>
      </c>
      <c r="AA1" s="100" t="s">
        <v>931</v>
      </c>
      <c r="AB1" s="100" t="s">
        <v>932</v>
      </c>
      <c r="AC1" s="101" t="s">
        <v>933</v>
      </c>
      <c r="AD1" s="101" t="s">
        <v>953</v>
      </c>
      <c r="AE1" s="100" t="s">
        <v>974</v>
      </c>
      <c r="AF1" s="102" t="s">
        <v>3113</v>
      </c>
    </row>
    <row r="2" spans="1:32" x14ac:dyDescent="0.2">
      <c r="A2" s="103">
        <v>1</v>
      </c>
      <c r="B2" s="104" t="s">
        <v>956</v>
      </c>
      <c r="C2" s="105" t="s">
        <v>7</v>
      </c>
      <c r="D2" s="105" t="s">
        <v>404</v>
      </c>
      <c r="E2" s="106" t="s">
        <v>405</v>
      </c>
      <c r="F2" s="106" t="s">
        <v>406</v>
      </c>
      <c r="G2" s="106" t="s">
        <v>975</v>
      </c>
      <c r="H2" s="104" t="s">
        <v>8</v>
      </c>
      <c r="I2" s="105">
        <v>21.127368000000001</v>
      </c>
      <c r="J2" s="105">
        <v>-101.675313</v>
      </c>
      <c r="K2" s="104" t="s">
        <v>139</v>
      </c>
      <c r="L2" s="107" t="str">
        <f>HYPERLINK("https://www.google.com/maps?q=" &amp; I2 &amp; "," &amp; J2, "Ver en Google Maps")</f>
        <v>Ver en Google Maps</v>
      </c>
      <c r="M2" s="104">
        <v>1</v>
      </c>
      <c r="N2" s="108">
        <v>45954</v>
      </c>
      <c r="O2" s="109">
        <f>DAY('BD2'!$N2)</f>
        <v>24</v>
      </c>
      <c r="P2" s="109">
        <f>MONTH('BD2'!$N2)</f>
        <v>10</v>
      </c>
      <c r="Q2" s="109">
        <f>YEAR('BD2'!$N2)</f>
        <v>2025</v>
      </c>
      <c r="R2" s="109">
        <v>2</v>
      </c>
      <c r="S2" s="109" t="s">
        <v>138</v>
      </c>
      <c r="T2" s="109" t="s">
        <v>138</v>
      </c>
      <c r="U2" s="109" t="s">
        <v>138</v>
      </c>
      <c r="V2" s="109" t="s">
        <v>138</v>
      </c>
      <c r="W2" s="109" t="s">
        <v>138</v>
      </c>
      <c r="X2" s="109" t="s">
        <v>138</v>
      </c>
      <c r="Y2" s="109" t="s">
        <v>138</v>
      </c>
      <c r="Z2" s="109" t="str">
        <f>IF('BD2'!$AA2&gt;=14, "si", "no")</f>
        <v>si</v>
      </c>
      <c r="AA2" s="109">
        <v>119</v>
      </c>
      <c r="AB2" s="109">
        <v>42.8</v>
      </c>
      <c r="AC2" s="110" t="s">
        <v>967</v>
      </c>
      <c r="AD2" s="110" t="s">
        <v>954</v>
      </c>
      <c r="AE2" s="109">
        <f>COUNTIF(S2:Z2, "si")</f>
        <v>8</v>
      </c>
      <c r="AF2" s="111" t="str">
        <f>IF(AE2=8,"Estable",(IF(AE2=7,"Funcional con observaciones", (IF(AE2=6,"Funcional con observaciones",(IF(AE2=5,"Rendimiento bajo",(IF(AE2=4,"Parcialmente funcional",(IF(AE2=3,"Parcialmente funcional",(IF(AE2=2,"Inoperativo",(IF(AE2=1,"Inoperativo","Crítico")))))))))))))))</f>
        <v>Estable</v>
      </c>
    </row>
    <row r="3" spans="1:32" x14ac:dyDescent="0.2">
      <c r="A3" s="112">
        <v>2</v>
      </c>
      <c r="B3" s="113" t="s">
        <v>956</v>
      </c>
      <c r="C3" s="114" t="s">
        <v>7</v>
      </c>
      <c r="D3" s="114" t="s">
        <v>404</v>
      </c>
      <c r="E3" s="115" t="s">
        <v>9</v>
      </c>
      <c r="F3" s="115" t="s">
        <v>407</v>
      </c>
      <c r="G3" s="115" t="s">
        <v>976</v>
      </c>
      <c r="H3" s="113" t="s">
        <v>8</v>
      </c>
      <c r="I3" s="114">
        <v>21.099482999999999</v>
      </c>
      <c r="J3" s="114">
        <v>-101.699896</v>
      </c>
      <c r="K3" s="113" t="s">
        <v>139</v>
      </c>
      <c r="L3" s="116" t="str">
        <f t="shared" ref="L3:L66" si="0">HYPERLINK("https://www.google.com/maps?q=" &amp; I3 &amp; "," &amp; J3, "Ver en Google Maps")</f>
        <v>Ver en Google Maps</v>
      </c>
      <c r="M3" s="113">
        <v>1</v>
      </c>
      <c r="N3" s="117">
        <v>45964</v>
      </c>
      <c r="O3" s="118">
        <f>DAY('BD2'!$N3)</f>
        <v>3</v>
      </c>
      <c r="P3" s="118">
        <f>MONTH('BD2'!$N3)</f>
        <v>11</v>
      </c>
      <c r="Q3" s="118">
        <f>YEAR('BD2'!$N3)</f>
        <v>2025</v>
      </c>
      <c r="R3" s="118">
        <v>2</v>
      </c>
      <c r="S3" s="118" t="s">
        <v>138</v>
      </c>
      <c r="T3" s="118" t="s">
        <v>138</v>
      </c>
      <c r="U3" s="118" t="s">
        <v>138</v>
      </c>
      <c r="V3" s="118" t="s">
        <v>138</v>
      </c>
      <c r="W3" s="118" t="s">
        <v>138</v>
      </c>
      <c r="X3" s="118" t="s">
        <v>138</v>
      </c>
      <c r="Y3" s="118" t="s">
        <v>138</v>
      </c>
      <c r="Z3" s="118" t="str">
        <f>IF('BD2'!$AA3 &lt; 14, "no", "si")</f>
        <v>si</v>
      </c>
      <c r="AA3" s="118">
        <v>50.6</v>
      </c>
      <c r="AB3" s="118">
        <v>34.200000000000003</v>
      </c>
      <c r="AC3" s="119" t="s">
        <v>967</v>
      </c>
      <c r="AD3" s="119" t="s">
        <v>954</v>
      </c>
      <c r="AE3" s="118">
        <f t="shared" ref="AE3:AE66" si="1">COUNTIF(S3:Z3, "si")</f>
        <v>8</v>
      </c>
      <c r="AF3" s="120" t="str">
        <f>IF(AE3=8,"Estable",(IF(AE3=7,"Funcional con observaciones", (IF(AE3=6,"Funcional con observaciones",(IF(AE3=5,"Rendimiento bajo",(IF(AE3=4,"Parcialmente funcional",(IF(AE3=3,"Parcialmente funcional",(IF(AE3=2,"Inoperativo",(IF(AE3=1,"Inoperativo","Crítico")))))))))))))))</f>
        <v>Estable</v>
      </c>
    </row>
    <row r="4" spans="1:32" x14ac:dyDescent="0.2">
      <c r="A4" s="121">
        <v>3</v>
      </c>
      <c r="B4" s="122" t="s">
        <v>956</v>
      </c>
      <c r="C4" s="123" t="s">
        <v>7</v>
      </c>
      <c r="D4" s="123" t="s">
        <v>404</v>
      </c>
      <c r="E4" s="124" t="s">
        <v>10</v>
      </c>
      <c r="F4" s="124" t="s">
        <v>408</v>
      </c>
      <c r="G4" s="124" t="s">
        <v>977</v>
      </c>
      <c r="H4" s="122" t="s">
        <v>8</v>
      </c>
      <c r="I4" s="123">
        <v>21.122247999999999</v>
      </c>
      <c r="J4" s="123">
        <v>-101.650599</v>
      </c>
      <c r="K4" s="122" t="s">
        <v>139</v>
      </c>
      <c r="L4" s="125" t="str">
        <f t="shared" si="0"/>
        <v>Ver en Google Maps</v>
      </c>
      <c r="M4" s="122">
        <v>1</v>
      </c>
      <c r="N4" s="108">
        <v>45955</v>
      </c>
      <c r="O4" s="109">
        <f>DAY('BD2'!$N4)</f>
        <v>25</v>
      </c>
      <c r="P4" s="109">
        <f>MONTH('BD2'!$N4)</f>
        <v>10</v>
      </c>
      <c r="Q4" s="109">
        <f>YEAR('BD2'!$N4)</f>
        <v>2025</v>
      </c>
      <c r="R4" s="109">
        <v>2</v>
      </c>
      <c r="S4" s="109" t="s">
        <v>934</v>
      </c>
      <c r="T4" s="109" t="s">
        <v>934</v>
      </c>
      <c r="U4" s="109" t="s">
        <v>934</v>
      </c>
      <c r="V4" s="109" t="s">
        <v>934</v>
      </c>
      <c r="W4" s="109" t="s">
        <v>934</v>
      </c>
      <c r="X4" s="109" t="s">
        <v>934</v>
      </c>
      <c r="Y4" s="109" t="s">
        <v>934</v>
      </c>
      <c r="Z4" s="109" t="str">
        <f>IF('BD2'!$AA4 &lt; 14, "no", "si")</f>
        <v>no</v>
      </c>
      <c r="AA4" s="109">
        <v>0</v>
      </c>
      <c r="AB4" s="109">
        <v>0</v>
      </c>
      <c r="AC4" s="110" t="s">
        <v>3084</v>
      </c>
      <c r="AD4" s="110" t="s">
        <v>954</v>
      </c>
      <c r="AE4" s="109">
        <f t="shared" si="1"/>
        <v>0</v>
      </c>
      <c r="AF4" s="111" t="str">
        <f t="shared" ref="AF4:AF67" si="2">IF(AE4=8,"Estable",(IF(AE4=7,"Funcional con observaciones", (IF(AE4=6,"Funcional con observaciones",(IF(AE4=5,"Rendimiento bajo",(IF(AE4=4,"Parcialmente funcional",(IF(AE4=3,"Parcialmente funcional",(IF(AE4=2,"Inoperativo",(IF(AE4=1,"Inoperativo","Crítico")))))))))))))))</f>
        <v>Crítico</v>
      </c>
    </row>
    <row r="5" spans="1:32" x14ac:dyDescent="0.2">
      <c r="A5" s="112">
        <v>4</v>
      </c>
      <c r="B5" s="113" t="s">
        <v>956</v>
      </c>
      <c r="C5" s="114" t="s">
        <v>7</v>
      </c>
      <c r="D5" s="114" t="s">
        <v>404</v>
      </c>
      <c r="E5" s="115" t="s">
        <v>140</v>
      </c>
      <c r="F5" s="115" t="s">
        <v>409</v>
      </c>
      <c r="G5" s="115" t="s">
        <v>978</v>
      </c>
      <c r="H5" s="113" t="s">
        <v>8</v>
      </c>
      <c r="I5" s="114">
        <v>21.136565000000001</v>
      </c>
      <c r="J5" s="114">
        <v>-101.668249</v>
      </c>
      <c r="K5" s="113" t="s">
        <v>139</v>
      </c>
      <c r="L5" s="116" t="str">
        <f t="shared" si="0"/>
        <v>Ver en Google Maps</v>
      </c>
      <c r="M5" s="113">
        <v>1</v>
      </c>
      <c r="N5" s="117">
        <v>45954</v>
      </c>
      <c r="O5" s="118">
        <f>DAY('BD2'!$N5)</f>
        <v>24</v>
      </c>
      <c r="P5" s="118">
        <f>MONTH('BD2'!$N5)</f>
        <v>10</v>
      </c>
      <c r="Q5" s="118">
        <f>YEAR('BD2'!$N5)</f>
        <v>2025</v>
      </c>
      <c r="R5" s="118">
        <v>2</v>
      </c>
      <c r="S5" s="118" t="s">
        <v>138</v>
      </c>
      <c r="T5" s="118" t="s">
        <v>138</v>
      </c>
      <c r="U5" s="118" t="s">
        <v>138</v>
      </c>
      <c r="V5" s="118" t="s">
        <v>138</v>
      </c>
      <c r="W5" s="118" t="s">
        <v>138</v>
      </c>
      <c r="X5" s="118" t="s">
        <v>138</v>
      </c>
      <c r="Y5" s="118" t="s">
        <v>138</v>
      </c>
      <c r="Z5" s="118" t="str">
        <f>IF('BD2'!$AA5 &lt; 14, "no", "si")</f>
        <v>si</v>
      </c>
      <c r="AA5" s="118">
        <v>54.1</v>
      </c>
      <c r="AB5" s="118">
        <v>53</v>
      </c>
      <c r="AC5" s="119" t="s">
        <v>967</v>
      </c>
      <c r="AD5" s="119" t="s">
        <v>954</v>
      </c>
      <c r="AE5" s="118">
        <f t="shared" si="1"/>
        <v>8</v>
      </c>
      <c r="AF5" s="120" t="str">
        <f t="shared" si="2"/>
        <v>Estable</v>
      </c>
    </row>
    <row r="6" spans="1:32" x14ac:dyDescent="0.2">
      <c r="A6" s="121">
        <v>5</v>
      </c>
      <c r="B6" s="122" t="s">
        <v>956</v>
      </c>
      <c r="C6" s="123" t="s">
        <v>11</v>
      </c>
      <c r="D6" s="123" t="s">
        <v>404</v>
      </c>
      <c r="E6" s="124" t="s">
        <v>410</v>
      </c>
      <c r="F6" s="124" t="s">
        <v>411</v>
      </c>
      <c r="G6" s="124" t="s">
        <v>121</v>
      </c>
      <c r="H6" s="122" t="s">
        <v>8</v>
      </c>
      <c r="I6" s="123">
        <v>21.103263999999999</v>
      </c>
      <c r="J6" s="123">
        <v>-101.611514</v>
      </c>
      <c r="K6" s="122" t="s">
        <v>139</v>
      </c>
      <c r="L6" s="125" t="str">
        <f t="shared" si="0"/>
        <v>Ver en Google Maps</v>
      </c>
      <c r="M6" s="122">
        <v>1</v>
      </c>
      <c r="N6" s="108">
        <v>45957</v>
      </c>
      <c r="O6" s="109">
        <f>DAY('BD2'!$N6)</f>
        <v>27</v>
      </c>
      <c r="P6" s="109">
        <f>MONTH('BD2'!$N6)</f>
        <v>10</v>
      </c>
      <c r="Q6" s="109">
        <f>YEAR('BD2'!$N6)</f>
        <v>2025</v>
      </c>
      <c r="R6" s="109">
        <v>2</v>
      </c>
      <c r="S6" s="109" t="s">
        <v>138</v>
      </c>
      <c r="T6" s="109" t="s">
        <v>138</v>
      </c>
      <c r="U6" s="109" t="s">
        <v>138</v>
      </c>
      <c r="V6" s="109" t="s">
        <v>138</v>
      </c>
      <c r="W6" s="109" t="s">
        <v>138</v>
      </c>
      <c r="X6" s="109" t="s">
        <v>138</v>
      </c>
      <c r="Y6" s="109" t="s">
        <v>138</v>
      </c>
      <c r="Z6" s="109" t="str">
        <f>IF('BD2'!$AA6 &lt; 14, "no", "si")</f>
        <v>si</v>
      </c>
      <c r="AA6" s="109">
        <v>59.5</v>
      </c>
      <c r="AB6" s="109">
        <v>30.3</v>
      </c>
      <c r="AC6" s="110" t="s">
        <v>967</v>
      </c>
      <c r="AD6" s="110" t="s">
        <v>954</v>
      </c>
      <c r="AE6" s="109">
        <f t="shared" si="1"/>
        <v>8</v>
      </c>
      <c r="AF6" s="111" t="str">
        <f t="shared" si="2"/>
        <v>Estable</v>
      </c>
    </row>
    <row r="7" spans="1:32" x14ac:dyDescent="0.2">
      <c r="A7" s="112">
        <v>6</v>
      </c>
      <c r="B7" s="113" t="s">
        <v>956</v>
      </c>
      <c r="C7" s="114" t="s">
        <v>11</v>
      </c>
      <c r="D7" s="114" t="s">
        <v>404</v>
      </c>
      <c r="E7" s="115" t="s">
        <v>412</v>
      </c>
      <c r="F7" s="115" t="s">
        <v>413</v>
      </c>
      <c r="G7" s="115" t="s">
        <v>979</v>
      </c>
      <c r="H7" s="113" t="s">
        <v>8</v>
      </c>
      <c r="I7" s="114">
        <v>21.131813000000001</v>
      </c>
      <c r="J7" s="114">
        <v>-101.640463</v>
      </c>
      <c r="K7" s="113" t="s">
        <v>139</v>
      </c>
      <c r="L7" s="116" t="str">
        <f t="shared" si="0"/>
        <v>Ver en Google Maps</v>
      </c>
      <c r="M7" s="113">
        <v>1</v>
      </c>
      <c r="N7" s="117">
        <v>45955</v>
      </c>
      <c r="O7" s="118">
        <f>DAY('BD2'!$N7)</f>
        <v>25</v>
      </c>
      <c r="P7" s="118">
        <f>MONTH('BD2'!$N7)</f>
        <v>10</v>
      </c>
      <c r="Q7" s="118">
        <f>YEAR('BD2'!$N7)</f>
        <v>2025</v>
      </c>
      <c r="R7" s="118">
        <v>2</v>
      </c>
      <c r="S7" s="118" t="s">
        <v>138</v>
      </c>
      <c r="T7" s="118" t="s">
        <v>138</v>
      </c>
      <c r="U7" s="118" t="s">
        <v>138</v>
      </c>
      <c r="V7" s="118" t="s">
        <v>138</v>
      </c>
      <c r="W7" s="118" t="s">
        <v>138</v>
      </c>
      <c r="X7" s="118" t="s">
        <v>138</v>
      </c>
      <c r="Y7" s="118" t="s">
        <v>138</v>
      </c>
      <c r="Z7" s="118" t="str">
        <f>IF('BD2'!$AA7 &lt; 14, "no", "si")</f>
        <v>si</v>
      </c>
      <c r="AA7" s="118">
        <v>43.3</v>
      </c>
      <c r="AB7" s="118">
        <v>22.3</v>
      </c>
      <c r="AC7" s="119" t="s">
        <v>967</v>
      </c>
      <c r="AD7" s="119" t="s">
        <v>954</v>
      </c>
      <c r="AE7" s="118">
        <f t="shared" si="1"/>
        <v>8</v>
      </c>
      <c r="AF7" s="120" t="str">
        <f t="shared" si="2"/>
        <v>Estable</v>
      </c>
    </row>
    <row r="8" spans="1:32" x14ac:dyDescent="0.2">
      <c r="A8" s="121">
        <v>7</v>
      </c>
      <c r="B8" s="122" t="s">
        <v>956</v>
      </c>
      <c r="C8" s="123" t="s">
        <v>11</v>
      </c>
      <c r="D8" s="123" t="s">
        <v>404</v>
      </c>
      <c r="E8" s="124" t="s">
        <v>141</v>
      </c>
      <c r="F8" s="124" t="s">
        <v>414</v>
      </c>
      <c r="G8" s="124" t="s">
        <v>980</v>
      </c>
      <c r="H8" s="122" t="s">
        <v>8</v>
      </c>
      <c r="I8" s="126">
        <v>21.127840264616399</v>
      </c>
      <c r="J8" s="126">
        <v>-101.744353529886</v>
      </c>
      <c r="K8" s="122" t="s">
        <v>139</v>
      </c>
      <c r="L8" s="125" t="str">
        <f t="shared" si="0"/>
        <v>Ver en Google Maps</v>
      </c>
      <c r="M8" s="127">
        <v>1</v>
      </c>
      <c r="N8" s="108">
        <v>45960</v>
      </c>
      <c r="O8" s="109">
        <f>DAY('BD2'!$N8)</f>
        <v>30</v>
      </c>
      <c r="P8" s="109">
        <f>MONTH('BD2'!$N8)</f>
        <v>10</v>
      </c>
      <c r="Q8" s="109">
        <f>YEAR('BD2'!$N8)</f>
        <v>2025</v>
      </c>
      <c r="R8" s="109">
        <v>2</v>
      </c>
      <c r="S8" s="109" t="s">
        <v>934</v>
      </c>
      <c r="T8" s="109" t="s">
        <v>934</v>
      </c>
      <c r="U8" s="109" t="s">
        <v>934</v>
      </c>
      <c r="V8" s="109" t="s">
        <v>934</v>
      </c>
      <c r="W8" s="109" t="s">
        <v>934</v>
      </c>
      <c r="X8" s="109" t="s">
        <v>934</v>
      </c>
      <c r="Y8" s="109" t="s">
        <v>934</v>
      </c>
      <c r="Z8" s="109" t="str">
        <f>IF('BD2'!$AA8 &lt; 14, "no", "si")</f>
        <v>no</v>
      </c>
      <c r="AA8" s="109">
        <v>0</v>
      </c>
      <c r="AB8" s="109">
        <v>0</v>
      </c>
      <c r="AC8" s="110" t="s">
        <v>3117</v>
      </c>
      <c r="AD8" s="110" t="s">
        <v>954</v>
      </c>
      <c r="AE8" s="109">
        <f t="shared" si="1"/>
        <v>0</v>
      </c>
      <c r="AF8" s="111" t="str">
        <f t="shared" si="2"/>
        <v>Crítico</v>
      </c>
    </row>
    <row r="9" spans="1:32" x14ac:dyDescent="0.2">
      <c r="A9" s="112">
        <v>8</v>
      </c>
      <c r="B9" s="113" t="s">
        <v>956</v>
      </c>
      <c r="C9" s="114" t="s">
        <v>11</v>
      </c>
      <c r="D9" s="114" t="s">
        <v>404</v>
      </c>
      <c r="E9" s="115" t="s">
        <v>142</v>
      </c>
      <c r="F9" s="115" t="s">
        <v>415</v>
      </c>
      <c r="G9" s="115" t="s">
        <v>981</v>
      </c>
      <c r="H9" s="113" t="s">
        <v>8</v>
      </c>
      <c r="I9" s="114">
        <v>21.145551000000001</v>
      </c>
      <c r="J9" s="114">
        <v>-101.65661299999999</v>
      </c>
      <c r="K9" s="113" t="s">
        <v>139</v>
      </c>
      <c r="L9" s="116" t="str">
        <f t="shared" si="0"/>
        <v>Ver en Google Maps</v>
      </c>
      <c r="M9" s="113">
        <v>1</v>
      </c>
      <c r="N9" s="117">
        <v>45955</v>
      </c>
      <c r="O9" s="118">
        <f>DAY('BD2'!$N9)</f>
        <v>25</v>
      </c>
      <c r="P9" s="118">
        <f>MONTH('BD2'!$N9)</f>
        <v>10</v>
      </c>
      <c r="Q9" s="118">
        <f>YEAR('BD2'!$N9)</f>
        <v>2025</v>
      </c>
      <c r="R9" s="118">
        <v>2</v>
      </c>
      <c r="S9" s="118" t="s">
        <v>138</v>
      </c>
      <c r="T9" s="118" t="s">
        <v>138</v>
      </c>
      <c r="U9" s="118" t="s">
        <v>138</v>
      </c>
      <c r="V9" s="118" t="s">
        <v>138</v>
      </c>
      <c r="W9" s="118" t="s">
        <v>138</v>
      </c>
      <c r="X9" s="118" t="s">
        <v>138</v>
      </c>
      <c r="Y9" s="118" t="s">
        <v>138</v>
      </c>
      <c r="Z9" s="118" t="str">
        <f>IF('BD2'!$AA9 &lt; 14, "no", "si")</f>
        <v>si</v>
      </c>
      <c r="AA9" s="118">
        <v>27.7</v>
      </c>
      <c r="AB9" s="118">
        <v>8.2100000000000009</v>
      </c>
      <c r="AC9" s="119" t="s">
        <v>967</v>
      </c>
      <c r="AD9" s="119" t="s">
        <v>954</v>
      </c>
      <c r="AE9" s="118">
        <f t="shared" si="1"/>
        <v>8</v>
      </c>
      <c r="AF9" s="120" t="str">
        <f t="shared" si="2"/>
        <v>Estable</v>
      </c>
    </row>
    <row r="10" spans="1:32" x14ac:dyDescent="0.2">
      <c r="A10" s="121">
        <v>9</v>
      </c>
      <c r="B10" s="122" t="s">
        <v>956</v>
      </c>
      <c r="C10" s="123" t="s">
        <v>11</v>
      </c>
      <c r="D10" s="123" t="s">
        <v>404</v>
      </c>
      <c r="E10" s="124" t="s">
        <v>416</v>
      </c>
      <c r="F10" s="124" t="s">
        <v>417</v>
      </c>
      <c r="G10" s="124" t="s">
        <v>982</v>
      </c>
      <c r="H10" s="122" t="s">
        <v>8</v>
      </c>
      <c r="I10" s="123">
        <v>21.179690999999998</v>
      </c>
      <c r="J10" s="123">
        <v>-101.670008</v>
      </c>
      <c r="K10" s="122" t="s">
        <v>139</v>
      </c>
      <c r="L10" s="125" t="str">
        <f t="shared" si="0"/>
        <v>Ver en Google Maps</v>
      </c>
      <c r="M10" s="122">
        <v>1</v>
      </c>
      <c r="N10" s="108">
        <v>45952</v>
      </c>
      <c r="O10" s="109">
        <f>DAY('BD2'!$N10)</f>
        <v>22</v>
      </c>
      <c r="P10" s="109">
        <f>MONTH('BD2'!$N10)</f>
        <v>10</v>
      </c>
      <c r="Q10" s="109">
        <f>YEAR('BD2'!$N10)</f>
        <v>2025</v>
      </c>
      <c r="R10" s="109">
        <v>2</v>
      </c>
      <c r="S10" s="109" t="s">
        <v>138</v>
      </c>
      <c r="T10" s="109" t="s">
        <v>138</v>
      </c>
      <c r="U10" s="109" t="s">
        <v>138</v>
      </c>
      <c r="V10" s="109" t="s">
        <v>138</v>
      </c>
      <c r="W10" s="109" t="s">
        <v>138</v>
      </c>
      <c r="X10" s="109" t="s">
        <v>138</v>
      </c>
      <c r="Y10" s="109" t="s">
        <v>138</v>
      </c>
      <c r="Z10" s="109" t="str">
        <f>IF('BD2'!$AA10 &lt; 14, "no", "si")</f>
        <v>si</v>
      </c>
      <c r="AA10" s="109">
        <v>70.7</v>
      </c>
      <c r="AB10" s="109">
        <v>7.15</v>
      </c>
      <c r="AC10" s="110" t="s">
        <v>967</v>
      </c>
      <c r="AD10" s="110" t="s">
        <v>954</v>
      </c>
      <c r="AE10" s="109">
        <f t="shared" si="1"/>
        <v>8</v>
      </c>
      <c r="AF10" s="111" t="str">
        <f t="shared" si="2"/>
        <v>Estable</v>
      </c>
    </row>
    <row r="11" spans="1:32" x14ac:dyDescent="0.2">
      <c r="A11" s="112">
        <v>10</v>
      </c>
      <c r="B11" s="113" t="s">
        <v>956</v>
      </c>
      <c r="C11" s="114" t="s">
        <v>11</v>
      </c>
      <c r="D11" s="114" t="s">
        <v>404</v>
      </c>
      <c r="E11" s="115" t="s">
        <v>418</v>
      </c>
      <c r="F11" s="115" t="s">
        <v>419</v>
      </c>
      <c r="G11" s="115" t="s">
        <v>983</v>
      </c>
      <c r="H11" s="113" t="s">
        <v>8</v>
      </c>
      <c r="I11" s="114">
        <v>21.187875999999999</v>
      </c>
      <c r="J11" s="114">
        <v>-101.66684600000001</v>
      </c>
      <c r="K11" s="113" t="s">
        <v>139</v>
      </c>
      <c r="L11" s="116" t="str">
        <f t="shared" si="0"/>
        <v>Ver en Google Maps</v>
      </c>
      <c r="M11" s="113">
        <v>1</v>
      </c>
      <c r="N11" s="117">
        <v>45952</v>
      </c>
      <c r="O11" s="118">
        <f>DAY('BD2'!$N11)</f>
        <v>22</v>
      </c>
      <c r="P11" s="118">
        <f>MONTH('BD2'!$N11)</f>
        <v>10</v>
      </c>
      <c r="Q11" s="118">
        <f>YEAR('BD2'!$N11)</f>
        <v>2025</v>
      </c>
      <c r="R11" s="118">
        <v>2</v>
      </c>
      <c r="S11" s="118" t="s">
        <v>138</v>
      </c>
      <c r="T11" s="118" t="s">
        <v>138</v>
      </c>
      <c r="U11" s="118" t="s">
        <v>138</v>
      </c>
      <c r="V11" s="118" t="s">
        <v>138</v>
      </c>
      <c r="W11" s="118" t="s">
        <v>138</v>
      </c>
      <c r="X11" s="118" t="s">
        <v>138</v>
      </c>
      <c r="Y11" s="118" t="s">
        <v>138</v>
      </c>
      <c r="Z11" s="118" t="str">
        <f>IF('BD2'!$AA11 &lt; 14, "no", "si")</f>
        <v>si</v>
      </c>
      <c r="AA11" s="118">
        <v>48</v>
      </c>
      <c r="AB11" s="118">
        <v>16.100000000000001</v>
      </c>
      <c r="AC11" s="119" t="s">
        <v>967</v>
      </c>
      <c r="AD11" s="119" t="s">
        <v>954</v>
      </c>
      <c r="AE11" s="118">
        <f t="shared" si="1"/>
        <v>8</v>
      </c>
      <c r="AF11" s="120" t="str">
        <f t="shared" si="2"/>
        <v>Estable</v>
      </c>
    </row>
    <row r="12" spans="1:32" x14ac:dyDescent="0.2">
      <c r="A12" s="121">
        <v>11</v>
      </c>
      <c r="B12" s="122" t="s">
        <v>956</v>
      </c>
      <c r="C12" s="123" t="s">
        <v>11</v>
      </c>
      <c r="D12" s="123" t="s">
        <v>404</v>
      </c>
      <c r="E12" s="124" t="s">
        <v>143</v>
      </c>
      <c r="F12" s="124" t="s">
        <v>420</v>
      </c>
      <c r="G12" s="124" t="s">
        <v>984</v>
      </c>
      <c r="H12" s="122" t="s">
        <v>8</v>
      </c>
      <c r="I12" s="123">
        <v>21.143557999999999</v>
      </c>
      <c r="J12" s="123">
        <v>-101.669578</v>
      </c>
      <c r="K12" s="122" t="s">
        <v>139</v>
      </c>
      <c r="L12" s="125" t="str">
        <f t="shared" si="0"/>
        <v>Ver en Google Maps</v>
      </c>
      <c r="M12" s="122">
        <v>1</v>
      </c>
      <c r="N12" s="108">
        <v>45955</v>
      </c>
      <c r="O12" s="109">
        <f>DAY('BD2'!$N12)</f>
        <v>25</v>
      </c>
      <c r="P12" s="109">
        <f>MONTH('BD2'!$N12)</f>
        <v>10</v>
      </c>
      <c r="Q12" s="109">
        <f>YEAR('BD2'!$N12)</f>
        <v>2025</v>
      </c>
      <c r="R12" s="109">
        <v>2</v>
      </c>
      <c r="S12" s="109" t="s">
        <v>138</v>
      </c>
      <c r="T12" s="109" t="s">
        <v>138</v>
      </c>
      <c r="U12" s="109" t="s">
        <v>138</v>
      </c>
      <c r="V12" s="109" t="s">
        <v>138</v>
      </c>
      <c r="W12" s="109" t="s">
        <v>138</v>
      </c>
      <c r="X12" s="109" t="s">
        <v>138</v>
      </c>
      <c r="Y12" s="109" t="s">
        <v>138</v>
      </c>
      <c r="Z12" s="109" t="str">
        <f>IF('BD2'!$AA12 &lt; 14, "no", "si")</f>
        <v>si</v>
      </c>
      <c r="AA12" s="109">
        <v>37.799999999999997</v>
      </c>
      <c r="AB12" s="109">
        <v>54.4</v>
      </c>
      <c r="AC12" s="110" t="s">
        <v>967</v>
      </c>
      <c r="AD12" s="110" t="s">
        <v>954</v>
      </c>
      <c r="AE12" s="109">
        <f t="shared" si="1"/>
        <v>8</v>
      </c>
      <c r="AF12" s="111" t="str">
        <f t="shared" si="2"/>
        <v>Estable</v>
      </c>
    </row>
    <row r="13" spans="1:32" x14ac:dyDescent="0.2">
      <c r="A13" s="112">
        <v>12</v>
      </c>
      <c r="B13" s="113" t="s">
        <v>956</v>
      </c>
      <c r="C13" s="114" t="s">
        <v>11</v>
      </c>
      <c r="D13" s="114" t="s">
        <v>404</v>
      </c>
      <c r="E13" s="115" t="s">
        <v>12</v>
      </c>
      <c r="F13" s="115" t="s">
        <v>421</v>
      </c>
      <c r="G13" s="115" t="s">
        <v>985</v>
      </c>
      <c r="H13" s="113" t="s">
        <v>8</v>
      </c>
      <c r="I13" s="114">
        <v>21.110986324661699</v>
      </c>
      <c r="J13" s="114">
        <v>-101.72374402369999</v>
      </c>
      <c r="K13" s="113" t="s">
        <v>139</v>
      </c>
      <c r="L13" s="116" t="str">
        <f t="shared" si="0"/>
        <v>Ver en Google Maps</v>
      </c>
      <c r="M13" s="113">
        <v>2</v>
      </c>
      <c r="N13" s="117">
        <v>45964</v>
      </c>
      <c r="O13" s="118">
        <f>DAY('BD2'!$N13)</f>
        <v>3</v>
      </c>
      <c r="P13" s="118">
        <f>MONTH('BD2'!$N13)</f>
        <v>11</v>
      </c>
      <c r="Q13" s="118">
        <f>YEAR('BD2'!$N13)</f>
        <v>2025</v>
      </c>
      <c r="R13" s="118">
        <v>2</v>
      </c>
      <c r="S13" s="118" t="s">
        <v>138</v>
      </c>
      <c r="T13" s="118" t="s">
        <v>138</v>
      </c>
      <c r="U13" s="118" t="s">
        <v>138</v>
      </c>
      <c r="V13" s="118" t="s">
        <v>138</v>
      </c>
      <c r="W13" s="118" t="s">
        <v>138</v>
      </c>
      <c r="X13" s="118" t="s">
        <v>138</v>
      </c>
      <c r="Y13" s="118" t="s">
        <v>138</v>
      </c>
      <c r="Z13" s="118" t="str">
        <f>IF('BD2'!$AA13 &lt; 14, "no", "si")</f>
        <v>si</v>
      </c>
      <c r="AA13" s="118">
        <v>120</v>
      </c>
      <c r="AB13" s="118">
        <v>39.9</v>
      </c>
      <c r="AC13" s="119" t="s">
        <v>967</v>
      </c>
      <c r="AD13" s="119" t="s">
        <v>954</v>
      </c>
      <c r="AE13" s="118">
        <f t="shared" si="1"/>
        <v>8</v>
      </c>
      <c r="AF13" s="120" t="str">
        <f t="shared" si="2"/>
        <v>Estable</v>
      </c>
    </row>
    <row r="14" spans="1:32" x14ac:dyDescent="0.2">
      <c r="A14" s="121" t="s">
        <v>402</v>
      </c>
      <c r="B14" s="122" t="s">
        <v>956</v>
      </c>
      <c r="C14" s="123" t="s">
        <v>11</v>
      </c>
      <c r="D14" s="123" t="s">
        <v>404</v>
      </c>
      <c r="E14" s="124" t="s">
        <v>13</v>
      </c>
      <c r="F14" s="124" t="s">
        <v>422</v>
      </c>
      <c r="G14" s="124" t="s">
        <v>986</v>
      </c>
      <c r="H14" s="122" t="s">
        <v>8</v>
      </c>
      <c r="I14" s="126">
        <v>21.1023829385834</v>
      </c>
      <c r="J14" s="126">
        <v>-101.67666792692999</v>
      </c>
      <c r="K14" s="122" t="s">
        <v>139</v>
      </c>
      <c r="L14" s="125" t="str">
        <f t="shared" si="0"/>
        <v>Ver en Google Maps</v>
      </c>
      <c r="M14" s="127">
        <v>3</v>
      </c>
      <c r="N14" s="108">
        <v>45964</v>
      </c>
      <c r="O14" s="109">
        <f>DAY('BD2'!$N14)</f>
        <v>3</v>
      </c>
      <c r="P14" s="109">
        <f>MONTH('BD2'!$N14)</f>
        <v>11</v>
      </c>
      <c r="Q14" s="109">
        <f>YEAR('BD2'!$N14)</f>
        <v>2025</v>
      </c>
      <c r="R14" s="109">
        <v>2</v>
      </c>
      <c r="S14" s="109" t="s">
        <v>138</v>
      </c>
      <c r="T14" s="109" t="s">
        <v>138</v>
      </c>
      <c r="U14" s="109" t="s">
        <v>138</v>
      </c>
      <c r="V14" s="109" t="s">
        <v>138</v>
      </c>
      <c r="W14" s="109" t="s">
        <v>138</v>
      </c>
      <c r="X14" s="109" t="s">
        <v>138</v>
      </c>
      <c r="Y14" s="109" t="s">
        <v>138</v>
      </c>
      <c r="Z14" s="109" t="str">
        <f>IF('BD2'!$AA14 &lt; 14, "no", "si")</f>
        <v>si</v>
      </c>
      <c r="AA14" s="109">
        <v>74.5</v>
      </c>
      <c r="AB14" s="109">
        <v>39.1</v>
      </c>
      <c r="AC14" s="110" t="s">
        <v>967</v>
      </c>
      <c r="AD14" s="110" t="s">
        <v>954</v>
      </c>
      <c r="AE14" s="109">
        <f t="shared" si="1"/>
        <v>8</v>
      </c>
      <c r="AF14" s="111" t="str">
        <f t="shared" si="2"/>
        <v>Estable</v>
      </c>
    </row>
    <row r="15" spans="1:32" x14ac:dyDescent="0.2">
      <c r="A15" s="112" t="s">
        <v>403</v>
      </c>
      <c r="B15" s="113" t="s">
        <v>956</v>
      </c>
      <c r="C15" s="114" t="s">
        <v>11</v>
      </c>
      <c r="D15" s="114" t="s">
        <v>404</v>
      </c>
      <c r="E15" s="115" t="s">
        <v>13</v>
      </c>
      <c r="F15" s="115" t="s">
        <v>422</v>
      </c>
      <c r="G15" s="115" t="s">
        <v>986</v>
      </c>
      <c r="H15" s="113" t="s">
        <v>8</v>
      </c>
      <c r="I15" s="126">
        <v>21.103048558512999</v>
      </c>
      <c r="J15" s="126">
        <v>-101.675214169787</v>
      </c>
      <c r="K15" s="113" t="s">
        <v>139</v>
      </c>
      <c r="L15" s="116" t="str">
        <f t="shared" si="0"/>
        <v>Ver en Google Maps</v>
      </c>
      <c r="M15" s="128">
        <v>3</v>
      </c>
      <c r="N15" s="117">
        <v>45964</v>
      </c>
      <c r="O15" s="118">
        <f>DAY('BD2'!$N15)</f>
        <v>3</v>
      </c>
      <c r="P15" s="118">
        <f>MONTH('BD2'!$N15)</f>
        <v>11</v>
      </c>
      <c r="Q15" s="118">
        <f>YEAR('BD2'!$N15)</f>
        <v>2025</v>
      </c>
      <c r="R15" s="118">
        <v>2</v>
      </c>
      <c r="S15" s="118" t="s">
        <v>138</v>
      </c>
      <c r="T15" s="118" t="s">
        <v>138</v>
      </c>
      <c r="U15" s="118" t="s">
        <v>138</v>
      </c>
      <c r="V15" s="118" t="s">
        <v>138</v>
      </c>
      <c r="W15" s="118" t="s">
        <v>138</v>
      </c>
      <c r="X15" s="118" t="s">
        <v>138</v>
      </c>
      <c r="Y15" s="118" t="s">
        <v>138</v>
      </c>
      <c r="Z15" s="118" t="str">
        <f>IF('BD2'!$AA15 &lt; 14, "no", "si")</f>
        <v>si</v>
      </c>
      <c r="AA15" s="118">
        <v>40.799999999999997</v>
      </c>
      <c r="AB15" s="118">
        <v>35.299999999999997</v>
      </c>
      <c r="AC15" s="119" t="s">
        <v>967</v>
      </c>
      <c r="AD15" s="119" t="s">
        <v>954</v>
      </c>
      <c r="AE15" s="118">
        <f t="shared" si="1"/>
        <v>8</v>
      </c>
      <c r="AF15" s="120" t="str">
        <f t="shared" si="2"/>
        <v>Estable</v>
      </c>
    </row>
    <row r="16" spans="1:32" x14ac:dyDescent="0.2">
      <c r="A16" s="121">
        <v>14</v>
      </c>
      <c r="B16" s="122" t="s">
        <v>956</v>
      </c>
      <c r="C16" s="123" t="s">
        <v>11</v>
      </c>
      <c r="D16" s="123" t="s">
        <v>404</v>
      </c>
      <c r="E16" s="124" t="s">
        <v>144</v>
      </c>
      <c r="F16" s="124" t="s">
        <v>423</v>
      </c>
      <c r="G16" s="124" t="s">
        <v>145</v>
      </c>
      <c r="H16" s="122" t="s">
        <v>8</v>
      </c>
      <c r="I16" s="123">
        <v>21.137276</v>
      </c>
      <c r="J16" s="123">
        <v>-101.76615700000001</v>
      </c>
      <c r="K16" s="122" t="s">
        <v>139</v>
      </c>
      <c r="L16" s="125" t="str">
        <f t="shared" si="0"/>
        <v>Ver en Google Maps</v>
      </c>
      <c r="M16" s="122">
        <v>1</v>
      </c>
      <c r="N16" s="108">
        <v>45960</v>
      </c>
      <c r="O16" s="109">
        <f>DAY('BD2'!$N16)</f>
        <v>30</v>
      </c>
      <c r="P16" s="109">
        <f>MONTH('BD2'!$N16)</f>
        <v>10</v>
      </c>
      <c r="Q16" s="109">
        <f>YEAR('BD2'!$N16)</f>
        <v>2025</v>
      </c>
      <c r="R16" s="109">
        <v>2</v>
      </c>
      <c r="S16" s="109" t="s">
        <v>138</v>
      </c>
      <c r="T16" s="109" t="s">
        <v>138</v>
      </c>
      <c r="U16" s="109" t="s">
        <v>138</v>
      </c>
      <c r="V16" s="109" t="s">
        <v>138</v>
      </c>
      <c r="W16" s="109" t="s">
        <v>138</v>
      </c>
      <c r="X16" s="109" t="s">
        <v>138</v>
      </c>
      <c r="Y16" s="109" t="s">
        <v>138</v>
      </c>
      <c r="Z16" s="109" t="str">
        <f>IF('BD2'!$AA16 &lt; 14, "no", "si")</f>
        <v>si</v>
      </c>
      <c r="AA16" s="109">
        <v>108</v>
      </c>
      <c r="AB16" s="109">
        <v>34.1</v>
      </c>
      <c r="AC16" s="110" t="s">
        <v>967</v>
      </c>
      <c r="AD16" s="110" t="s">
        <v>954</v>
      </c>
      <c r="AE16" s="109">
        <f t="shared" si="1"/>
        <v>8</v>
      </c>
      <c r="AF16" s="111" t="str">
        <f t="shared" si="2"/>
        <v>Estable</v>
      </c>
    </row>
    <row r="17" spans="1:32" x14ac:dyDescent="0.2">
      <c r="A17" s="112">
        <v>15</v>
      </c>
      <c r="B17" s="113" t="s">
        <v>956</v>
      </c>
      <c r="C17" s="114" t="s">
        <v>11</v>
      </c>
      <c r="D17" s="114" t="s">
        <v>404</v>
      </c>
      <c r="E17" s="115" t="s">
        <v>424</v>
      </c>
      <c r="F17" s="115" t="s">
        <v>425</v>
      </c>
      <c r="G17" s="115" t="s">
        <v>987</v>
      </c>
      <c r="H17" s="113" t="s">
        <v>8</v>
      </c>
      <c r="I17" s="114">
        <v>21.15992</v>
      </c>
      <c r="J17" s="114">
        <v>-101.656584</v>
      </c>
      <c r="K17" s="113" t="s">
        <v>139</v>
      </c>
      <c r="L17" s="116" t="str">
        <f t="shared" si="0"/>
        <v>Ver en Google Maps</v>
      </c>
      <c r="M17" s="113">
        <v>1</v>
      </c>
      <c r="N17" s="117">
        <v>45955</v>
      </c>
      <c r="O17" s="118">
        <f>DAY('BD2'!$N17)</f>
        <v>25</v>
      </c>
      <c r="P17" s="118">
        <f>MONTH('BD2'!$N17)</f>
        <v>10</v>
      </c>
      <c r="Q17" s="118">
        <f>YEAR('BD2'!$N17)</f>
        <v>2025</v>
      </c>
      <c r="R17" s="118">
        <v>2</v>
      </c>
      <c r="S17" s="118" t="s">
        <v>138</v>
      </c>
      <c r="T17" s="118" t="s">
        <v>138</v>
      </c>
      <c r="U17" s="118" t="s">
        <v>138</v>
      </c>
      <c r="V17" s="118" t="s">
        <v>138</v>
      </c>
      <c r="W17" s="118" t="s">
        <v>138</v>
      </c>
      <c r="X17" s="118" t="s">
        <v>138</v>
      </c>
      <c r="Y17" s="118" t="s">
        <v>138</v>
      </c>
      <c r="Z17" s="118" t="str">
        <f>IF('BD2'!$AA17 &lt; 14, "no", "si")</f>
        <v>si</v>
      </c>
      <c r="AA17" s="118">
        <v>111</v>
      </c>
      <c r="AB17" s="118">
        <v>44.2</v>
      </c>
      <c r="AC17" s="119" t="s">
        <v>967</v>
      </c>
      <c r="AD17" s="119" t="s">
        <v>954</v>
      </c>
      <c r="AE17" s="118">
        <f t="shared" si="1"/>
        <v>8</v>
      </c>
      <c r="AF17" s="120" t="str">
        <f t="shared" si="2"/>
        <v>Estable</v>
      </c>
    </row>
    <row r="18" spans="1:32" x14ac:dyDescent="0.2">
      <c r="A18" s="121">
        <v>16</v>
      </c>
      <c r="B18" s="122" t="s">
        <v>956</v>
      </c>
      <c r="C18" s="123" t="s">
        <v>426</v>
      </c>
      <c r="D18" s="123" t="s">
        <v>404</v>
      </c>
      <c r="E18" s="124" t="s">
        <v>146</v>
      </c>
      <c r="F18" s="124" t="s">
        <v>427</v>
      </c>
      <c r="G18" s="124" t="s">
        <v>360</v>
      </c>
      <c r="H18" s="122" t="s">
        <v>8</v>
      </c>
      <c r="I18" s="123">
        <v>21.121759999999998</v>
      </c>
      <c r="J18" s="123">
        <v>-101.68234</v>
      </c>
      <c r="K18" s="122" t="s">
        <v>139</v>
      </c>
      <c r="L18" s="125" t="str">
        <f t="shared" si="0"/>
        <v>Ver en Google Maps</v>
      </c>
      <c r="M18" s="122">
        <v>3</v>
      </c>
      <c r="N18" s="108">
        <v>45954</v>
      </c>
      <c r="O18" s="109">
        <f>DAY('BD2'!$N18)</f>
        <v>24</v>
      </c>
      <c r="P18" s="109">
        <f>MONTH('BD2'!$N18)</f>
        <v>10</v>
      </c>
      <c r="Q18" s="109">
        <f>YEAR('BD2'!$N18)</f>
        <v>2025</v>
      </c>
      <c r="R18" s="109">
        <v>2</v>
      </c>
      <c r="S18" s="109" t="s">
        <v>138</v>
      </c>
      <c r="T18" s="109" t="s">
        <v>138</v>
      </c>
      <c r="U18" s="109" t="s">
        <v>138</v>
      </c>
      <c r="V18" s="109" t="s">
        <v>138</v>
      </c>
      <c r="W18" s="109" t="s">
        <v>138</v>
      </c>
      <c r="X18" s="109" t="s">
        <v>138</v>
      </c>
      <c r="Y18" s="109" t="s">
        <v>138</v>
      </c>
      <c r="Z18" s="109" t="str">
        <f>IF('BD2'!$AA18 &lt; 14, "no", "si")</f>
        <v>si</v>
      </c>
      <c r="AA18" s="109">
        <v>16.3</v>
      </c>
      <c r="AB18" s="109">
        <v>3.73</v>
      </c>
      <c r="AC18" s="110" t="s">
        <v>967</v>
      </c>
      <c r="AD18" s="110" t="s">
        <v>954</v>
      </c>
      <c r="AE18" s="109">
        <f t="shared" si="1"/>
        <v>8</v>
      </c>
      <c r="AF18" s="111" t="str">
        <f t="shared" si="2"/>
        <v>Estable</v>
      </c>
    </row>
    <row r="19" spans="1:32" x14ac:dyDescent="0.2">
      <c r="A19" s="112">
        <v>88</v>
      </c>
      <c r="B19" s="113" t="s">
        <v>956</v>
      </c>
      <c r="C19" s="114" t="s">
        <v>18</v>
      </c>
      <c r="D19" s="114" t="s">
        <v>404</v>
      </c>
      <c r="E19" s="115" t="s">
        <v>19</v>
      </c>
      <c r="F19" s="115" t="s">
        <v>428</v>
      </c>
      <c r="G19" s="115" t="s">
        <v>988</v>
      </c>
      <c r="H19" s="113" t="s">
        <v>8</v>
      </c>
      <c r="I19" s="114">
        <v>21.129923000000002</v>
      </c>
      <c r="J19" s="114">
        <v>-101.685838</v>
      </c>
      <c r="K19" s="113"/>
      <c r="L19" s="116" t="str">
        <f t="shared" si="0"/>
        <v>Ver en Google Maps</v>
      </c>
      <c r="M19" s="113">
        <v>2</v>
      </c>
      <c r="N19" s="129"/>
      <c r="O19" s="118"/>
      <c r="P19" s="118"/>
      <c r="Q19" s="118"/>
      <c r="R19" s="118"/>
      <c r="S19" s="118"/>
      <c r="T19" s="118"/>
      <c r="U19" s="118"/>
      <c r="V19" s="118"/>
      <c r="W19" s="118"/>
      <c r="X19" s="118"/>
      <c r="Y19" s="118"/>
      <c r="Z19" s="118"/>
      <c r="AA19" s="118"/>
      <c r="AB19" s="118"/>
      <c r="AC19" s="118"/>
      <c r="AD19" s="119"/>
      <c r="AE19" s="118"/>
      <c r="AF19" s="120"/>
    </row>
    <row r="20" spans="1:32" x14ac:dyDescent="0.2">
      <c r="A20" s="121">
        <v>89</v>
      </c>
      <c r="B20" s="122" t="s">
        <v>956</v>
      </c>
      <c r="C20" s="123" t="s">
        <v>429</v>
      </c>
      <c r="D20" s="123" t="s">
        <v>15</v>
      </c>
      <c r="E20" s="124" t="s">
        <v>147</v>
      </c>
      <c r="F20" s="124" t="s">
        <v>430</v>
      </c>
      <c r="G20" s="124" t="s">
        <v>978</v>
      </c>
      <c r="H20" s="122" t="s">
        <v>8</v>
      </c>
      <c r="I20" s="123">
        <v>21.135660000000001</v>
      </c>
      <c r="J20" s="123">
        <v>-101.66829</v>
      </c>
      <c r="K20" s="122" t="s">
        <v>139</v>
      </c>
      <c r="L20" s="125" t="str">
        <f t="shared" si="0"/>
        <v>Ver en Google Maps</v>
      </c>
      <c r="M20" s="122">
        <v>1</v>
      </c>
      <c r="N20" s="108">
        <v>45954</v>
      </c>
      <c r="O20" s="109">
        <f>DAY('BD2'!$N20)</f>
        <v>24</v>
      </c>
      <c r="P20" s="109">
        <f>MONTH('BD2'!$N20)</f>
        <v>10</v>
      </c>
      <c r="Q20" s="109">
        <f>YEAR('BD2'!$N20)</f>
        <v>2025</v>
      </c>
      <c r="R20" s="109">
        <v>2</v>
      </c>
      <c r="S20" s="109" t="s">
        <v>138</v>
      </c>
      <c r="T20" s="109" t="s">
        <v>138</v>
      </c>
      <c r="U20" s="109" t="s">
        <v>138</v>
      </c>
      <c r="V20" s="109" t="s">
        <v>138</v>
      </c>
      <c r="W20" s="109" t="s">
        <v>138</v>
      </c>
      <c r="X20" s="109" t="s">
        <v>138</v>
      </c>
      <c r="Y20" s="109" t="s">
        <v>138</v>
      </c>
      <c r="Z20" s="109" t="str">
        <f>IF('BD2'!$AA20 &lt; 14, "no", "si")</f>
        <v>si</v>
      </c>
      <c r="AA20" s="109">
        <v>43</v>
      </c>
      <c r="AB20" s="109">
        <v>16.399999999999999</v>
      </c>
      <c r="AC20" s="110" t="s">
        <v>967</v>
      </c>
      <c r="AD20" s="110" t="s">
        <v>954</v>
      </c>
      <c r="AE20" s="109">
        <f t="shared" si="1"/>
        <v>8</v>
      </c>
      <c r="AF20" s="111" t="str">
        <f t="shared" si="2"/>
        <v>Estable</v>
      </c>
    </row>
    <row r="21" spans="1:32" x14ac:dyDescent="0.2">
      <c r="A21" s="112">
        <v>92</v>
      </c>
      <c r="B21" s="113" t="s">
        <v>956</v>
      </c>
      <c r="C21" s="114" t="s">
        <v>429</v>
      </c>
      <c r="D21" s="114" t="s">
        <v>17</v>
      </c>
      <c r="E21" s="115" t="s">
        <v>20</v>
      </c>
      <c r="F21" s="115" t="s">
        <v>431</v>
      </c>
      <c r="G21" s="115" t="s">
        <v>989</v>
      </c>
      <c r="H21" s="113" t="s">
        <v>8</v>
      </c>
      <c r="I21" s="114">
        <v>21.101990000000001</v>
      </c>
      <c r="J21" s="114">
        <v>-101.65482</v>
      </c>
      <c r="K21" s="113" t="s">
        <v>139</v>
      </c>
      <c r="L21" s="116" t="str">
        <f t="shared" si="0"/>
        <v>Ver en Google Maps</v>
      </c>
      <c r="M21" s="113">
        <v>1</v>
      </c>
      <c r="N21" s="117">
        <v>45960</v>
      </c>
      <c r="O21" s="118">
        <f>DAY('BD2'!$N21)</f>
        <v>30</v>
      </c>
      <c r="P21" s="118">
        <f>MONTH('BD2'!$N21)</f>
        <v>10</v>
      </c>
      <c r="Q21" s="118">
        <f>YEAR('BD2'!$N21)</f>
        <v>2025</v>
      </c>
      <c r="R21" s="118">
        <v>2</v>
      </c>
      <c r="S21" s="118" t="s">
        <v>138</v>
      </c>
      <c r="T21" s="118" t="s">
        <v>138</v>
      </c>
      <c r="U21" s="118" t="s">
        <v>138</v>
      </c>
      <c r="V21" s="118" t="s">
        <v>138</v>
      </c>
      <c r="W21" s="118" t="s">
        <v>138</v>
      </c>
      <c r="X21" s="118" t="s">
        <v>138</v>
      </c>
      <c r="Y21" s="118" t="s">
        <v>138</v>
      </c>
      <c r="Z21" s="118" t="str">
        <f>IF('BD2'!$AA21 &lt; 14, "no", "si")</f>
        <v>si</v>
      </c>
      <c r="AA21" s="118">
        <v>59.7</v>
      </c>
      <c r="AB21" s="118">
        <v>8.25</v>
      </c>
      <c r="AC21" s="119" t="s">
        <v>967</v>
      </c>
      <c r="AD21" s="119" t="s">
        <v>954</v>
      </c>
      <c r="AE21" s="118">
        <f t="shared" si="1"/>
        <v>8</v>
      </c>
      <c r="AF21" s="120" t="str">
        <f t="shared" si="2"/>
        <v>Estable</v>
      </c>
    </row>
    <row r="22" spans="1:32" x14ac:dyDescent="0.2">
      <c r="A22" s="121">
        <v>96</v>
      </c>
      <c r="B22" s="122" t="s">
        <v>956</v>
      </c>
      <c r="C22" s="123" t="s">
        <v>429</v>
      </c>
      <c r="D22" s="123" t="s">
        <v>15</v>
      </c>
      <c r="E22" s="124" t="s">
        <v>148</v>
      </c>
      <c r="F22" s="124" t="s">
        <v>432</v>
      </c>
      <c r="G22" s="124" t="s">
        <v>990</v>
      </c>
      <c r="H22" s="122" t="s">
        <v>8</v>
      </c>
      <c r="I22" s="123">
        <v>21.15465</v>
      </c>
      <c r="J22" s="123">
        <v>-101.69157</v>
      </c>
      <c r="K22" s="122" t="s">
        <v>139</v>
      </c>
      <c r="L22" s="125" t="str">
        <f t="shared" si="0"/>
        <v>Ver en Google Maps</v>
      </c>
      <c r="M22" s="122">
        <v>2</v>
      </c>
      <c r="N22" s="108">
        <v>45952</v>
      </c>
      <c r="O22" s="109">
        <f>DAY('BD2'!$N22)</f>
        <v>22</v>
      </c>
      <c r="P22" s="109">
        <f>MONTH('BD2'!$N22)</f>
        <v>10</v>
      </c>
      <c r="Q22" s="109">
        <f>YEAR('BD2'!$N22)</f>
        <v>2025</v>
      </c>
      <c r="R22" s="109">
        <v>2</v>
      </c>
      <c r="S22" s="109" t="s">
        <v>138</v>
      </c>
      <c r="T22" s="109" t="s">
        <v>138</v>
      </c>
      <c r="U22" s="109" t="s">
        <v>138</v>
      </c>
      <c r="V22" s="109" t="s">
        <v>138</v>
      </c>
      <c r="W22" s="109" t="s">
        <v>138</v>
      </c>
      <c r="X22" s="109" t="s">
        <v>138</v>
      </c>
      <c r="Y22" s="109" t="s">
        <v>138</v>
      </c>
      <c r="Z22" s="109" t="str">
        <f>IF('BD2'!$AA22 &lt; 14, "no", "si")</f>
        <v>si</v>
      </c>
      <c r="AA22" s="109">
        <v>113</v>
      </c>
      <c r="AB22" s="109">
        <v>51.1</v>
      </c>
      <c r="AC22" s="110" t="s">
        <v>967</v>
      </c>
      <c r="AD22" s="110" t="s">
        <v>954</v>
      </c>
      <c r="AE22" s="109">
        <f t="shared" si="1"/>
        <v>8</v>
      </c>
      <c r="AF22" s="111" t="str">
        <f t="shared" si="2"/>
        <v>Estable</v>
      </c>
    </row>
    <row r="23" spans="1:32" x14ac:dyDescent="0.2">
      <c r="A23" s="112">
        <v>101</v>
      </c>
      <c r="B23" s="113" t="s">
        <v>956</v>
      </c>
      <c r="C23" s="114" t="s">
        <v>429</v>
      </c>
      <c r="D23" s="114" t="s">
        <v>17</v>
      </c>
      <c r="E23" s="115" t="s">
        <v>149</v>
      </c>
      <c r="F23" s="115" t="s">
        <v>433</v>
      </c>
      <c r="G23" s="115" t="s">
        <v>991</v>
      </c>
      <c r="H23" s="113" t="s">
        <v>8</v>
      </c>
      <c r="I23" s="114">
        <v>21.106586</v>
      </c>
      <c r="J23" s="114">
        <v>-101.653088</v>
      </c>
      <c r="K23" s="113" t="s">
        <v>139</v>
      </c>
      <c r="L23" s="116" t="str">
        <f t="shared" si="0"/>
        <v>Ver en Google Maps</v>
      </c>
      <c r="M23" s="113">
        <v>1</v>
      </c>
      <c r="N23" s="117">
        <v>45960</v>
      </c>
      <c r="O23" s="118">
        <f>DAY('BD2'!$N23)</f>
        <v>30</v>
      </c>
      <c r="P23" s="118">
        <f>MONTH('BD2'!$N23)</f>
        <v>10</v>
      </c>
      <c r="Q23" s="118">
        <f>YEAR('BD2'!$N23)</f>
        <v>2025</v>
      </c>
      <c r="R23" s="118">
        <v>2</v>
      </c>
      <c r="S23" s="118" t="s">
        <v>138</v>
      </c>
      <c r="T23" s="118" t="s">
        <v>138</v>
      </c>
      <c r="U23" s="118" t="s">
        <v>138</v>
      </c>
      <c r="V23" s="118" t="s">
        <v>138</v>
      </c>
      <c r="W23" s="118" t="s">
        <v>138</v>
      </c>
      <c r="X23" s="118" t="s">
        <v>138</v>
      </c>
      <c r="Y23" s="118" t="s">
        <v>138</v>
      </c>
      <c r="Z23" s="118" t="str">
        <f>IF('BD2'!$AA23 &lt; 14, "no", "si")</f>
        <v>si</v>
      </c>
      <c r="AA23" s="118">
        <v>33.5</v>
      </c>
      <c r="AB23" s="118">
        <v>5.55</v>
      </c>
      <c r="AC23" s="119" t="s">
        <v>946</v>
      </c>
      <c r="AD23" s="119" t="s">
        <v>954</v>
      </c>
      <c r="AE23" s="118">
        <f t="shared" si="1"/>
        <v>8</v>
      </c>
      <c r="AF23" s="120" t="str">
        <f t="shared" si="2"/>
        <v>Estable</v>
      </c>
    </row>
    <row r="24" spans="1:32" x14ac:dyDescent="0.2">
      <c r="A24" s="121">
        <v>102</v>
      </c>
      <c r="B24" s="122" t="s">
        <v>956</v>
      </c>
      <c r="C24" s="123" t="s">
        <v>429</v>
      </c>
      <c r="D24" s="123" t="s">
        <v>15</v>
      </c>
      <c r="E24" s="124" t="s">
        <v>150</v>
      </c>
      <c r="F24" s="124" t="s">
        <v>434</v>
      </c>
      <c r="G24" s="124" t="s">
        <v>992</v>
      </c>
      <c r="H24" s="122" t="s">
        <v>8</v>
      </c>
      <c r="I24" s="123">
        <v>21.10182</v>
      </c>
      <c r="J24" s="123">
        <v>-101.70554</v>
      </c>
      <c r="K24" s="122" t="s">
        <v>139</v>
      </c>
      <c r="L24" s="125" t="str">
        <f t="shared" si="0"/>
        <v>Ver en Google Maps</v>
      </c>
      <c r="M24" s="122">
        <v>2</v>
      </c>
      <c r="N24" s="108">
        <v>45964</v>
      </c>
      <c r="O24" s="109">
        <f>DAY('BD2'!$N24)</f>
        <v>3</v>
      </c>
      <c r="P24" s="109">
        <f>MONTH('BD2'!$N24)</f>
        <v>11</v>
      </c>
      <c r="Q24" s="109">
        <f>YEAR('BD2'!$N24)</f>
        <v>2025</v>
      </c>
      <c r="R24" s="109">
        <v>2</v>
      </c>
      <c r="S24" s="109" t="s">
        <v>138</v>
      </c>
      <c r="T24" s="109" t="s">
        <v>138</v>
      </c>
      <c r="U24" s="109" t="s">
        <v>138</v>
      </c>
      <c r="V24" s="109" t="s">
        <v>138</v>
      </c>
      <c r="W24" s="109" t="s">
        <v>138</v>
      </c>
      <c r="X24" s="109" t="s">
        <v>138</v>
      </c>
      <c r="Y24" s="109" t="s">
        <v>138</v>
      </c>
      <c r="Z24" s="109" t="str">
        <f>IF('BD2'!$AA24 &lt; 14, "no", "si")</f>
        <v>no</v>
      </c>
      <c r="AA24" s="109">
        <v>3.19</v>
      </c>
      <c r="AB24" s="109">
        <v>3.42</v>
      </c>
      <c r="AC24" s="110" t="s">
        <v>1412</v>
      </c>
      <c r="AD24" s="110" t="s">
        <v>957</v>
      </c>
      <c r="AE24" s="109">
        <f t="shared" si="1"/>
        <v>7</v>
      </c>
      <c r="AF24" s="111" t="str">
        <f t="shared" si="2"/>
        <v>Funcional con observaciones</v>
      </c>
    </row>
    <row r="25" spans="1:32" x14ac:dyDescent="0.2">
      <c r="A25" s="112">
        <v>106</v>
      </c>
      <c r="B25" s="113" t="s">
        <v>956</v>
      </c>
      <c r="C25" s="114" t="s">
        <v>429</v>
      </c>
      <c r="D25" s="114" t="s">
        <v>15</v>
      </c>
      <c r="E25" s="115" t="s">
        <v>151</v>
      </c>
      <c r="F25" s="115" t="s">
        <v>435</v>
      </c>
      <c r="G25" s="115" t="s">
        <v>993</v>
      </c>
      <c r="H25" s="113" t="s">
        <v>8</v>
      </c>
      <c r="I25" s="114">
        <v>21.12576</v>
      </c>
      <c r="J25" s="114">
        <v>-101.70522699999999</v>
      </c>
      <c r="K25" s="113"/>
      <c r="L25" s="116" t="str">
        <f t="shared" si="0"/>
        <v>Ver en Google Maps</v>
      </c>
      <c r="M25" s="113">
        <v>2</v>
      </c>
      <c r="N25" s="129"/>
      <c r="O25" s="118"/>
      <c r="P25" s="118"/>
      <c r="Q25" s="118"/>
      <c r="R25" s="118"/>
      <c r="S25" s="118"/>
      <c r="T25" s="118"/>
      <c r="U25" s="118"/>
      <c r="V25" s="118"/>
      <c r="W25" s="118"/>
      <c r="X25" s="118"/>
      <c r="Y25" s="118"/>
      <c r="Z25" s="118"/>
      <c r="AA25" s="118"/>
      <c r="AB25" s="118"/>
      <c r="AC25" s="119"/>
      <c r="AD25" s="119"/>
      <c r="AE25" s="118"/>
      <c r="AF25" s="120"/>
    </row>
    <row r="26" spans="1:32" x14ac:dyDescent="0.2">
      <c r="A26" s="121">
        <v>107</v>
      </c>
      <c r="B26" s="122" t="s">
        <v>956</v>
      </c>
      <c r="C26" s="123" t="s">
        <v>429</v>
      </c>
      <c r="D26" s="123" t="s">
        <v>15</v>
      </c>
      <c r="E26" s="124" t="s">
        <v>152</v>
      </c>
      <c r="F26" s="124" t="s">
        <v>436</v>
      </c>
      <c r="G26" s="124" t="s">
        <v>994</v>
      </c>
      <c r="H26" s="122" t="s">
        <v>8</v>
      </c>
      <c r="I26" s="123">
        <v>21.140599999999999</v>
      </c>
      <c r="J26" s="123">
        <v>-101.70609</v>
      </c>
      <c r="K26" s="122" t="s">
        <v>139</v>
      </c>
      <c r="L26" s="125" t="str">
        <f t="shared" si="0"/>
        <v>Ver en Google Maps</v>
      </c>
      <c r="M26" s="122">
        <v>2</v>
      </c>
      <c r="N26" s="108">
        <v>45958</v>
      </c>
      <c r="O26" s="109">
        <f>DAY('BD2'!$N26)</f>
        <v>28</v>
      </c>
      <c r="P26" s="109">
        <f>MONTH('BD2'!$N26)</f>
        <v>10</v>
      </c>
      <c r="Q26" s="109">
        <f>YEAR('BD2'!$N26)</f>
        <v>2025</v>
      </c>
      <c r="R26" s="109">
        <v>2</v>
      </c>
      <c r="S26" s="109" t="s">
        <v>138</v>
      </c>
      <c r="T26" s="109" t="s">
        <v>138</v>
      </c>
      <c r="U26" s="109" t="s">
        <v>138</v>
      </c>
      <c r="V26" s="109" t="s">
        <v>138</v>
      </c>
      <c r="W26" s="109" t="s">
        <v>138</v>
      </c>
      <c r="X26" s="109" t="s">
        <v>138</v>
      </c>
      <c r="Y26" s="109" t="s">
        <v>138</v>
      </c>
      <c r="Z26" s="109" t="str">
        <f>IF('BD2'!$AA26 &lt; 14, "no", "si")</f>
        <v>si</v>
      </c>
      <c r="AA26" s="109">
        <v>14.7</v>
      </c>
      <c r="AB26" s="109">
        <v>8.69</v>
      </c>
      <c r="AC26" s="110" t="s">
        <v>967</v>
      </c>
      <c r="AD26" s="110" t="s">
        <v>957</v>
      </c>
      <c r="AE26" s="109">
        <f t="shared" si="1"/>
        <v>8</v>
      </c>
      <c r="AF26" s="111" t="str">
        <f t="shared" si="2"/>
        <v>Estable</v>
      </c>
    </row>
    <row r="27" spans="1:32" x14ac:dyDescent="0.2">
      <c r="A27" s="112">
        <v>108</v>
      </c>
      <c r="B27" s="113" t="s">
        <v>956</v>
      </c>
      <c r="C27" s="114" t="s">
        <v>429</v>
      </c>
      <c r="D27" s="114" t="s">
        <v>15</v>
      </c>
      <c r="E27" s="115" t="s">
        <v>21</v>
      </c>
      <c r="F27" s="115" t="s">
        <v>437</v>
      </c>
      <c r="G27" s="115" t="s">
        <v>995</v>
      </c>
      <c r="H27" s="113" t="s">
        <v>8</v>
      </c>
      <c r="I27" s="114">
        <v>21.091370000000001</v>
      </c>
      <c r="J27" s="114">
        <v>-101.64843999999999</v>
      </c>
      <c r="K27" s="113"/>
      <c r="L27" s="116" t="str">
        <f t="shared" si="0"/>
        <v>Ver en Google Maps</v>
      </c>
      <c r="M27" s="113">
        <v>2</v>
      </c>
      <c r="N27" s="129"/>
      <c r="O27" s="118"/>
      <c r="P27" s="118"/>
      <c r="Q27" s="118"/>
      <c r="R27" s="118"/>
      <c r="S27" s="118"/>
      <c r="T27" s="118"/>
      <c r="U27" s="118"/>
      <c r="V27" s="118"/>
      <c r="W27" s="118"/>
      <c r="X27" s="118"/>
      <c r="Y27" s="118"/>
      <c r="Z27" s="118"/>
      <c r="AA27" s="118"/>
      <c r="AB27" s="118"/>
      <c r="AC27" s="118"/>
      <c r="AD27" s="119"/>
      <c r="AE27" s="118"/>
      <c r="AF27" s="120"/>
    </row>
    <row r="28" spans="1:32" x14ac:dyDescent="0.2">
      <c r="A28" s="121">
        <v>109</v>
      </c>
      <c r="B28" s="122" t="s">
        <v>956</v>
      </c>
      <c r="C28" s="123" t="s">
        <v>429</v>
      </c>
      <c r="D28" s="123" t="s">
        <v>15</v>
      </c>
      <c r="E28" s="124" t="s">
        <v>153</v>
      </c>
      <c r="F28" s="124" t="s">
        <v>438</v>
      </c>
      <c r="G28" s="124" t="s">
        <v>979</v>
      </c>
      <c r="H28" s="122" t="s">
        <v>8</v>
      </c>
      <c r="I28" s="123">
        <v>21.13391</v>
      </c>
      <c r="J28" s="123">
        <v>-101.64409000000001</v>
      </c>
      <c r="K28" s="122" t="s">
        <v>139</v>
      </c>
      <c r="L28" s="125" t="str">
        <f t="shared" si="0"/>
        <v>Ver en Google Maps</v>
      </c>
      <c r="M28" s="122">
        <v>2</v>
      </c>
      <c r="N28" s="108">
        <v>45955</v>
      </c>
      <c r="O28" s="109">
        <f>DAY('BD2'!$N28)</f>
        <v>25</v>
      </c>
      <c r="P28" s="109">
        <f>MONTH('BD2'!$N28)</f>
        <v>10</v>
      </c>
      <c r="Q28" s="109">
        <f>YEAR('BD2'!$N28)</f>
        <v>2025</v>
      </c>
      <c r="R28" s="109">
        <v>2</v>
      </c>
      <c r="S28" s="109" t="s">
        <v>138</v>
      </c>
      <c r="T28" s="109" t="s">
        <v>138</v>
      </c>
      <c r="U28" s="109" t="s">
        <v>138</v>
      </c>
      <c r="V28" s="109" t="s">
        <v>138</v>
      </c>
      <c r="W28" s="109" t="s">
        <v>138</v>
      </c>
      <c r="X28" s="109" t="s">
        <v>138</v>
      </c>
      <c r="Y28" s="109" t="s">
        <v>138</v>
      </c>
      <c r="Z28" s="109" t="str">
        <f>IF('BD2'!$AA28 &lt; 14, "no", "si")</f>
        <v>si</v>
      </c>
      <c r="AA28" s="109">
        <v>14</v>
      </c>
      <c r="AB28" s="109">
        <v>36.200000000000003</v>
      </c>
      <c r="AC28" s="110" t="s">
        <v>951</v>
      </c>
      <c r="AD28" s="110" t="s">
        <v>954</v>
      </c>
      <c r="AE28" s="109">
        <f t="shared" si="1"/>
        <v>8</v>
      </c>
      <c r="AF28" s="111" t="str">
        <f t="shared" si="2"/>
        <v>Estable</v>
      </c>
    </row>
    <row r="29" spans="1:32" x14ac:dyDescent="0.2">
      <c r="A29" s="112">
        <v>112</v>
      </c>
      <c r="B29" s="113" t="s">
        <v>956</v>
      </c>
      <c r="C29" s="114" t="s">
        <v>429</v>
      </c>
      <c r="D29" s="114" t="s">
        <v>15</v>
      </c>
      <c r="E29" s="115" t="s">
        <v>154</v>
      </c>
      <c r="F29" s="115" t="s">
        <v>439</v>
      </c>
      <c r="G29" s="115" t="s">
        <v>996</v>
      </c>
      <c r="H29" s="113" t="s">
        <v>8</v>
      </c>
      <c r="I29" s="114">
        <v>21.113420000000001</v>
      </c>
      <c r="J29" s="114">
        <v>-101.70892000000001</v>
      </c>
      <c r="K29" s="113" t="s">
        <v>139</v>
      </c>
      <c r="L29" s="116" t="str">
        <f t="shared" si="0"/>
        <v>Ver en Google Maps</v>
      </c>
      <c r="M29" s="113">
        <v>2</v>
      </c>
      <c r="N29" s="117">
        <v>45965</v>
      </c>
      <c r="O29" s="118">
        <f>DAY('BD2'!$N29)</f>
        <v>4</v>
      </c>
      <c r="P29" s="118">
        <f>MONTH('BD2'!$N29)</f>
        <v>11</v>
      </c>
      <c r="Q29" s="118">
        <f>YEAR('BD2'!$N29)</f>
        <v>2025</v>
      </c>
      <c r="R29" s="118">
        <v>2</v>
      </c>
      <c r="S29" s="118" t="s">
        <v>138</v>
      </c>
      <c r="T29" s="118" t="s">
        <v>138</v>
      </c>
      <c r="U29" s="118" t="s">
        <v>138</v>
      </c>
      <c r="V29" s="118" t="s">
        <v>138</v>
      </c>
      <c r="W29" s="118" t="s">
        <v>138</v>
      </c>
      <c r="X29" s="118" t="s">
        <v>138</v>
      </c>
      <c r="Y29" s="118" t="s">
        <v>138</v>
      </c>
      <c r="Z29" s="118" t="str">
        <f>IF('BD2'!$AA29 &lt; 14, "no", "si")</f>
        <v>si</v>
      </c>
      <c r="AA29" s="118">
        <v>38.9</v>
      </c>
      <c r="AB29" s="118">
        <v>21</v>
      </c>
      <c r="AC29" s="119" t="s">
        <v>967</v>
      </c>
      <c r="AD29" s="119" t="s">
        <v>957</v>
      </c>
      <c r="AE29" s="118">
        <f t="shared" si="1"/>
        <v>8</v>
      </c>
      <c r="AF29" s="120" t="str">
        <f t="shared" si="2"/>
        <v>Estable</v>
      </c>
    </row>
    <row r="30" spans="1:32" x14ac:dyDescent="0.2">
      <c r="A30" s="121">
        <v>114</v>
      </c>
      <c r="B30" s="122" t="s">
        <v>956</v>
      </c>
      <c r="C30" s="123" t="s">
        <v>429</v>
      </c>
      <c r="D30" s="123" t="s">
        <v>15</v>
      </c>
      <c r="E30" s="124" t="s">
        <v>155</v>
      </c>
      <c r="F30" s="124" t="s">
        <v>440</v>
      </c>
      <c r="G30" s="124" t="s">
        <v>997</v>
      </c>
      <c r="H30" s="122" t="s">
        <v>8</v>
      </c>
      <c r="I30" s="123">
        <v>21.108450000000001</v>
      </c>
      <c r="J30" s="123">
        <v>-101.7283</v>
      </c>
      <c r="K30" s="122" t="s">
        <v>139</v>
      </c>
      <c r="L30" s="125" t="str">
        <f t="shared" si="0"/>
        <v>Ver en Google Maps</v>
      </c>
      <c r="M30" s="122">
        <v>2</v>
      </c>
      <c r="N30" s="108">
        <v>45964</v>
      </c>
      <c r="O30" s="109">
        <f>DAY('BD2'!$N30)</f>
        <v>3</v>
      </c>
      <c r="P30" s="109">
        <f>MONTH('BD2'!$N30)</f>
        <v>11</v>
      </c>
      <c r="Q30" s="109">
        <f>YEAR('BD2'!$N30)</f>
        <v>2025</v>
      </c>
      <c r="R30" s="109">
        <v>2</v>
      </c>
      <c r="S30" s="109" t="s">
        <v>934</v>
      </c>
      <c r="T30" s="109" t="s">
        <v>934</v>
      </c>
      <c r="U30" s="109" t="s">
        <v>934</v>
      </c>
      <c r="V30" s="109" t="s">
        <v>934</v>
      </c>
      <c r="W30" s="109" t="s">
        <v>934</v>
      </c>
      <c r="X30" s="109" t="s">
        <v>934</v>
      </c>
      <c r="Y30" s="109" t="s">
        <v>934</v>
      </c>
      <c r="Z30" s="109" t="str">
        <f>IF('BD2'!$AA30 &lt; 14, "no", "si")</f>
        <v>no</v>
      </c>
      <c r="AA30" s="109">
        <v>0</v>
      </c>
      <c r="AB30" s="109">
        <v>0</v>
      </c>
      <c r="AC30" s="110" t="s">
        <v>3139</v>
      </c>
      <c r="AD30" s="110" t="s">
        <v>954</v>
      </c>
      <c r="AE30" s="109">
        <f t="shared" si="1"/>
        <v>0</v>
      </c>
      <c r="AF30" s="111" t="str">
        <f t="shared" si="2"/>
        <v>Crítico</v>
      </c>
    </row>
    <row r="31" spans="1:32" x14ac:dyDescent="0.2">
      <c r="A31" s="112">
        <v>115</v>
      </c>
      <c r="B31" s="113" t="s">
        <v>956</v>
      </c>
      <c r="C31" s="114" t="s">
        <v>429</v>
      </c>
      <c r="D31" s="114" t="s">
        <v>15</v>
      </c>
      <c r="E31" s="115" t="s">
        <v>156</v>
      </c>
      <c r="F31" s="115" t="s">
        <v>441</v>
      </c>
      <c r="G31" s="115" t="s">
        <v>998</v>
      </c>
      <c r="H31" s="113" t="s">
        <v>8</v>
      </c>
      <c r="I31" s="114">
        <v>21.081569999999999</v>
      </c>
      <c r="J31" s="114">
        <v>-101.63813</v>
      </c>
      <c r="K31" s="113"/>
      <c r="L31" s="116" t="str">
        <f t="shared" si="0"/>
        <v>Ver en Google Maps</v>
      </c>
      <c r="M31" s="113">
        <v>2</v>
      </c>
      <c r="N31" s="129"/>
      <c r="O31" s="118"/>
      <c r="P31" s="118"/>
      <c r="Q31" s="118"/>
      <c r="R31" s="118"/>
      <c r="S31" s="118"/>
      <c r="T31" s="118"/>
      <c r="U31" s="118"/>
      <c r="V31" s="118"/>
      <c r="W31" s="118"/>
      <c r="X31" s="118"/>
      <c r="Y31" s="118"/>
      <c r="Z31" s="118"/>
      <c r="AA31" s="118"/>
      <c r="AB31" s="118"/>
      <c r="AC31" s="118"/>
      <c r="AD31" s="119"/>
      <c r="AE31" s="118"/>
      <c r="AF31" s="120"/>
    </row>
    <row r="32" spans="1:32" x14ac:dyDescent="0.2">
      <c r="A32" s="121">
        <v>116</v>
      </c>
      <c r="B32" s="122" t="s">
        <v>956</v>
      </c>
      <c r="C32" s="123" t="s">
        <v>429</v>
      </c>
      <c r="D32" s="123" t="s">
        <v>15</v>
      </c>
      <c r="E32" s="124" t="s">
        <v>157</v>
      </c>
      <c r="F32" s="124" t="s">
        <v>442</v>
      </c>
      <c r="G32" s="124" t="s">
        <v>999</v>
      </c>
      <c r="H32" s="122" t="s">
        <v>8</v>
      </c>
      <c r="I32" s="123">
        <v>21.080089999999998</v>
      </c>
      <c r="J32" s="123">
        <v>-101.62151</v>
      </c>
      <c r="K32" s="122"/>
      <c r="L32" s="125" t="str">
        <f t="shared" si="0"/>
        <v>Ver en Google Maps</v>
      </c>
      <c r="M32" s="122">
        <v>2</v>
      </c>
      <c r="N32" s="130"/>
      <c r="O32" s="109"/>
      <c r="P32" s="109"/>
      <c r="Q32" s="109"/>
      <c r="R32" s="109"/>
      <c r="S32" s="109"/>
      <c r="T32" s="109"/>
      <c r="U32" s="109"/>
      <c r="V32" s="109"/>
      <c r="W32" s="109"/>
      <c r="X32" s="109"/>
      <c r="Y32" s="109"/>
      <c r="Z32" s="109"/>
      <c r="AA32" s="109"/>
      <c r="AB32" s="109"/>
      <c r="AC32" s="109"/>
      <c r="AD32" s="110"/>
      <c r="AE32" s="109"/>
      <c r="AF32" s="111"/>
    </row>
    <row r="33" spans="1:32" x14ac:dyDescent="0.2">
      <c r="A33" s="112">
        <v>117</v>
      </c>
      <c r="B33" s="113" t="s">
        <v>956</v>
      </c>
      <c r="C33" s="114" t="s">
        <v>429</v>
      </c>
      <c r="D33" s="114" t="s">
        <v>15</v>
      </c>
      <c r="E33" s="115" t="s">
        <v>158</v>
      </c>
      <c r="F33" s="115" t="s">
        <v>443</v>
      </c>
      <c r="G33" s="115" t="s">
        <v>22</v>
      </c>
      <c r="H33" s="113" t="s">
        <v>8</v>
      </c>
      <c r="I33" s="114">
        <v>21.092549999999999</v>
      </c>
      <c r="J33" s="114">
        <v>-101.59189000000001</v>
      </c>
      <c r="K33" s="113"/>
      <c r="L33" s="116" t="str">
        <f t="shared" si="0"/>
        <v>Ver en Google Maps</v>
      </c>
      <c r="M33" s="113">
        <v>2</v>
      </c>
      <c r="N33" s="129"/>
      <c r="O33" s="118"/>
      <c r="P33" s="118"/>
      <c r="Q33" s="118"/>
      <c r="R33" s="118"/>
      <c r="S33" s="118"/>
      <c r="T33" s="118"/>
      <c r="U33" s="118"/>
      <c r="V33" s="118"/>
      <c r="W33" s="118"/>
      <c r="X33" s="118"/>
      <c r="Y33" s="118"/>
      <c r="Z33" s="118"/>
      <c r="AA33" s="118"/>
      <c r="AB33" s="118"/>
      <c r="AC33" s="118"/>
      <c r="AD33" s="119"/>
      <c r="AE33" s="118"/>
      <c r="AF33" s="120"/>
    </row>
    <row r="34" spans="1:32" x14ac:dyDescent="0.2">
      <c r="A34" s="121">
        <v>120</v>
      </c>
      <c r="B34" s="122" t="s">
        <v>956</v>
      </c>
      <c r="C34" s="123" t="s">
        <v>429</v>
      </c>
      <c r="D34" s="123" t="s">
        <v>17</v>
      </c>
      <c r="E34" s="124" t="s">
        <v>159</v>
      </c>
      <c r="F34" s="124" t="s">
        <v>444</v>
      </c>
      <c r="G34" s="124" t="s">
        <v>1000</v>
      </c>
      <c r="H34" s="122" t="s">
        <v>8</v>
      </c>
      <c r="I34" s="123">
        <v>21.132909999999999</v>
      </c>
      <c r="J34" s="123">
        <v>-101.70179</v>
      </c>
      <c r="K34" s="122"/>
      <c r="L34" s="125" t="str">
        <f t="shared" si="0"/>
        <v>Ver en Google Maps</v>
      </c>
      <c r="M34" s="122">
        <v>1</v>
      </c>
      <c r="N34" s="130"/>
      <c r="O34" s="109"/>
      <c r="P34" s="109"/>
      <c r="Q34" s="109"/>
      <c r="R34" s="109"/>
      <c r="S34" s="109"/>
      <c r="T34" s="109"/>
      <c r="U34" s="109"/>
      <c r="V34" s="109"/>
      <c r="W34" s="109"/>
      <c r="X34" s="109"/>
      <c r="Y34" s="109"/>
      <c r="Z34" s="109"/>
      <c r="AA34" s="109"/>
      <c r="AB34" s="109"/>
      <c r="AC34" s="109"/>
      <c r="AD34" s="110"/>
      <c r="AE34" s="109"/>
      <c r="AF34" s="111"/>
    </row>
    <row r="35" spans="1:32" x14ac:dyDescent="0.2">
      <c r="A35" s="112">
        <v>123</v>
      </c>
      <c r="B35" s="113" t="s">
        <v>956</v>
      </c>
      <c r="C35" s="114" t="s">
        <v>429</v>
      </c>
      <c r="D35" s="114" t="s">
        <v>17</v>
      </c>
      <c r="E35" s="115" t="s">
        <v>160</v>
      </c>
      <c r="F35" s="115" t="s">
        <v>445</v>
      </c>
      <c r="G35" s="115" t="s">
        <v>1001</v>
      </c>
      <c r="H35" s="113" t="s">
        <v>8</v>
      </c>
      <c r="I35" s="114">
        <v>21.120629999999998</v>
      </c>
      <c r="J35" s="114">
        <v>-101.65833000000001</v>
      </c>
      <c r="K35" s="113" t="s">
        <v>139</v>
      </c>
      <c r="L35" s="116" t="str">
        <f t="shared" si="0"/>
        <v>Ver en Google Maps</v>
      </c>
      <c r="M35" s="113">
        <v>1</v>
      </c>
      <c r="N35" s="117">
        <v>45955</v>
      </c>
      <c r="O35" s="118">
        <f>DAY('BD2'!$N35)</f>
        <v>25</v>
      </c>
      <c r="P35" s="118">
        <f>MONTH('BD2'!$N35)</f>
        <v>10</v>
      </c>
      <c r="Q35" s="118">
        <f>YEAR('BD2'!$N35)</f>
        <v>2025</v>
      </c>
      <c r="R35" s="118">
        <v>2</v>
      </c>
      <c r="S35" s="118" t="s">
        <v>138</v>
      </c>
      <c r="T35" s="118" t="s">
        <v>138</v>
      </c>
      <c r="U35" s="118" t="s">
        <v>138</v>
      </c>
      <c r="V35" s="118" t="s">
        <v>138</v>
      </c>
      <c r="W35" s="118" t="s">
        <v>138</v>
      </c>
      <c r="X35" s="118" t="s">
        <v>138</v>
      </c>
      <c r="Y35" s="118" t="s">
        <v>138</v>
      </c>
      <c r="Z35" s="118" t="str">
        <f>IF('BD2'!$AA35 &lt; 14, "no", "si")</f>
        <v>si</v>
      </c>
      <c r="AA35" s="118">
        <v>91.6</v>
      </c>
      <c r="AB35" s="118">
        <v>52</v>
      </c>
      <c r="AC35" s="119" t="s">
        <v>967</v>
      </c>
      <c r="AD35" s="119" t="s">
        <v>957</v>
      </c>
      <c r="AE35" s="118">
        <f t="shared" si="1"/>
        <v>8</v>
      </c>
      <c r="AF35" s="120" t="str">
        <f t="shared" si="2"/>
        <v>Estable</v>
      </c>
    </row>
    <row r="36" spans="1:32" x14ac:dyDescent="0.2">
      <c r="A36" s="121">
        <v>128</v>
      </c>
      <c r="B36" s="122" t="s">
        <v>956</v>
      </c>
      <c r="C36" s="123" t="s">
        <v>429</v>
      </c>
      <c r="D36" s="123" t="s">
        <v>17</v>
      </c>
      <c r="E36" s="124" t="s">
        <v>161</v>
      </c>
      <c r="F36" s="124" t="s">
        <v>446</v>
      </c>
      <c r="G36" s="124" t="s">
        <v>1002</v>
      </c>
      <c r="H36" s="122" t="s">
        <v>8</v>
      </c>
      <c r="I36" s="123">
        <v>21.14996</v>
      </c>
      <c r="J36" s="123">
        <v>-101.68823999999999</v>
      </c>
      <c r="K36" s="122" t="s">
        <v>139</v>
      </c>
      <c r="L36" s="125" t="str">
        <f t="shared" si="0"/>
        <v>Ver en Google Maps</v>
      </c>
      <c r="M36" s="122">
        <v>1</v>
      </c>
      <c r="N36" s="108">
        <v>45958</v>
      </c>
      <c r="O36" s="109">
        <f>DAY('BD2'!$N36)</f>
        <v>28</v>
      </c>
      <c r="P36" s="109">
        <f>MONTH('BD2'!$N36)</f>
        <v>10</v>
      </c>
      <c r="Q36" s="109">
        <f>YEAR('BD2'!$N36)</f>
        <v>2025</v>
      </c>
      <c r="R36" s="109">
        <v>2</v>
      </c>
      <c r="S36" s="109" t="s">
        <v>138</v>
      </c>
      <c r="T36" s="109" t="s">
        <v>138</v>
      </c>
      <c r="U36" s="109" t="s">
        <v>138</v>
      </c>
      <c r="V36" s="109" t="s">
        <v>138</v>
      </c>
      <c r="W36" s="109" t="s">
        <v>138</v>
      </c>
      <c r="X36" s="109" t="s">
        <v>138</v>
      </c>
      <c r="Y36" s="109" t="s">
        <v>138</v>
      </c>
      <c r="Z36" s="109" t="str">
        <f>IF('BD2'!$AA36 &lt; 14, "no", "si")</f>
        <v>si</v>
      </c>
      <c r="AA36" s="109">
        <v>74.7</v>
      </c>
      <c r="AB36" s="109">
        <v>43.4</v>
      </c>
      <c r="AC36" s="110" t="s">
        <v>967</v>
      </c>
      <c r="AD36" s="110" t="s">
        <v>954</v>
      </c>
      <c r="AE36" s="109">
        <f t="shared" si="1"/>
        <v>8</v>
      </c>
      <c r="AF36" s="111" t="str">
        <f t="shared" si="2"/>
        <v>Estable</v>
      </c>
    </row>
    <row r="37" spans="1:32" x14ac:dyDescent="0.2">
      <c r="A37" s="112">
        <v>131</v>
      </c>
      <c r="B37" s="113" t="s">
        <v>956</v>
      </c>
      <c r="C37" s="114" t="s">
        <v>429</v>
      </c>
      <c r="D37" s="114" t="s">
        <v>17</v>
      </c>
      <c r="E37" s="115" t="s">
        <v>162</v>
      </c>
      <c r="F37" s="115" t="s">
        <v>447</v>
      </c>
      <c r="G37" s="115" t="s">
        <v>1003</v>
      </c>
      <c r="H37" s="113" t="s">
        <v>8</v>
      </c>
      <c r="I37" s="114">
        <v>21.101050000000001</v>
      </c>
      <c r="J37" s="114">
        <v>-101.65532</v>
      </c>
      <c r="K37" s="113" t="s">
        <v>139</v>
      </c>
      <c r="L37" s="116" t="str">
        <f t="shared" si="0"/>
        <v>Ver en Google Maps</v>
      </c>
      <c r="M37" s="113">
        <v>1</v>
      </c>
      <c r="N37" s="117">
        <v>45960</v>
      </c>
      <c r="O37" s="118">
        <f>DAY('BD2'!$N37)</f>
        <v>30</v>
      </c>
      <c r="P37" s="118">
        <f>MONTH('BD2'!$N37)</f>
        <v>10</v>
      </c>
      <c r="Q37" s="118">
        <f>YEAR('BD2'!$N37)</f>
        <v>2025</v>
      </c>
      <c r="R37" s="118">
        <v>2</v>
      </c>
      <c r="S37" s="118" t="s">
        <v>138</v>
      </c>
      <c r="T37" s="118" t="s">
        <v>138</v>
      </c>
      <c r="U37" s="118" t="s">
        <v>138</v>
      </c>
      <c r="V37" s="118" t="s">
        <v>138</v>
      </c>
      <c r="W37" s="118" t="s">
        <v>138</v>
      </c>
      <c r="X37" s="118" t="s">
        <v>138</v>
      </c>
      <c r="Y37" s="118" t="s">
        <v>138</v>
      </c>
      <c r="Z37" s="118" t="str">
        <f>IF('BD2'!$AA37 &lt; 14, "no", "si")</f>
        <v>si</v>
      </c>
      <c r="AA37" s="118">
        <v>119</v>
      </c>
      <c r="AB37" s="118">
        <v>56.3</v>
      </c>
      <c r="AC37" s="119" t="s">
        <v>967</v>
      </c>
      <c r="AD37" s="119" t="s">
        <v>954</v>
      </c>
      <c r="AE37" s="118">
        <f t="shared" si="1"/>
        <v>8</v>
      </c>
      <c r="AF37" s="120" t="str">
        <f t="shared" si="2"/>
        <v>Estable</v>
      </c>
    </row>
    <row r="38" spans="1:32" x14ac:dyDescent="0.2">
      <c r="A38" s="121">
        <v>136</v>
      </c>
      <c r="B38" s="122" t="s">
        <v>956</v>
      </c>
      <c r="C38" s="123" t="s">
        <v>429</v>
      </c>
      <c r="D38" s="123" t="s">
        <v>17</v>
      </c>
      <c r="E38" s="124" t="s">
        <v>163</v>
      </c>
      <c r="F38" s="124" t="s">
        <v>448</v>
      </c>
      <c r="G38" s="124" t="s">
        <v>976</v>
      </c>
      <c r="H38" s="122" t="s">
        <v>8</v>
      </c>
      <c r="I38" s="123">
        <v>21.103629999999999</v>
      </c>
      <c r="J38" s="123">
        <v>-101.7011</v>
      </c>
      <c r="K38" s="122" t="s">
        <v>139</v>
      </c>
      <c r="L38" s="125" t="str">
        <f t="shared" si="0"/>
        <v>Ver en Google Maps</v>
      </c>
      <c r="M38" s="122">
        <v>1</v>
      </c>
      <c r="N38" s="108">
        <v>45964</v>
      </c>
      <c r="O38" s="109">
        <f>DAY('BD2'!$N38)</f>
        <v>3</v>
      </c>
      <c r="P38" s="109">
        <f>MONTH('BD2'!$N38)</f>
        <v>11</v>
      </c>
      <c r="Q38" s="109">
        <f>YEAR('BD2'!$N38)</f>
        <v>2025</v>
      </c>
      <c r="R38" s="109">
        <v>2</v>
      </c>
      <c r="S38" s="109" t="s">
        <v>138</v>
      </c>
      <c r="T38" s="109" t="s">
        <v>138</v>
      </c>
      <c r="U38" s="109" t="s">
        <v>138</v>
      </c>
      <c r="V38" s="109" t="s">
        <v>138</v>
      </c>
      <c r="W38" s="109" t="s">
        <v>138</v>
      </c>
      <c r="X38" s="109" t="s">
        <v>138</v>
      </c>
      <c r="Y38" s="109" t="s">
        <v>138</v>
      </c>
      <c r="Z38" s="109" t="str">
        <f>IF('BD2'!$AA38 &lt; 14, "no", "si")</f>
        <v>si</v>
      </c>
      <c r="AA38" s="109">
        <v>110</v>
      </c>
      <c r="AB38" s="109">
        <v>111</v>
      </c>
      <c r="AC38" s="110" t="s">
        <v>967</v>
      </c>
      <c r="AD38" s="110" t="s">
        <v>957</v>
      </c>
      <c r="AE38" s="109">
        <f t="shared" si="1"/>
        <v>8</v>
      </c>
      <c r="AF38" s="111" t="str">
        <f t="shared" si="2"/>
        <v>Estable</v>
      </c>
    </row>
    <row r="39" spans="1:32" x14ac:dyDescent="0.2">
      <c r="A39" s="112">
        <v>141</v>
      </c>
      <c r="B39" s="113" t="s">
        <v>956</v>
      </c>
      <c r="C39" s="114" t="s">
        <v>429</v>
      </c>
      <c r="D39" s="114" t="s">
        <v>17</v>
      </c>
      <c r="E39" s="115" t="s">
        <v>164</v>
      </c>
      <c r="F39" s="115" t="s">
        <v>449</v>
      </c>
      <c r="G39" s="115" t="s">
        <v>1004</v>
      </c>
      <c r="H39" s="113" t="s">
        <v>8</v>
      </c>
      <c r="I39" s="114">
        <v>21.11673</v>
      </c>
      <c r="J39" s="114">
        <v>-101.70174</v>
      </c>
      <c r="K39" s="113" t="s">
        <v>139</v>
      </c>
      <c r="L39" s="116" t="str">
        <f t="shared" si="0"/>
        <v>Ver en Google Maps</v>
      </c>
      <c r="M39" s="113">
        <v>1</v>
      </c>
      <c r="N39" s="117">
        <v>45965</v>
      </c>
      <c r="O39" s="118">
        <f>DAY('BD2'!$N39)</f>
        <v>4</v>
      </c>
      <c r="P39" s="118">
        <f>MONTH('BD2'!$N39)</f>
        <v>11</v>
      </c>
      <c r="Q39" s="118">
        <f>YEAR('BD2'!$N39)</f>
        <v>2025</v>
      </c>
      <c r="R39" s="118">
        <v>2</v>
      </c>
      <c r="S39" s="118" t="s">
        <v>138</v>
      </c>
      <c r="T39" s="118" t="s">
        <v>138</v>
      </c>
      <c r="U39" s="118" t="s">
        <v>138</v>
      </c>
      <c r="V39" s="118" t="s">
        <v>138</v>
      </c>
      <c r="W39" s="118" t="s">
        <v>138</v>
      </c>
      <c r="X39" s="118" t="s">
        <v>138</v>
      </c>
      <c r="Y39" s="118" t="s">
        <v>138</v>
      </c>
      <c r="Z39" s="118" t="str">
        <f>IF('BD2'!$AA39 &lt; 14, "no", "si")</f>
        <v>si</v>
      </c>
      <c r="AA39" s="118">
        <v>91.2</v>
      </c>
      <c r="AB39" s="118">
        <v>49.3</v>
      </c>
      <c r="AC39" s="119" t="s">
        <v>967</v>
      </c>
      <c r="AD39" s="119" t="s">
        <v>957</v>
      </c>
      <c r="AE39" s="118">
        <f t="shared" si="1"/>
        <v>8</v>
      </c>
      <c r="AF39" s="120" t="str">
        <f t="shared" si="2"/>
        <v>Estable</v>
      </c>
    </row>
    <row r="40" spans="1:32" x14ac:dyDescent="0.2">
      <c r="A40" s="121">
        <v>142</v>
      </c>
      <c r="B40" s="122" t="s">
        <v>956</v>
      </c>
      <c r="C40" s="123" t="s">
        <v>429</v>
      </c>
      <c r="D40" s="123" t="s">
        <v>17</v>
      </c>
      <c r="E40" s="124" t="s">
        <v>165</v>
      </c>
      <c r="F40" s="124" t="s">
        <v>450</v>
      </c>
      <c r="G40" s="124" t="s">
        <v>1005</v>
      </c>
      <c r="H40" s="122" t="s">
        <v>8</v>
      </c>
      <c r="I40" s="123">
        <v>21.127649999999999</v>
      </c>
      <c r="J40" s="123">
        <v>-101.64816</v>
      </c>
      <c r="K40" s="122" t="s">
        <v>139</v>
      </c>
      <c r="L40" s="125" t="str">
        <f t="shared" si="0"/>
        <v>Ver en Google Maps</v>
      </c>
      <c r="M40" s="122">
        <v>1</v>
      </c>
      <c r="N40" s="108">
        <v>45957</v>
      </c>
      <c r="O40" s="109">
        <f>DAY('BD2'!$N40)</f>
        <v>27</v>
      </c>
      <c r="P40" s="109">
        <f>MONTH('BD2'!$N40)</f>
        <v>10</v>
      </c>
      <c r="Q40" s="109">
        <f>YEAR('BD2'!$N40)</f>
        <v>2025</v>
      </c>
      <c r="R40" s="109">
        <v>2</v>
      </c>
      <c r="S40" s="109" t="s">
        <v>138</v>
      </c>
      <c r="T40" s="109" t="s">
        <v>138</v>
      </c>
      <c r="U40" s="109" t="s">
        <v>138</v>
      </c>
      <c r="V40" s="109" t="s">
        <v>138</v>
      </c>
      <c r="W40" s="109" t="s">
        <v>138</v>
      </c>
      <c r="X40" s="109" t="s">
        <v>138</v>
      </c>
      <c r="Y40" s="109" t="s">
        <v>138</v>
      </c>
      <c r="Z40" s="109" t="str">
        <f>IF('BD2'!$AA40 &lt; 14, "no", "si")</f>
        <v>si</v>
      </c>
      <c r="AA40" s="109">
        <v>98.2</v>
      </c>
      <c r="AB40" s="109">
        <v>78.599999999999994</v>
      </c>
      <c r="AC40" s="110" t="s">
        <v>967</v>
      </c>
      <c r="AD40" s="110" t="s">
        <v>954</v>
      </c>
      <c r="AE40" s="109">
        <f t="shared" si="1"/>
        <v>8</v>
      </c>
      <c r="AF40" s="111" t="str">
        <f t="shared" si="2"/>
        <v>Estable</v>
      </c>
    </row>
    <row r="41" spans="1:32" x14ac:dyDescent="0.2">
      <c r="A41" s="112">
        <v>144</v>
      </c>
      <c r="B41" s="113" t="s">
        <v>956</v>
      </c>
      <c r="C41" s="114" t="s">
        <v>429</v>
      </c>
      <c r="D41" s="114" t="s">
        <v>17</v>
      </c>
      <c r="E41" s="115" t="s">
        <v>166</v>
      </c>
      <c r="F41" s="115" t="s">
        <v>451</v>
      </c>
      <c r="G41" s="115" t="s">
        <v>1006</v>
      </c>
      <c r="H41" s="113" t="s">
        <v>8</v>
      </c>
      <c r="I41" s="114">
        <v>21.12003</v>
      </c>
      <c r="J41" s="114">
        <v>-101.70858</v>
      </c>
      <c r="K41" s="113" t="s">
        <v>139</v>
      </c>
      <c r="L41" s="116" t="str">
        <f t="shared" si="0"/>
        <v>Ver en Google Maps</v>
      </c>
      <c r="M41" s="113">
        <v>1</v>
      </c>
      <c r="N41" s="117">
        <v>45964</v>
      </c>
      <c r="O41" s="118">
        <f>DAY('BD2'!$N41)</f>
        <v>3</v>
      </c>
      <c r="P41" s="118">
        <f>MONTH('BD2'!$N41)</f>
        <v>11</v>
      </c>
      <c r="Q41" s="118">
        <f>YEAR('BD2'!$N41)</f>
        <v>2025</v>
      </c>
      <c r="R41" s="118">
        <v>2</v>
      </c>
      <c r="S41" s="118" t="s">
        <v>138</v>
      </c>
      <c r="T41" s="118" t="s">
        <v>138</v>
      </c>
      <c r="U41" s="118" t="s">
        <v>138</v>
      </c>
      <c r="V41" s="118" t="s">
        <v>138</v>
      </c>
      <c r="W41" s="118" t="s">
        <v>138</v>
      </c>
      <c r="X41" s="118" t="s">
        <v>138</v>
      </c>
      <c r="Y41" s="118" t="s">
        <v>138</v>
      </c>
      <c r="Z41" s="118" t="str">
        <f>IF('BD2'!$AA41 &lt; 14, "no", "si")</f>
        <v>si</v>
      </c>
      <c r="AA41" s="118">
        <v>73.099999999999994</v>
      </c>
      <c r="AB41" s="118">
        <v>26.5</v>
      </c>
      <c r="AC41" s="119" t="s">
        <v>967</v>
      </c>
      <c r="AD41" s="119" t="s">
        <v>954</v>
      </c>
      <c r="AE41" s="118">
        <f t="shared" si="1"/>
        <v>8</v>
      </c>
      <c r="AF41" s="120" t="str">
        <f t="shared" si="2"/>
        <v>Estable</v>
      </c>
    </row>
    <row r="42" spans="1:32" x14ac:dyDescent="0.2">
      <c r="A42" s="121">
        <v>146</v>
      </c>
      <c r="B42" s="122" t="s">
        <v>956</v>
      </c>
      <c r="C42" s="123" t="s">
        <v>429</v>
      </c>
      <c r="D42" s="123" t="s">
        <v>17</v>
      </c>
      <c r="E42" s="124" t="s">
        <v>167</v>
      </c>
      <c r="F42" s="124" t="s">
        <v>452</v>
      </c>
      <c r="G42" s="124" t="s">
        <v>1007</v>
      </c>
      <c r="H42" s="122" t="s">
        <v>8</v>
      </c>
      <c r="I42" s="123">
        <v>21.137309999999999</v>
      </c>
      <c r="J42" s="123">
        <v>-101.71594</v>
      </c>
      <c r="K42" s="122"/>
      <c r="L42" s="125" t="str">
        <f t="shared" si="0"/>
        <v>Ver en Google Maps</v>
      </c>
      <c r="M42" s="122">
        <v>1</v>
      </c>
      <c r="N42" s="130"/>
      <c r="O42" s="109"/>
      <c r="P42" s="109"/>
      <c r="Q42" s="109"/>
      <c r="R42" s="109"/>
      <c r="S42" s="109"/>
      <c r="T42" s="109"/>
      <c r="U42" s="109"/>
      <c r="V42" s="109"/>
      <c r="W42" s="109"/>
      <c r="X42" s="109"/>
      <c r="Y42" s="109"/>
      <c r="Z42" s="109"/>
      <c r="AA42" s="109"/>
      <c r="AB42" s="109"/>
      <c r="AC42" s="109"/>
      <c r="AD42" s="110"/>
      <c r="AE42" s="109"/>
      <c r="AF42" s="111"/>
    </row>
    <row r="43" spans="1:32" x14ac:dyDescent="0.2">
      <c r="A43" s="112">
        <v>147</v>
      </c>
      <c r="B43" s="113" t="s">
        <v>956</v>
      </c>
      <c r="C43" s="114" t="s">
        <v>429</v>
      </c>
      <c r="D43" s="114" t="s">
        <v>17</v>
      </c>
      <c r="E43" s="115" t="s">
        <v>168</v>
      </c>
      <c r="F43" s="115" t="s">
        <v>453</v>
      </c>
      <c r="G43" s="115" t="s">
        <v>1008</v>
      </c>
      <c r="H43" s="113" t="s">
        <v>8</v>
      </c>
      <c r="I43" s="114">
        <v>21.108720000000002</v>
      </c>
      <c r="J43" s="114">
        <v>-101.69521</v>
      </c>
      <c r="K43" s="113" t="s">
        <v>139</v>
      </c>
      <c r="L43" s="116" t="str">
        <f t="shared" si="0"/>
        <v>Ver en Google Maps</v>
      </c>
      <c r="M43" s="113">
        <v>1</v>
      </c>
      <c r="N43" s="117">
        <v>45965</v>
      </c>
      <c r="O43" s="118">
        <f>DAY('BD2'!$N43)</f>
        <v>4</v>
      </c>
      <c r="P43" s="118">
        <f>MONTH('BD2'!$N43)</f>
        <v>11</v>
      </c>
      <c r="Q43" s="118">
        <f>YEAR('BD2'!$N43)</f>
        <v>2025</v>
      </c>
      <c r="R43" s="118">
        <v>2</v>
      </c>
      <c r="S43" s="118" t="s">
        <v>138</v>
      </c>
      <c r="T43" s="118" t="s">
        <v>138</v>
      </c>
      <c r="U43" s="118" t="s">
        <v>138</v>
      </c>
      <c r="V43" s="118" t="s">
        <v>138</v>
      </c>
      <c r="W43" s="118" t="s">
        <v>138</v>
      </c>
      <c r="X43" s="118" t="s">
        <v>138</v>
      </c>
      <c r="Y43" s="118" t="s">
        <v>138</v>
      </c>
      <c r="Z43" s="118" t="str">
        <f>IF('BD2'!$AA43 &lt; 14, "no", "si")</f>
        <v>si</v>
      </c>
      <c r="AA43" s="118">
        <v>45.9</v>
      </c>
      <c r="AB43" s="118">
        <v>12.1</v>
      </c>
      <c r="AC43" s="119" t="s">
        <v>967</v>
      </c>
      <c r="AD43" s="119" t="s">
        <v>957</v>
      </c>
      <c r="AE43" s="118">
        <f t="shared" si="1"/>
        <v>8</v>
      </c>
      <c r="AF43" s="120" t="str">
        <f t="shared" si="2"/>
        <v>Estable</v>
      </c>
    </row>
    <row r="44" spans="1:32" x14ac:dyDescent="0.2">
      <c r="A44" s="121">
        <v>148</v>
      </c>
      <c r="B44" s="122" t="s">
        <v>956</v>
      </c>
      <c r="C44" s="123" t="s">
        <v>429</v>
      </c>
      <c r="D44" s="123" t="s">
        <v>17</v>
      </c>
      <c r="E44" s="124" t="s">
        <v>169</v>
      </c>
      <c r="F44" s="124" t="s">
        <v>454</v>
      </c>
      <c r="G44" s="124" t="s">
        <v>1009</v>
      </c>
      <c r="H44" s="122" t="s">
        <v>8</v>
      </c>
      <c r="I44" s="123">
        <v>21.134519999999998</v>
      </c>
      <c r="J44" s="123">
        <v>-101.70735000000001</v>
      </c>
      <c r="K44" s="122" t="s">
        <v>3057</v>
      </c>
      <c r="L44" s="125" t="str">
        <f t="shared" si="0"/>
        <v>Ver en Google Maps</v>
      </c>
      <c r="M44" s="122">
        <v>1</v>
      </c>
      <c r="N44" s="108"/>
      <c r="O44" s="109">
        <f>DAY('BD2'!$N44)</f>
        <v>0</v>
      </c>
      <c r="P44" s="109">
        <f>MONTH('BD2'!$N44)</f>
        <v>1</v>
      </c>
      <c r="Q44" s="109">
        <f>YEAR('BD2'!$N44)</f>
        <v>1900</v>
      </c>
      <c r="R44" s="109">
        <v>2</v>
      </c>
      <c r="S44" s="109"/>
      <c r="T44" s="109"/>
      <c r="U44" s="109"/>
      <c r="V44" s="109"/>
      <c r="W44" s="109"/>
      <c r="X44" s="109"/>
      <c r="Y44" s="109"/>
      <c r="Z44" s="109" t="str">
        <f>IF('BD2'!$AA44 &lt; 14, "no", "si")</f>
        <v>no</v>
      </c>
      <c r="AA44" s="109"/>
      <c r="AB44" s="109"/>
      <c r="AC44" s="110" t="s">
        <v>967</v>
      </c>
      <c r="AD44" s="110" t="s">
        <v>954</v>
      </c>
      <c r="AE44" s="109">
        <f t="shared" si="1"/>
        <v>0</v>
      </c>
      <c r="AF44" s="111" t="str">
        <f t="shared" si="2"/>
        <v>Crítico</v>
      </c>
    </row>
    <row r="45" spans="1:32" x14ac:dyDescent="0.2">
      <c r="A45" s="112">
        <v>149</v>
      </c>
      <c r="B45" s="113" t="s">
        <v>956</v>
      </c>
      <c r="C45" s="114" t="s">
        <v>429</v>
      </c>
      <c r="D45" s="114" t="s">
        <v>17</v>
      </c>
      <c r="E45" s="115" t="s">
        <v>170</v>
      </c>
      <c r="F45" s="115" t="s">
        <v>455</v>
      </c>
      <c r="G45" s="115" t="s">
        <v>1010</v>
      </c>
      <c r="H45" s="113" t="s">
        <v>8</v>
      </c>
      <c r="I45" s="114">
        <v>21.106089999999998</v>
      </c>
      <c r="J45" s="114">
        <v>-101.70782</v>
      </c>
      <c r="K45" s="113"/>
      <c r="L45" s="116" t="str">
        <f t="shared" si="0"/>
        <v>Ver en Google Maps</v>
      </c>
      <c r="M45" s="113">
        <v>2</v>
      </c>
      <c r="N45" s="129"/>
      <c r="O45" s="118"/>
      <c r="P45" s="118"/>
      <c r="Q45" s="118"/>
      <c r="R45" s="118"/>
      <c r="S45" s="118"/>
      <c r="T45" s="118"/>
      <c r="U45" s="118"/>
      <c r="V45" s="118"/>
      <c r="W45" s="118"/>
      <c r="X45" s="118"/>
      <c r="Y45" s="118"/>
      <c r="Z45" s="118"/>
      <c r="AA45" s="118"/>
      <c r="AB45" s="118"/>
      <c r="AC45" s="118"/>
      <c r="AD45" s="119"/>
      <c r="AE45" s="118"/>
      <c r="AF45" s="120"/>
    </row>
    <row r="46" spans="1:32" x14ac:dyDescent="0.2">
      <c r="A46" s="121">
        <v>163</v>
      </c>
      <c r="B46" s="122" t="s">
        <v>956</v>
      </c>
      <c r="C46" s="123" t="s">
        <v>429</v>
      </c>
      <c r="D46" s="123" t="s">
        <v>17</v>
      </c>
      <c r="E46" s="124" t="s">
        <v>171</v>
      </c>
      <c r="F46" s="124" t="s">
        <v>456</v>
      </c>
      <c r="G46" s="124" t="s">
        <v>1011</v>
      </c>
      <c r="H46" s="122" t="s">
        <v>8</v>
      </c>
      <c r="I46" s="123">
        <v>21.102589999999999</v>
      </c>
      <c r="J46" s="123">
        <v>-101.66410999999999</v>
      </c>
      <c r="K46" s="122" t="s">
        <v>139</v>
      </c>
      <c r="L46" s="125" t="str">
        <f t="shared" si="0"/>
        <v>Ver en Google Maps</v>
      </c>
      <c r="M46" s="122">
        <v>2</v>
      </c>
      <c r="N46" s="108">
        <v>45964</v>
      </c>
      <c r="O46" s="109">
        <f>DAY('BD2'!$N46)</f>
        <v>3</v>
      </c>
      <c r="P46" s="109">
        <f>MONTH('BD2'!$N46)</f>
        <v>11</v>
      </c>
      <c r="Q46" s="109">
        <f>YEAR('BD2'!$N46)</f>
        <v>2025</v>
      </c>
      <c r="R46" s="109">
        <v>2</v>
      </c>
      <c r="S46" s="109" t="s">
        <v>138</v>
      </c>
      <c r="T46" s="109" t="s">
        <v>138</v>
      </c>
      <c r="U46" s="109" t="s">
        <v>138</v>
      </c>
      <c r="V46" s="109" t="s">
        <v>138</v>
      </c>
      <c r="W46" s="109" t="s">
        <v>138</v>
      </c>
      <c r="X46" s="109" t="s">
        <v>138</v>
      </c>
      <c r="Y46" s="109" t="s">
        <v>138</v>
      </c>
      <c r="Z46" s="109" t="str">
        <f>IF('BD2'!$AA46 &lt; 14, "no", "si")</f>
        <v>si</v>
      </c>
      <c r="AA46" s="109">
        <v>93.7</v>
      </c>
      <c r="AB46" s="109">
        <v>67</v>
      </c>
      <c r="AC46" s="110" t="s">
        <v>967</v>
      </c>
      <c r="AD46" s="110" t="s">
        <v>954</v>
      </c>
      <c r="AE46" s="109">
        <f t="shared" si="1"/>
        <v>8</v>
      </c>
      <c r="AF46" s="111" t="str">
        <f t="shared" si="2"/>
        <v>Estable</v>
      </c>
    </row>
    <row r="47" spans="1:32" x14ac:dyDescent="0.2">
      <c r="A47" s="112">
        <v>164</v>
      </c>
      <c r="B47" s="113" t="s">
        <v>956</v>
      </c>
      <c r="C47" s="114" t="s">
        <v>429</v>
      </c>
      <c r="D47" s="114" t="s">
        <v>17</v>
      </c>
      <c r="E47" s="115" t="s">
        <v>172</v>
      </c>
      <c r="F47" s="115" t="s">
        <v>457</v>
      </c>
      <c r="G47" s="115" t="s">
        <v>1012</v>
      </c>
      <c r="H47" s="113" t="s">
        <v>8</v>
      </c>
      <c r="I47" s="114">
        <v>21.139299999999999</v>
      </c>
      <c r="J47" s="114">
        <v>-101.69745</v>
      </c>
      <c r="K47" s="113" t="s">
        <v>139</v>
      </c>
      <c r="L47" s="116" t="str">
        <f t="shared" si="0"/>
        <v>Ver en Google Maps</v>
      </c>
      <c r="M47" s="113">
        <v>2</v>
      </c>
      <c r="N47" s="117">
        <v>45958</v>
      </c>
      <c r="O47" s="118">
        <f>DAY('BD2'!$N47)</f>
        <v>28</v>
      </c>
      <c r="P47" s="118">
        <f>MONTH('BD2'!$N47)</f>
        <v>10</v>
      </c>
      <c r="Q47" s="118">
        <f>YEAR('BD2'!$N47)</f>
        <v>2025</v>
      </c>
      <c r="R47" s="118">
        <v>2</v>
      </c>
      <c r="S47" s="118" t="s">
        <v>138</v>
      </c>
      <c r="T47" s="118" t="s">
        <v>138</v>
      </c>
      <c r="U47" s="118" t="s">
        <v>138</v>
      </c>
      <c r="V47" s="118" t="s">
        <v>138</v>
      </c>
      <c r="W47" s="118" t="s">
        <v>138</v>
      </c>
      <c r="X47" s="118" t="s">
        <v>138</v>
      </c>
      <c r="Y47" s="118" t="s">
        <v>138</v>
      </c>
      <c r="Z47" s="118" t="str">
        <f>IF('BD2'!$AA47 &lt; 14, "no", "si")</f>
        <v>si</v>
      </c>
      <c r="AA47" s="118">
        <v>34.5</v>
      </c>
      <c r="AB47" s="118">
        <v>22.2</v>
      </c>
      <c r="AC47" s="119" t="s">
        <v>967</v>
      </c>
      <c r="AD47" s="119" t="s">
        <v>954</v>
      </c>
      <c r="AE47" s="118">
        <f t="shared" si="1"/>
        <v>8</v>
      </c>
      <c r="AF47" s="120" t="str">
        <f t="shared" si="2"/>
        <v>Estable</v>
      </c>
    </row>
    <row r="48" spans="1:32" x14ac:dyDescent="0.2">
      <c r="A48" s="121">
        <v>165</v>
      </c>
      <c r="B48" s="122" t="s">
        <v>956</v>
      </c>
      <c r="C48" s="123" t="s">
        <v>429</v>
      </c>
      <c r="D48" s="123" t="s">
        <v>17</v>
      </c>
      <c r="E48" s="124" t="s">
        <v>173</v>
      </c>
      <c r="F48" s="124" t="s">
        <v>458</v>
      </c>
      <c r="G48" s="124" t="s">
        <v>1013</v>
      </c>
      <c r="H48" s="122" t="s">
        <v>8</v>
      </c>
      <c r="I48" s="123">
        <v>21.079419999999999</v>
      </c>
      <c r="J48" s="123">
        <v>-101.65515000000001</v>
      </c>
      <c r="K48" s="122"/>
      <c r="L48" s="125" t="str">
        <f t="shared" si="0"/>
        <v>Ver en Google Maps</v>
      </c>
      <c r="M48" s="122">
        <v>1</v>
      </c>
      <c r="N48" s="130"/>
      <c r="O48" s="109"/>
      <c r="P48" s="109"/>
      <c r="Q48" s="109"/>
      <c r="R48" s="109"/>
      <c r="S48" s="109"/>
      <c r="T48" s="109"/>
      <c r="U48" s="109"/>
      <c r="V48" s="109"/>
      <c r="W48" s="109"/>
      <c r="X48" s="109"/>
      <c r="Y48" s="109"/>
      <c r="Z48" s="109"/>
      <c r="AA48" s="109"/>
      <c r="AB48" s="109"/>
      <c r="AC48" s="109"/>
      <c r="AD48" s="110"/>
      <c r="AE48" s="109"/>
      <c r="AF48" s="111"/>
    </row>
    <row r="49" spans="1:32" x14ac:dyDescent="0.2">
      <c r="A49" s="112">
        <v>187</v>
      </c>
      <c r="B49" s="113" t="s">
        <v>956</v>
      </c>
      <c r="C49" s="114" t="s">
        <v>429</v>
      </c>
      <c r="D49" s="114" t="s">
        <v>17</v>
      </c>
      <c r="E49" s="115" t="s">
        <v>174</v>
      </c>
      <c r="F49" s="115" t="s">
        <v>459</v>
      </c>
      <c r="G49" s="115" t="s">
        <v>23</v>
      </c>
      <c r="H49" s="113" t="s">
        <v>8</v>
      </c>
      <c r="I49" s="114">
        <v>21.09562</v>
      </c>
      <c r="J49" s="114">
        <v>-101.71724</v>
      </c>
      <c r="K49" s="113"/>
      <c r="L49" s="116" t="str">
        <f t="shared" si="0"/>
        <v>Ver en Google Maps</v>
      </c>
      <c r="M49" s="113">
        <v>1</v>
      </c>
      <c r="N49" s="129"/>
      <c r="O49" s="118"/>
      <c r="P49" s="118"/>
      <c r="Q49" s="118"/>
      <c r="R49" s="118"/>
      <c r="S49" s="118"/>
      <c r="T49" s="118"/>
      <c r="U49" s="118"/>
      <c r="V49" s="118"/>
      <c r="W49" s="118"/>
      <c r="X49" s="118"/>
      <c r="Y49" s="118"/>
      <c r="Z49" s="118"/>
      <c r="AA49" s="118"/>
      <c r="AB49" s="118"/>
      <c r="AC49" s="118"/>
      <c r="AD49" s="119"/>
      <c r="AE49" s="118"/>
      <c r="AF49" s="120"/>
    </row>
    <row r="50" spans="1:32" x14ac:dyDescent="0.2">
      <c r="A50" s="121">
        <v>190</v>
      </c>
      <c r="B50" s="122" t="s">
        <v>956</v>
      </c>
      <c r="C50" s="123" t="s">
        <v>429</v>
      </c>
      <c r="D50" s="123" t="s">
        <v>17</v>
      </c>
      <c r="E50" s="124" t="s">
        <v>175</v>
      </c>
      <c r="F50" s="124" t="s">
        <v>460</v>
      </c>
      <c r="G50" s="124" t="s">
        <v>1014</v>
      </c>
      <c r="H50" s="122" t="s">
        <v>8</v>
      </c>
      <c r="I50" s="123">
        <v>21.093883999999999</v>
      </c>
      <c r="J50" s="123">
        <v>-101.695656</v>
      </c>
      <c r="K50" s="122"/>
      <c r="L50" s="125" t="str">
        <f t="shared" si="0"/>
        <v>Ver en Google Maps</v>
      </c>
      <c r="M50" s="122">
        <v>1</v>
      </c>
      <c r="N50" s="130"/>
      <c r="O50" s="109"/>
      <c r="P50" s="109"/>
      <c r="Q50" s="109"/>
      <c r="R50" s="109"/>
      <c r="S50" s="109"/>
      <c r="T50" s="109"/>
      <c r="U50" s="109"/>
      <c r="V50" s="109"/>
      <c r="W50" s="109"/>
      <c r="X50" s="109"/>
      <c r="Y50" s="109"/>
      <c r="Z50" s="109"/>
      <c r="AA50" s="109"/>
      <c r="AB50" s="109"/>
      <c r="AC50" s="109"/>
      <c r="AD50" s="110"/>
      <c r="AE50" s="109"/>
      <c r="AF50" s="111"/>
    </row>
    <row r="51" spans="1:32" x14ac:dyDescent="0.2">
      <c r="A51" s="112">
        <v>191</v>
      </c>
      <c r="B51" s="113" t="s">
        <v>956</v>
      </c>
      <c r="C51" s="114" t="s">
        <v>429</v>
      </c>
      <c r="D51" s="114" t="s">
        <v>17</v>
      </c>
      <c r="E51" s="115" t="s">
        <v>176</v>
      </c>
      <c r="F51" s="115" t="s">
        <v>461</v>
      </c>
      <c r="G51" s="115" t="s">
        <v>1015</v>
      </c>
      <c r="H51" s="113" t="s">
        <v>8</v>
      </c>
      <c r="I51" s="114">
        <v>21.10941</v>
      </c>
      <c r="J51" s="114">
        <v>-101.70592000000001</v>
      </c>
      <c r="K51" s="113"/>
      <c r="L51" s="116" t="str">
        <f t="shared" si="0"/>
        <v>Ver en Google Maps</v>
      </c>
      <c r="M51" s="113">
        <v>1</v>
      </c>
      <c r="N51" s="129"/>
      <c r="O51" s="118"/>
      <c r="P51" s="118"/>
      <c r="Q51" s="118"/>
      <c r="R51" s="118"/>
      <c r="S51" s="118"/>
      <c r="T51" s="118"/>
      <c r="U51" s="118"/>
      <c r="V51" s="118"/>
      <c r="W51" s="118"/>
      <c r="X51" s="118"/>
      <c r="Y51" s="118"/>
      <c r="Z51" s="118"/>
      <c r="AA51" s="118"/>
      <c r="AB51" s="118"/>
      <c r="AC51" s="118"/>
      <c r="AD51" s="119"/>
      <c r="AE51" s="118"/>
      <c r="AF51" s="120"/>
    </row>
    <row r="52" spans="1:32" x14ac:dyDescent="0.2">
      <c r="A52" s="121">
        <v>198</v>
      </c>
      <c r="B52" s="122" t="s">
        <v>956</v>
      </c>
      <c r="C52" s="123" t="s">
        <v>429</v>
      </c>
      <c r="D52" s="123" t="s">
        <v>17</v>
      </c>
      <c r="E52" s="124" t="s">
        <v>24</v>
      </c>
      <c r="F52" s="124" t="s">
        <v>462</v>
      </c>
      <c r="G52" s="124" t="s">
        <v>1016</v>
      </c>
      <c r="H52" s="122" t="s">
        <v>8</v>
      </c>
      <c r="I52" s="123">
        <v>21.087012000000001</v>
      </c>
      <c r="J52" s="123">
        <v>-101.63592800000001</v>
      </c>
      <c r="K52" s="122"/>
      <c r="L52" s="125" t="str">
        <f t="shared" si="0"/>
        <v>Ver en Google Maps</v>
      </c>
      <c r="M52" s="122">
        <v>1</v>
      </c>
      <c r="N52" s="130"/>
      <c r="O52" s="109"/>
      <c r="P52" s="109"/>
      <c r="Q52" s="109"/>
      <c r="R52" s="109"/>
      <c r="S52" s="109"/>
      <c r="T52" s="109"/>
      <c r="U52" s="109"/>
      <c r="V52" s="109"/>
      <c r="W52" s="109"/>
      <c r="X52" s="109"/>
      <c r="Y52" s="109"/>
      <c r="Z52" s="109"/>
      <c r="AA52" s="109"/>
      <c r="AB52" s="109"/>
      <c r="AC52" s="109"/>
      <c r="AD52" s="110"/>
      <c r="AE52" s="109"/>
      <c r="AF52" s="111"/>
    </row>
    <row r="53" spans="1:32" x14ac:dyDescent="0.2">
      <c r="A53" s="112">
        <v>199</v>
      </c>
      <c r="B53" s="113" t="s">
        <v>956</v>
      </c>
      <c r="C53" s="114" t="s">
        <v>429</v>
      </c>
      <c r="D53" s="114" t="s">
        <v>17</v>
      </c>
      <c r="E53" s="115" t="s">
        <v>25</v>
      </c>
      <c r="F53" s="115" t="s">
        <v>463</v>
      </c>
      <c r="G53" s="115" t="s">
        <v>1017</v>
      </c>
      <c r="H53" s="113" t="s">
        <v>8</v>
      </c>
      <c r="I53" s="114">
        <v>21.070202999999999</v>
      </c>
      <c r="J53" s="114">
        <v>-101.586367</v>
      </c>
      <c r="K53" s="113"/>
      <c r="L53" s="116" t="str">
        <f t="shared" si="0"/>
        <v>Ver en Google Maps</v>
      </c>
      <c r="M53" s="113">
        <v>1</v>
      </c>
      <c r="N53" s="129"/>
      <c r="O53" s="118"/>
      <c r="P53" s="118"/>
      <c r="Q53" s="118"/>
      <c r="R53" s="118"/>
      <c r="S53" s="118"/>
      <c r="T53" s="118"/>
      <c r="U53" s="118"/>
      <c r="V53" s="118"/>
      <c r="W53" s="118"/>
      <c r="X53" s="118"/>
      <c r="Y53" s="118"/>
      <c r="Z53" s="118"/>
      <c r="AA53" s="118"/>
      <c r="AB53" s="118"/>
      <c r="AC53" s="118"/>
      <c r="AD53" s="119"/>
      <c r="AE53" s="118"/>
      <c r="AF53" s="120"/>
    </row>
    <row r="54" spans="1:32" x14ac:dyDescent="0.2">
      <c r="A54" s="121">
        <v>200</v>
      </c>
      <c r="B54" s="122" t="s">
        <v>956</v>
      </c>
      <c r="C54" s="123" t="s">
        <v>429</v>
      </c>
      <c r="D54" s="123" t="s">
        <v>17</v>
      </c>
      <c r="E54" s="124" t="s">
        <v>26</v>
      </c>
      <c r="F54" s="124" t="s">
        <v>464</v>
      </c>
      <c r="G54" s="124" t="s">
        <v>1018</v>
      </c>
      <c r="H54" s="122" t="s">
        <v>8</v>
      </c>
      <c r="I54" s="123">
        <v>21.11598</v>
      </c>
      <c r="J54" s="123">
        <v>-101.58891</v>
      </c>
      <c r="K54" s="122" t="s">
        <v>139</v>
      </c>
      <c r="L54" s="125" t="str">
        <f t="shared" si="0"/>
        <v>Ver en Google Maps</v>
      </c>
      <c r="M54" s="122">
        <v>1</v>
      </c>
      <c r="N54" s="108">
        <v>45957</v>
      </c>
      <c r="O54" s="109">
        <f>DAY('BD2'!$N54)</f>
        <v>27</v>
      </c>
      <c r="P54" s="109">
        <f>MONTH('BD2'!$N54)</f>
        <v>10</v>
      </c>
      <c r="Q54" s="109">
        <f>YEAR('BD2'!$N54)</f>
        <v>2025</v>
      </c>
      <c r="R54" s="109">
        <v>2</v>
      </c>
      <c r="S54" s="109" t="s">
        <v>138</v>
      </c>
      <c r="T54" s="109" t="s">
        <v>138</v>
      </c>
      <c r="U54" s="109" t="s">
        <v>138</v>
      </c>
      <c r="V54" s="109" t="s">
        <v>138</v>
      </c>
      <c r="W54" s="109" t="s">
        <v>138</v>
      </c>
      <c r="X54" s="109" t="s">
        <v>138</v>
      </c>
      <c r="Y54" s="109" t="s">
        <v>138</v>
      </c>
      <c r="Z54" s="109" t="str">
        <f>IF('BD2'!$AA54 &lt; 14, "no", "si")</f>
        <v>si</v>
      </c>
      <c r="AA54" s="109">
        <v>83.7</v>
      </c>
      <c r="AB54" s="109">
        <v>31.2</v>
      </c>
      <c r="AC54" s="110" t="s">
        <v>967</v>
      </c>
      <c r="AD54" s="110" t="s">
        <v>954</v>
      </c>
      <c r="AE54" s="109">
        <f t="shared" si="1"/>
        <v>8</v>
      </c>
      <c r="AF54" s="111" t="str">
        <f t="shared" si="2"/>
        <v>Estable</v>
      </c>
    </row>
    <row r="55" spans="1:32" x14ac:dyDescent="0.2">
      <c r="A55" s="112">
        <v>202</v>
      </c>
      <c r="B55" s="113" t="s">
        <v>956</v>
      </c>
      <c r="C55" s="114" t="s">
        <v>429</v>
      </c>
      <c r="D55" s="114" t="s">
        <v>17</v>
      </c>
      <c r="E55" s="115" t="s">
        <v>27</v>
      </c>
      <c r="F55" s="115" t="s">
        <v>465</v>
      </c>
      <c r="G55" s="115" t="s">
        <v>1019</v>
      </c>
      <c r="H55" s="113" t="s">
        <v>8</v>
      </c>
      <c r="I55" s="114">
        <v>21.115290000000002</v>
      </c>
      <c r="J55" s="114">
        <v>-101.72177000000001</v>
      </c>
      <c r="K55" s="113" t="s">
        <v>139</v>
      </c>
      <c r="L55" s="116" t="str">
        <f t="shared" si="0"/>
        <v>Ver en Google Maps</v>
      </c>
      <c r="M55" s="113">
        <v>1</v>
      </c>
      <c r="N55" s="117">
        <v>45964</v>
      </c>
      <c r="O55" s="118">
        <f>DAY('BD2'!$N55)</f>
        <v>3</v>
      </c>
      <c r="P55" s="118">
        <f>MONTH('BD2'!$N55)</f>
        <v>11</v>
      </c>
      <c r="Q55" s="118">
        <f>YEAR('BD2'!$N55)</f>
        <v>2025</v>
      </c>
      <c r="R55" s="118">
        <v>2</v>
      </c>
      <c r="S55" s="118" t="s">
        <v>138</v>
      </c>
      <c r="T55" s="118" t="s">
        <v>138</v>
      </c>
      <c r="U55" s="118" t="s">
        <v>138</v>
      </c>
      <c r="V55" s="118" t="s">
        <v>138</v>
      </c>
      <c r="W55" s="118" t="s">
        <v>138</v>
      </c>
      <c r="X55" s="118" t="s">
        <v>138</v>
      </c>
      <c r="Y55" s="118" t="s">
        <v>934</v>
      </c>
      <c r="Z55" s="118" t="str">
        <f>IF('BD2'!$AA55 &lt; 14, "no", "si")</f>
        <v>si</v>
      </c>
      <c r="AA55" s="118">
        <v>98.1</v>
      </c>
      <c r="AB55" s="118">
        <v>36.799999999999997</v>
      </c>
      <c r="AC55" s="119" t="s">
        <v>967</v>
      </c>
      <c r="AD55" s="119" t="s">
        <v>954</v>
      </c>
      <c r="AE55" s="118">
        <f t="shared" si="1"/>
        <v>7</v>
      </c>
      <c r="AF55" s="120" t="str">
        <f t="shared" si="2"/>
        <v>Funcional con observaciones</v>
      </c>
    </row>
    <row r="56" spans="1:32" x14ac:dyDescent="0.2">
      <c r="A56" s="121">
        <v>203</v>
      </c>
      <c r="B56" s="122" t="s">
        <v>956</v>
      </c>
      <c r="C56" s="123" t="s">
        <v>429</v>
      </c>
      <c r="D56" s="123" t="s">
        <v>17</v>
      </c>
      <c r="E56" s="124" t="s">
        <v>28</v>
      </c>
      <c r="F56" s="124" t="s">
        <v>466</v>
      </c>
      <c r="G56" s="124" t="s">
        <v>29</v>
      </c>
      <c r="H56" s="122" t="s">
        <v>8</v>
      </c>
      <c r="I56" s="123">
        <v>21.092079999999999</v>
      </c>
      <c r="J56" s="123">
        <v>-101.65698999999999</v>
      </c>
      <c r="K56" s="122"/>
      <c r="L56" s="125" t="str">
        <f t="shared" si="0"/>
        <v>Ver en Google Maps</v>
      </c>
      <c r="M56" s="122">
        <v>1</v>
      </c>
      <c r="N56" s="130"/>
      <c r="O56" s="109"/>
      <c r="P56" s="109"/>
      <c r="Q56" s="109"/>
      <c r="R56" s="109"/>
      <c r="S56" s="109"/>
      <c r="T56" s="109"/>
      <c r="U56" s="109"/>
      <c r="V56" s="109"/>
      <c r="W56" s="109"/>
      <c r="X56" s="109"/>
      <c r="Y56" s="109"/>
      <c r="Z56" s="109"/>
      <c r="AA56" s="109"/>
      <c r="AB56" s="109"/>
      <c r="AC56" s="109"/>
      <c r="AD56" s="110"/>
      <c r="AE56" s="109"/>
      <c r="AF56" s="111"/>
    </row>
    <row r="57" spans="1:32" x14ac:dyDescent="0.2">
      <c r="A57" s="112">
        <v>204</v>
      </c>
      <c r="B57" s="113" t="s">
        <v>956</v>
      </c>
      <c r="C57" s="114" t="s">
        <v>429</v>
      </c>
      <c r="D57" s="114" t="s">
        <v>17</v>
      </c>
      <c r="E57" s="115" t="s">
        <v>30</v>
      </c>
      <c r="F57" s="115" t="s">
        <v>467</v>
      </c>
      <c r="G57" s="115" t="s">
        <v>1020</v>
      </c>
      <c r="H57" s="113" t="s">
        <v>8</v>
      </c>
      <c r="I57" s="114">
        <v>21.115172000000001</v>
      </c>
      <c r="J57" s="114">
        <v>-101.63907</v>
      </c>
      <c r="K57" s="113" t="s">
        <v>139</v>
      </c>
      <c r="L57" s="116" t="str">
        <f t="shared" si="0"/>
        <v>Ver en Google Maps</v>
      </c>
      <c r="M57" s="113">
        <v>1</v>
      </c>
      <c r="N57" s="117">
        <v>45957</v>
      </c>
      <c r="O57" s="118">
        <f>DAY('BD2'!$N57)</f>
        <v>27</v>
      </c>
      <c r="P57" s="118">
        <f>MONTH('BD2'!$N57)</f>
        <v>10</v>
      </c>
      <c r="Q57" s="118">
        <f>YEAR('BD2'!$N57)</f>
        <v>2025</v>
      </c>
      <c r="R57" s="118">
        <v>2</v>
      </c>
      <c r="S57" s="118" t="s">
        <v>138</v>
      </c>
      <c r="T57" s="118" t="s">
        <v>138</v>
      </c>
      <c r="U57" s="118" t="s">
        <v>138</v>
      </c>
      <c r="V57" s="118" t="s">
        <v>138</v>
      </c>
      <c r="W57" s="118" t="s">
        <v>138</v>
      </c>
      <c r="X57" s="118" t="s">
        <v>138</v>
      </c>
      <c r="Y57" s="118" t="s">
        <v>138</v>
      </c>
      <c r="Z57" s="118" t="str">
        <f>IF('BD2'!$AA57 &lt; 14, "no", "si")</f>
        <v>si</v>
      </c>
      <c r="AA57" s="118">
        <v>83.2</v>
      </c>
      <c r="AB57" s="118">
        <v>22.1</v>
      </c>
      <c r="AC57" s="119" t="s">
        <v>967</v>
      </c>
      <c r="AD57" s="119" t="s">
        <v>954</v>
      </c>
      <c r="AE57" s="118">
        <f t="shared" si="1"/>
        <v>8</v>
      </c>
      <c r="AF57" s="120" t="str">
        <f t="shared" si="2"/>
        <v>Estable</v>
      </c>
    </row>
    <row r="58" spans="1:32" x14ac:dyDescent="0.2">
      <c r="A58" s="121">
        <v>205</v>
      </c>
      <c r="B58" s="122" t="s">
        <v>956</v>
      </c>
      <c r="C58" s="123" t="s">
        <v>429</v>
      </c>
      <c r="D58" s="123" t="s">
        <v>17</v>
      </c>
      <c r="E58" s="124" t="s">
        <v>31</v>
      </c>
      <c r="F58" s="124" t="s">
        <v>468</v>
      </c>
      <c r="G58" s="124" t="s">
        <v>1021</v>
      </c>
      <c r="H58" s="122" t="s">
        <v>8</v>
      </c>
      <c r="I58" s="123">
        <v>21.096679999999999</v>
      </c>
      <c r="J58" s="123">
        <v>-101.74957000000001</v>
      </c>
      <c r="K58" s="122"/>
      <c r="L58" s="125" t="str">
        <f t="shared" si="0"/>
        <v>Ver en Google Maps</v>
      </c>
      <c r="M58" s="122">
        <v>1</v>
      </c>
      <c r="N58" s="130"/>
      <c r="O58" s="109"/>
      <c r="P58" s="109"/>
      <c r="Q58" s="109"/>
      <c r="R58" s="109"/>
      <c r="S58" s="109"/>
      <c r="T58" s="109"/>
      <c r="U58" s="109"/>
      <c r="V58" s="109"/>
      <c r="W58" s="109"/>
      <c r="X58" s="109"/>
      <c r="Y58" s="109"/>
      <c r="Z58" s="109"/>
      <c r="AA58" s="109"/>
      <c r="AB58" s="109"/>
      <c r="AC58" s="109"/>
      <c r="AD58" s="110"/>
      <c r="AE58" s="109"/>
      <c r="AF58" s="111"/>
    </row>
    <row r="59" spans="1:32" x14ac:dyDescent="0.2">
      <c r="A59" s="112">
        <v>206</v>
      </c>
      <c r="B59" s="113" t="s">
        <v>956</v>
      </c>
      <c r="C59" s="114" t="s">
        <v>429</v>
      </c>
      <c r="D59" s="114" t="s">
        <v>17</v>
      </c>
      <c r="E59" s="115" t="s">
        <v>32</v>
      </c>
      <c r="F59" s="115" t="s">
        <v>469</v>
      </c>
      <c r="G59" s="115" t="s">
        <v>1022</v>
      </c>
      <c r="H59" s="113" t="s">
        <v>8</v>
      </c>
      <c r="I59" s="114">
        <v>21.094989999999999</v>
      </c>
      <c r="J59" s="114">
        <v>-101.72033999999999</v>
      </c>
      <c r="K59" s="113"/>
      <c r="L59" s="116" t="str">
        <f t="shared" si="0"/>
        <v>Ver en Google Maps</v>
      </c>
      <c r="M59" s="113">
        <v>1</v>
      </c>
      <c r="N59" s="129"/>
      <c r="O59" s="118"/>
      <c r="P59" s="118"/>
      <c r="Q59" s="118"/>
      <c r="R59" s="118"/>
      <c r="S59" s="118"/>
      <c r="T59" s="118"/>
      <c r="U59" s="118"/>
      <c r="V59" s="118"/>
      <c r="W59" s="118"/>
      <c r="X59" s="118"/>
      <c r="Y59" s="118"/>
      <c r="Z59" s="118"/>
      <c r="AA59" s="118"/>
      <c r="AB59" s="118"/>
      <c r="AC59" s="118"/>
      <c r="AD59" s="119"/>
      <c r="AE59" s="118"/>
      <c r="AF59" s="120"/>
    </row>
    <row r="60" spans="1:32" x14ac:dyDescent="0.2">
      <c r="A60" s="121">
        <v>208</v>
      </c>
      <c r="B60" s="122" t="s">
        <v>956</v>
      </c>
      <c r="C60" s="123" t="s">
        <v>429</v>
      </c>
      <c r="D60" s="123" t="s">
        <v>17</v>
      </c>
      <c r="E60" s="124" t="s">
        <v>33</v>
      </c>
      <c r="F60" s="124" t="s">
        <v>470</v>
      </c>
      <c r="G60" s="124" t="s">
        <v>1023</v>
      </c>
      <c r="H60" s="122" t="s">
        <v>8</v>
      </c>
      <c r="I60" s="123">
        <v>21.061246000000001</v>
      </c>
      <c r="J60" s="123">
        <v>-101.61919399999999</v>
      </c>
      <c r="K60" s="122"/>
      <c r="L60" s="125" t="str">
        <f t="shared" si="0"/>
        <v>Ver en Google Maps</v>
      </c>
      <c r="M60" s="122">
        <v>2</v>
      </c>
      <c r="N60" s="130"/>
      <c r="O60" s="109"/>
      <c r="P60" s="109"/>
      <c r="Q60" s="109"/>
      <c r="R60" s="109"/>
      <c r="S60" s="109"/>
      <c r="T60" s="109"/>
      <c r="U60" s="109"/>
      <c r="V60" s="109"/>
      <c r="W60" s="109"/>
      <c r="X60" s="109"/>
      <c r="Y60" s="109"/>
      <c r="Z60" s="109"/>
      <c r="AA60" s="109"/>
      <c r="AB60" s="109"/>
      <c r="AC60" s="109"/>
      <c r="AD60" s="110"/>
      <c r="AE60" s="109"/>
      <c r="AF60" s="111"/>
    </row>
    <row r="61" spans="1:32" x14ac:dyDescent="0.2">
      <c r="A61" s="112">
        <v>211</v>
      </c>
      <c r="B61" s="113" t="s">
        <v>956</v>
      </c>
      <c r="C61" s="114" t="s">
        <v>429</v>
      </c>
      <c r="D61" s="114" t="s">
        <v>16</v>
      </c>
      <c r="E61" s="115" t="s">
        <v>177</v>
      </c>
      <c r="F61" s="115" t="s">
        <v>471</v>
      </c>
      <c r="G61" s="115" t="s">
        <v>1024</v>
      </c>
      <c r="H61" s="113" t="s">
        <v>8</v>
      </c>
      <c r="I61" s="114">
        <v>21.134679999999999</v>
      </c>
      <c r="J61" s="114">
        <v>-101.66621000000001</v>
      </c>
      <c r="K61" s="113" t="s">
        <v>139</v>
      </c>
      <c r="L61" s="116" t="str">
        <f t="shared" si="0"/>
        <v>Ver en Google Maps</v>
      </c>
      <c r="M61" s="113">
        <v>1</v>
      </c>
      <c r="N61" s="117">
        <v>45954</v>
      </c>
      <c r="O61" s="118">
        <f>DAY('BD2'!$N61)</f>
        <v>24</v>
      </c>
      <c r="P61" s="118">
        <f>MONTH('BD2'!$N61)</f>
        <v>10</v>
      </c>
      <c r="Q61" s="118">
        <f>YEAR('BD2'!$N61)</f>
        <v>2025</v>
      </c>
      <c r="R61" s="118">
        <v>2</v>
      </c>
      <c r="S61" s="118" t="s">
        <v>138</v>
      </c>
      <c r="T61" s="118" t="s">
        <v>138</v>
      </c>
      <c r="U61" s="118" t="s">
        <v>138</v>
      </c>
      <c r="V61" s="118" t="s">
        <v>138</v>
      </c>
      <c r="W61" s="118" t="s">
        <v>138</v>
      </c>
      <c r="X61" s="118" t="s">
        <v>138</v>
      </c>
      <c r="Y61" s="118" t="s">
        <v>138</v>
      </c>
      <c r="Z61" s="118" t="str">
        <f>IF('BD2'!$AA61 &lt; 14, "no", "si")</f>
        <v>no</v>
      </c>
      <c r="AA61" s="118">
        <v>13</v>
      </c>
      <c r="AB61" s="118">
        <v>11.3</v>
      </c>
      <c r="AC61" s="119" t="s">
        <v>969</v>
      </c>
      <c r="AD61" s="119" t="s">
        <v>954</v>
      </c>
      <c r="AE61" s="118">
        <f t="shared" si="1"/>
        <v>7</v>
      </c>
      <c r="AF61" s="120" t="str">
        <f t="shared" si="2"/>
        <v>Funcional con observaciones</v>
      </c>
    </row>
    <row r="62" spans="1:32" x14ac:dyDescent="0.2">
      <c r="A62" s="121">
        <v>212</v>
      </c>
      <c r="B62" s="122" t="s">
        <v>956</v>
      </c>
      <c r="C62" s="123" t="s">
        <v>429</v>
      </c>
      <c r="D62" s="123" t="s">
        <v>17</v>
      </c>
      <c r="E62" s="124" t="s">
        <v>34</v>
      </c>
      <c r="F62" s="124" t="s">
        <v>472</v>
      </c>
      <c r="G62" s="124" t="s">
        <v>1025</v>
      </c>
      <c r="H62" s="122" t="s">
        <v>8</v>
      </c>
      <c r="I62" s="123">
        <v>21.12049</v>
      </c>
      <c r="J62" s="123">
        <v>-101.63503</v>
      </c>
      <c r="K62" s="122" t="s">
        <v>139</v>
      </c>
      <c r="L62" s="125" t="str">
        <f t="shared" si="0"/>
        <v>Ver en Google Maps</v>
      </c>
      <c r="M62" s="122">
        <v>1</v>
      </c>
      <c r="N62" s="108">
        <v>45955</v>
      </c>
      <c r="O62" s="109">
        <f>DAY('BD2'!$N62)</f>
        <v>25</v>
      </c>
      <c r="P62" s="109">
        <f>MONTH('BD2'!$N62)</f>
        <v>10</v>
      </c>
      <c r="Q62" s="109">
        <f>YEAR('BD2'!$N62)</f>
        <v>2025</v>
      </c>
      <c r="R62" s="109">
        <v>2</v>
      </c>
      <c r="S62" s="109" t="s">
        <v>138</v>
      </c>
      <c r="T62" s="109" t="s">
        <v>138</v>
      </c>
      <c r="U62" s="109" t="s">
        <v>138</v>
      </c>
      <c r="V62" s="109" t="s">
        <v>138</v>
      </c>
      <c r="W62" s="109" t="s">
        <v>138</v>
      </c>
      <c r="X62" s="109" t="s">
        <v>138</v>
      </c>
      <c r="Y62" s="109" t="s">
        <v>138</v>
      </c>
      <c r="Z62" s="109" t="str">
        <f>IF('BD2'!$AA62 &lt; 14, "no", "si")</f>
        <v>no</v>
      </c>
      <c r="AA62" s="109">
        <v>1.47</v>
      </c>
      <c r="AB62" s="109">
        <v>1.63</v>
      </c>
      <c r="AC62" s="110" t="s">
        <v>967</v>
      </c>
      <c r="AD62" s="110" t="s">
        <v>954</v>
      </c>
      <c r="AE62" s="109">
        <f t="shared" si="1"/>
        <v>7</v>
      </c>
      <c r="AF62" s="111" t="str">
        <f t="shared" si="2"/>
        <v>Funcional con observaciones</v>
      </c>
    </row>
    <row r="63" spans="1:32" x14ac:dyDescent="0.2">
      <c r="A63" s="112">
        <v>213</v>
      </c>
      <c r="B63" s="113" t="s">
        <v>956</v>
      </c>
      <c r="C63" s="114" t="s">
        <v>429</v>
      </c>
      <c r="D63" s="114" t="s">
        <v>17</v>
      </c>
      <c r="E63" s="115" t="s">
        <v>35</v>
      </c>
      <c r="F63" s="115" t="s">
        <v>473</v>
      </c>
      <c r="G63" s="115" t="s">
        <v>1026</v>
      </c>
      <c r="H63" s="113" t="s">
        <v>8</v>
      </c>
      <c r="I63" s="114">
        <v>21.096160000000001</v>
      </c>
      <c r="J63" s="114">
        <v>-101.63831</v>
      </c>
      <c r="K63" s="113"/>
      <c r="L63" s="116" t="str">
        <f t="shared" si="0"/>
        <v>Ver en Google Maps</v>
      </c>
      <c r="M63" s="113">
        <v>2</v>
      </c>
      <c r="N63" s="129"/>
      <c r="O63" s="118"/>
      <c r="P63" s="118"/>
      <c r="Q63" s="118"/>
      <c r="R63" s="118"/>
      <c r="S63" s="118"/>
      <c r="T63" s="118"/>
      <c r="U63" s="118"/>
      <c r="V63" s="118"/>
      <c r="W63" s="118"/>
      <c r="X63" s="118"/>
      <c r="Y63" s="118"/>
      <c r="Z63" s="118"/>
      <c r="AA63" s="118"/>
      <c r="AB63" s="118"/>
      <c r="AC63" s="118"/>
      <c r="AD63" s="119"/>
      <c r="AE63" s="118"/>
      <c r="AF63" s="120"/>
    </row>
    <row r="64" spans="1:32" x14ac:dyDescent="0.2">
      <c r="A64" s="121">
        <v>214</v>
      </c>
      <c r="B64" s="122" t="s">
        <v>956</v>
      </c>
      <c r="C64" s="123" t="s">
        <v>429</v>
      </c>
      <c r="D64" s="123" t="s">
        <v>17</v>
      </c>
      <c r="E64" s="124" t="s">
        <v>36</v>
      </c>
      <c r="F64" s="124" t="s">
        <v>474</v>
      </c>
      <c r="G64" s="124" t="s">
        <v>1027</v>
      </c>
      <c r="H64" s="122" t="s">
        <v>8</v>
      </c>
      <c r="I64" s="123">
        <v>21.084489999999999</v>
      </c>
      <c r="J64" s="123">
        <v>-101.61864</v>
      </c>
      <c r="K64" s="122"/>
      <c r="L64" s="125" t="str">
        <f t="shared" si="0"/>
        <v>Ver en Google Maps</v>
      </c>
      <c r="M64" s="122">
        <v>1</v>
      </c>
      <c r="N64" s="117"/>
      <c r="O64" s="109"/>
      <c r="P64" s="109"/>
      <c r="Q64" s="109"/>
      <c r="R64" s="109"/>
      <c r="S64" s="109"/>
      <c r="T64" s="109"/>
      <c r="U64" s="109"/>
      <c r="V64" s="109"/>
      <c r="W64" s="109"/>
      <c r="X64" s="109"/>
      <c r="Y64" s="109"/>
      <c r="Z64" s="109"/>
      <c r="AA64" s="109"/>
      <c r="AB64" s="109"/>
      <c r="AC64" s="110"/>
      <c r="AD64" s="110"/>
      <c r="AE64" s="109"/>
      <c r="AF64" s="111"/>
    </row>
    <row r="65" spans="1:32" x14ac:dyDescent="0.2">
      <c r="A65" s="112">
        <v>215</v>
      </c>
      <c r="B65" s="113" t="s">
        <v>956</v>
      </c>
      <c r="C65" s="114" t="s">
        <v>429</v>
      </c>
      <c r="D65" s="114" t="s">
        <v>17</v>
      </c>
      <c r="E65" s="115" t="s">
        <v>37</v>
      </c>
      <c r="F65" s="115" t="s">
        <v>475</v>
      </c>
      <c r="G65" s="115" t="s">
        <v>1028</v>
      </c>
      <c r="H65" s="113" t="s">
        <v>8</v>
      </c>
      <c r="I65" s="114">
        <v>21.108889999999999</v>
      </c>
      <c r="J65" s="114">
        <v>-101.72598000000001</v>
      </c>
      <c r="K65" s="113" t="s">
        <v>139</v>
      </c>
      <c r="L65" s="116" t="str">
        <f t="shared" si="0"/>
        <v>Ver en Google Maps</v>
      </c>
      <c r="M65" s="113">
        <v>1</v>
      </c>
      <c r="N65" s="117">
        <v>45964</v>
      </c>
      <c r="O65" s="118">
        <f>DAY('BD2'!$N65)</f>
        <v>3</v>
      </c>
      <c r="P65" s="118">
        <f>MONTH('BD2'!$N65)</f>
        <v>11</v>
      </c>
      <c r="Q65" s="118">
        <f>YEAR('BD2'!$N65)</f>
        <v>2025</v>
      </c>
      <c r="R65" s="118">
        <v>2</v>
      </c>
      <c r="S65" s="118" t="s">
        <v>138</v>
      </c>
      <c r="T65" s="118" t="s">
        <v>138</v>
      </c>
      <c r="U65" s="118" t="s">
        <v>138</v>
      </c>
      <c r="V65" s="118" t="s">
        <v>138</v>
      </c>
      <c r="W65" s="118" t="s">
        <v>138</v>
      </c>
      <c r="X65" s="118" t="s">
        <v>138</v>
      </c>
      <c r="Y65" s="118" t="s">
        <v>138</v>
      </c>
      <c r="Z65" s="118" t="str">
        <f>IF('BD2'!$AA65 &lt; 14, "no", "si")</f>
        <v>no</v>
      </c>
      <c r="AA65" s="118">
        <v>12.1</v>
      </c>
      <c r="AB65" s="118">
        <v>8.02</v>
      </c>
      <c r="AC65" s="119" t="s">
        <v>3140</v>
      </c>
      <c r="AD65" s="119" t="s">
        <v>954</v>
      </c>
      <c r="AE65" s="118">
        <f t="shared" si="1"/>
        <v>7</v>
      </c>
      <c r="AF65" s="120" t="str">
        <f t="shared" si="2"/>
        <v>Funcional con observaciones</v>
      </c>
    </row>
    <row r="66" spans="1:32" x14ac:dyDescent="0.2">
      <c r="A66" s="121">
        <v>216</v>
      </c>
      <c r="B66" s="122" t="s">
        <v>956</v>
      </c>
      <c r="C66" s="123" t="s">
        <v>429</v>
      </c>
      <c r="D66" s="123" t="s">
        <v>17</v>
      </c>
      <c r="E66" s="124" t="s">
        <v>38</v>
      </c>
      <c r="F66" s="124" t="s">
        <v>476</v>
      </c>
      <c r="G66" s="124" t="s">
        <v>73</v>
      </c>
      <c r="H66" s="122" t="s">
        <v>8</v>
      </c>
      <c r="I66" s="123">
        <v>21.110849999999999</v>
      </c>
      <c r="J66" s="123">
        <v>-101.63195</v>
      </c>
      <c r="K66" s="122" t="s">
        <v>139</v>
      </c>
      <c r="L66" s="125" t="str">
        <f t="shared" si="0"/>
        <v>Ver en Google Maps</v>
      </c>
      <c r="M66" s="122">
        <v>1</v>
      </c>
      <c r="N66" s="108">
        <v>45957</v>
      </c>
      <c r="O66" s="109">
        <f>DAY('BD2'!$N66)</f>
        <v>27</v>
      </c>
      <c r="P66" s="109">
        <f>MONTH('BD2'!$N66)</f>
        <v>10</v>
      </c>
      <c r="Q66" s="109">
        <f>YEAR('BD2'!$N66)</f>
        <v>2025</v>
      </c>
      <c r="R66" s="109">
        <v>2</v>
      </c>
      <c r="S66" s="109" t="s">
        <v>138</v>
      </c>
      <c r="T66" s="109" t="s">
        <v>138</v>
      </c>
      <c r="U66" s="109" t="s">
        <v>138</v>
      </c>
      <c r="V66" s="109" t="s">
        <v>138</v>
      </c>
      <c r="W66" s="109" t="s">
        <v>138</v>
      </c>
      <c r="X66" s="109" t="s">
        <v>138</v>
      </c>
      <c r="Y66" s="109" t="s">
        <v>138</v>
      </c>
      <c r="Z66" s="109" t="str">
        <f>IF('BD2'!$AA66 &lt; 14, "no", "si")</f>
        <v>si</v>
      </c>
      <c r="AA66" s="109">
        <v>93.5</v>
      </c>
      <c r="AB66" s="109">
        <v>52.4</v>
      </c>
      <c r="AC66" s="110" t="s">
        <v>967</v>
      </c>
      <c r="AD66" s="110" t="s">
        <v>954</v>
      </c>
      <c r="AE66" s="109">
        <f t="shared" si="1"/>
        <v>8</v>
      </c>
      <c r="AF66" s="111" t="str">
        <f t="shared" si="2"/>
        <v>Estable</v>
      </c>
    </row>
    <row r="67" spans="1:32" x14ac:dyDescent="0.2">
      <c r="A67" s="112">
        <v>217</v>
      </c>
      <c r="B67" s="113" t="s">
        <v>956</v>
      </c>
      <c r="C67" s="114" t="s">
        <v>429</v>
      </c>
      <c r="D67" s="114" t="s">
        <v>17</v>
      </c>
      <c r="E67" s="115" t="s">
        <v>39</v>
      </c>
      <c r="F67" s="115" t="s">
        <v>477</v>
      </c>
      <c r="G67" s="115" t="s">
        <v>1029</v>
      </c>
      <c r="H67" s="113" t="s">
        <v>8</v>
      </c>
      <c r="I67" s="114">
        <v>21.11504</v>
      </c>
      <c r="J67" s="114">
        <v>-101.70041000000001</v>
      </c>
      <c r="K67" s="113" t="s">
        <v>3057</v>
      </c>
      <c r="L67" s="116" t="str">
        <f t="shared" ref="L67:L130" si="3">HYPERLINK("https://www.google.com/maps?q=" &amp; I67 &amp; "," &amp; J67, "Ver en Google Maps")</f>
        <v>Ver en Google Maps</v>
      </c>
      <c r="M67" s="113">
        <v>1</v>
      </c>
      <c r="N67" s="117"/>
      <c r="O67" s="118">
        <f>DAY('BD2'!$N67)</f>
        <v>0</v>
      </c>
      <c r="P67" s="118">
        <f>MONTH('BD2'!$N67)</f>
        <v>1</v>
      </c>
      <c r="Q67" s="118">
        <f>YEAR('BD2'!$N67)</f>
        <v>1900</v>
      </c>
      <c r="R67" s="118">
        <v>2</v>
      </c>
      <c r="S67" s="118"/>
      <c r="T67" s="118"/>
      <c r="U67" s="118"/>
      <c r="V67" s="118"/>
      <c r="W67" s="118"/>
      <c r="X67" s="118"/>
      <c r="Y67" s="118"/>
      <c r="Z67" s="118" t="str">
        <f>IF('BD2'!$AA67 &lt; 14, "no", "si")</f>
        <v>no</v>
      </c>
      <c r="AA67" s="118"/>
      <c r="AB67" s="118"/>
      <c r="AC67" s="119" t="s">
        <v>967</v>
      </c>
      <c r="AD67" s="119" t="s">
        <v>957</v>
      </c>
      <c r="AE67" s="118">
        <f t="shared" ref="AE67:AE130" si="4">COUNTIF(S67:Z67, "si")</f>
        <v>0</v>
      </c>
      <c r="AF67" s="120" t="str">
        <f t="shared" si="2"/>
        <v>Crítico</v>
      </c>
    </row>
    <row r="68" spans="1:32" x14ac:dyDescent="0.2">
      <c r="A68" s="121">
        <v>222</v>
      </c>
      <c r="B68" s="122" t="s">
        <v>956</v>
      </c>
      <c r="C68" s="123" t="s">
        <v>429</v>
      </c>
      <c r="D68" s="123" t="s">
        <v>17</v>
      </c>
      <c r="E68" s="124" t="s">
        <v>178</v>
      </c>
      <c r="F68" s="124" t="s">
        <v>478</v>
      </c>
      <c r="G68" s="124" t="s">
        <v>1030</v>
      </c>
      <c r="H68" s="122" t="s">
        <v>8</v>
      </c>
      <c r="I68" s="123">
        <v>21.143049999999999</v>
      </c>
      <c r="J68" s="123">
        <v>-101.67734</v>
      </c>
      <c r="K68" s="122" t="s">
        <v>139</v>
      </c>
      <c r="L68" s="125" t="str">
        <f t="shared" si="3"/>
        <v>Ver en Google Maps</v>
      </c>
      <c r="M68" s="122">
        <v>1</v>
      </c>
      <c r="N68" s="108">
        <v>45952</v>
      </c>
      <c r="O68" s="109">
        <f>DAY('BD2'!$N68)</f>
        <v>22</v>
      </c>
      <c r="P68" s="109">
        <f>MONTH('BD2'!$N68)</f>
        <v>10</v>
      </c>
      <c r="Q68" s="109">
        <f>YEAR('BD2'!$N68)</f>
        <v>2025</v>
      </c>
      <c r="R68" s="109">
        <v>2</v>
      </c>
      <c r="S68" s="109" t="s">
        <v>138</v>
      </c>
      <c r="T68" s="109" t="s">
        <v>138</v>
      </c>
      <c r="U68" s="109" t="s">
        <v>138</v>
      </c>
      <c r="V68" s="109" t="s">
        <v>138</v>
      </c>
      <c r="W68" s="109" t="s">
        <v>138</v>
      </c>
      <c r="X68" s="109" t="s">
        <v>138</v>
      </c>
      <c r="Y68" s="109" t="s">
        <v>138</v>
      </c>
      <c r="Z68" s="109" t="str">
        <f>IF('BD2'!$AA68 &lt; 14, "no", "si")</f>
        <v>si</v>
      </c>
      <c r="AA68" s="109">
        <v>56.8</v>
      </c>
      <c r="AB68" s="109">
        <v>42.8</v>
      </c>
      <c r="AC68" s="110" t="s">
        <v>967</v>
      </c>
      <c r="AD68" s="110" t="s">
        <v>954</v>
      </c>
      <c r="AE68" s="109">
        <f t="shared" si="4"/>
        <v>8</v>
      </c>
      <c r="AF68" s="111" t="str">
        <f t="shared" ref="AF68:AF131" si="5">IF(AE68=8,"Estable",(IF(AE68=7,"Funcional con observaciones", (IF(AE68=6,"Funcional con observaciones",(IF(AE68=5,"Rendimiento bajo",(IF(AE68=4,"Parcialmente funcional",(IF(AE68=3,"Parcialmente funcional",(IF(AE68=2,"Inoperativo",(IF(AE68=1,"Inoperativo","Crítico")))))))))))))))</f>
        <v>Estable</v>
      </c>
    </row>
    <row r="69" spans="1:32" x14ac:dyDescent="0.2">
      <c r="A69" s="112">
        <v>224</v>
      </c>
      <c r="B69" s="113" t="s">
        <v>956</v>
      </c>
      <c r="C69" s="114" t="s">
        <v>429</v>
      </c>
      <c r="D69" s="114" t="s">
        <v>17</v>
      </c>
      <c r="E69" s="115" t="s">
        <v>179</v>
      </c>
      <c r="F69" s="115" t="s">
        <v>479</v>
      </c>
      <c r="G69" s="115" t="s">
        <v>1031</v>
      </c>
      <c r="H69" s="113" t="s">
        <v>8</v>
      </c>
      <c r="I69" s="114">
        <v>21.143439999999998</v>
      </c>
      <c r="J69" s="114">
        <v>-101.70083</v>
      </c>
      <c r="K69" s="113" t="s">
        <v>139</v>
      </c>
      <c r="L69" s="116" t="str">
        <f t="shared" si="3"/>
        <v>Ver en Google Maps</v>
      </c>
      <c r="M69" s="113">
        <v>1</v>
      </c>
      <c r="N69" s="117">
        <v>45958</v>
      </c>
      <c r="O69" s="118">
        <f>DAY('BD2'!$N69)</f>
        <v>28</v>
      </c>
      <c r="P69" s="118">
        <f>MONTH('BD2'!$N69)</f>
        <v>10</v>
      </c>
      <c r="Q69" s="118">
        <f>YEAR('BD2'!$N69)</f>
        <v>2025</v>
      </c>
      <c r="R69" s="118">
        <v>2</v>
      </c>
      <c r="S69" s="118" t="s">
        <v>138</v>
      </c>
      <c r="T69" s="118" t="s">
        <v>138</v>
      </c>
      <c r="U69" s="118" t="s">
        <v>138</v>
      </c>
      <c r="V69" s="118" t="s">
        <v>138</v>
      </c>
      <c r="W69" s="118" t="s">
        <v>138</v>
      </c>
      <c r="X69" s="118" t="s">
        <v>138</v>
      </c>
      <c r="Y69" s="118" t="s">
        <v>138</v>
      </c>
      <c r="Z69" s="118" t="str">
        <f>IF('BD2'!$AA69 &lt; 14, "no", "si")</f>
        <v>si</v>
      </c>
      <c r="AA69" s="118">
        <v>23.5</v>
      </c>
      <c r="AB69" s="118">
        <v>3.07</v>
      </c>
      <c r="AC69" s="119" t="s">
        <v>967</v>
      </c>
      <c r="AD69" s="119" t="s">
        <v>954</v>
      </c>
      <c r="AE69" s="118">
        <f t="shared" si="4"/>
        <v>8</v>
      </c>
      <c r="AF69" s="120" t="str">
        <f t="shared" si="5"/>
        <v>Estable</v>
      </c>
    </row>
    <row r="70" spans="1:32" x14ac:dyDescent="0.2">
      <c r="A70" s="121">
        <v>230</v>
      </c>
      <c r="B70" s="122" t="s">
        <v>956</v>
      </c>
      <c r="C70" s="123" t="s">
        <v>429</v>
      </c>
      <c r="D70" s="123" t="s">
        <v>17</v>
      </c>
      <c r="E70" s="124" t="s">
        <v>40</v>
      </c>
      <c r="F70" s="124" t="s">
        <v>480</v>
      </c>
      <c r="G70" s="124" t="s">
        <v>41</v>
      </c>
      <c r="H70" s="122" t="s">
        <v>8</v>
      </c>
      <c r="I70" s="123">
        <v>21.057790000000001</v>
      </c>
      <c r="J70" s="123">
        <v>-101.63623</v>
      </c>
      <c r="K70" s="122"/>
      <c r="L70" s="125" t="str">
        <f t="shared" si="3"/>
        <v>Ver en Google Maps</v>
      </c>
      <c r="M70" s="122">
        <v>1</v>
      </c>
      <c r="N70" s="130"/>
      <c r="O70" s="109"/>
      <c r="P70" s="109"/>
      <c r="Q70" s="109"/>
      <c r="R70" s="109"/>
      <c r="S70" s="109"/>
      <c r="T70" s="109"/>
      <c r="U70" s="109"/>
      <c r="V70" s="109"/>
      <c r="W70" s="109"/>
      <c r="X70" s="109"/>
      <c r="Y70" s="109"/>
      <c r="Z70" s="109"/>
      <c r="AA70" s="109"/>
      <c r="AB70" s="109"/>
      <c r="AC70" s="109"/>
      <c r="AD70" s="110"/>
      <c r="AE70" s="109"/>
      <c r="AF70" s="111"/>
    </row>
    <row r="71" spans="1:32" x14ac:dyDescent="0.2">
      <c r="A71" s="112">
        <v>231</v>
      </c>
      <c r="B71" s="113" t="s">
        <v>956</v>
      </c>
      <c r="C71" s="114" t="s">
        <v>429</v>
      </c>
      <c r="D71" s="114" t="s">
        <v>17</v>
      </c>
      <c r="E71" s="115" t="s">
        <v>180</v>
      </c>
      <c r="F71" s="115" t="s">
        <v>481</v>
      </c>
      <c r="G71" s="115" t="s">
        <v>1032</v>
      </c>
      <c r="H71" s="113" t="s">
        <v>8</v>
      </c>
      <c r="I71" s="114">
        <v>21.140080000000001</v>
      </c>
      <c r="J71" s="114">
        <v>-101.75378000000001</v>
      </c>
      <c r="K71" s="113" t="s">
        <v>139</v>
      </c>
      <c r="L71" s="116" t="str">
        <f t="shared" si="3"/>
        <v>Ver en Google Maps</v>
      </c>
      <c r="M71" s="113">
        <v>1</v>
      </c>
      <c r="N71" s="117">
        <v>45960</v>
      </c>
      <c r="O71" s="118">
        <f>DAY('BD2'!$N71)</f>
        <v>30</v>
      </c>
      <c r="P71" s="118">
        <f>MONTH('BD2'!$N71)</f>
        <v>10</v>
      </c>
      <c r="Q71" s="118">
        <f>YEAR('BD2'!$N71)</f>
        <v>2025</v>
      </c>
      <c r="R71" s="118">
        <v>2</v>
      </c>
      <c r="S71" s="118" t="s">
        <v>138</v>
      </c>
      <c r="T71" s="118" t="s">
        <v>138</v>
      </c>
      <c r="U71" s="118" t="s">
        <v>138</v>
      </c>
      <c r="V71" s="118" t="s">
        <v>138</v>
      </c>
      <c r="W71" s="118" t="s">
        <v>138</v>
      </c>
      <c r="X71" s="118" t="s">
        <v>138</v>
      </c>
      <c r="Y71" s="118" t="s">
        <v>934</v>
      </c>
      <c r="Z71" s="118" t="str">
        <f>IF('BD2'!$AA71 &lt; 14, "no", "si")</f>
        <v>si</v>
      </c>
      <c r="AA71" s="118">
        <v>69.2</v>
      </c>
      <c r="AB71" s="118">
        <v>28.9</v>
      </c>
      <c r="AC71" s="119" t="s">
        <v>3118</v>
      </c>
      <c r="AD71" s="119" t="s">
        <v>957</v>
      </c>
      <c r="AE71" s="118">
        <f t="shared" si="4"/>
        <v>7</v>
      </c>
      <c r="AF71" s="120" t="str">
        <f t="shared" si="5"/>
        <v>Funcional con observaciones</v>
      </c>
    </row>
    <row r="72" spans="1:32" x14ac:dyDescent="0.2">
      <c r="A72" s="121">
        <v>233</v>
      </c>
      <c r="B72" s="122" t="s">
        <v>956</v>
      </c>
      <c r="C72" s="123" t="s">
        <v>429</v>
      </c>
      <c r="D72" s="123" t="s">
        <v>17</v>
      </c>
      <c r="E72" s="124" t="s">
        <v>181</v>
      </c>
      <c r="F72" s="124" t="s">
        <v>482</v>
      </c>
      <c r="G72" s="124" t="s">
        <v>1033</v>
      </c>
      <c r="H72" s="122" t="s">
        <v>8</v>
      </c>
      <c r="I72" s="123">
        <v>21.142942000000001</v>
      </c>
      <c r="J72" s="123">
        <v>-101.73758599999999</v>
      </c>
      <c r="K72" s="122" t="s">
        <v>139</v>
      </c>
      <c r="L72" s="125" t="str">
        <f t="shared" si="3"/>
        <v>Ver en Google Maps</v>
      </c>
      <c r="M72" s="122">
        <v>1</v>
      </c>
      <c r="N72" s="108">
        <v>45960</v>
      </c>
      <c r="O72" s="109">
        <f>DAY('BD2'!$N72)</f>
        <v>30</v>
      </c>
      <c r="P72" s="109">
        <f>MONTH('BD2'!$N72)</f>
        <v>10</v>
      </c>
      <c r="Q72" s="109">
        <f>YEAR('BD2'!$N72)</f>
        <v>2025</v>
      </c>
      <c r="R72" s="109">
        <v>2</v>
      </c>
      <c r="S72" s="109" t="s">
        <v>138</v>
      </c>
      <c r="T72" s="109" t="s">
        <v>138</v>
      </c>
      <c r="U72" s="109" t="s">
        <v>138</v>
      </c>
      <c r="V72" s="109" t="s">
        <v>138</v>
      </c>
      <c r="W72" s="109" t="s">
        <v>138</v>
      </c>
      <c r="X72" s="109" t="s">
        <v>138</v>
      </c>
      <c r="Y72" s="109" t="s">
        <v>138</v>
      </c>
      <c r="Z72" s="109" t="str">
        <f>IF('BD2'!$AA72 &lt; 14, "no", "si")</f>
        <v>si</v>
      </c>
      <c r="AA72" s="109">
        <v>112</v>
      </c>
      <c r="AB72" s="109">
        <v>107</v>
      </c>
      <c r="AC72" s="110" t="s">
        <v>967</v>
      </c>
      <c r="AD72" s="110" t="s">
        <v>954</v>
      </c>
      <c r="AE72" s="109">
        <f t="shared" si="4"/>
        <v>8</v>
      </c>
      <c r="AF72" s="111" t="str">
        <f t="shared" si="5"/>
        <v>Estable</v>
      </c>
    </row>
    <row r="73" spans="1:32" x14ac:dyDescent="0.2">
      <c r="A73" s="112">
        <v>234</v>
      </c>
      <c r="B73" s="113" t="s">
        <v>956</v>
      </c>
      <c r="C73" s="114" t="s">
        <v>429</v>
      </c>
      <c r="D73" s="114" t="s">
        <v>17</v>
      </c>
      <c r="E73" s="115" t="s">
        <v>42</v>
      </c>
      <c r="F73" s="115" t="s">
        <v>483</v>
      </c>
      <c r="G73" s="115" t="s">
        <v>43</v>
      </c>
      <c r="H73" s="113" t="s">
        <v>8</v>
      </c>
      <c r="I73" s="114">
        <v>21.129259999999999</v>
      </c>
      <c r="J73" s="114">
        <v>-101.59872</v>
      </c>
      <c r="K73" s="113" t="s">
        <v>139</v>
      </c>
      <c r="L73" s="116" t="str">
        <f t="shared" si="3"/>
        <v>Ver en Google Maps</v>
      </c>
      <c r="M73" s="113">
        <v>1</v>
      </c>
      <c r="N73" s="117">
        <v>45957</v>
      </c>
      <c r="O73" s="118">
        <f>DAY('BD2'!$N73)</f>
        <v>27</v>
      </c>
      <c r="P73" s="118">
        <f>MONTH('BD2'!$N73)</f>
        <v>10</v>
      </c>
      <c r="Q73" s="118">
        <f>YEAR('BD2'!$N73)</f>
        <v>2025</v>
      </c>
      <c r="R73" s="118">
        <v>2</v>
      </c>
      <c r="S73" s="118" t="s">
        <v>138</v>
      </c>
      <c r="T73" s="118" t="s">
        <v>138</v>
      </c>
      <c r="U73" s="118" t="s">
        <v>138</v>
      </c>
      <c r="V73" s="118" t="s">
        <v>138</v>
      </c>
      <c r="W73" s="118" t="s">
        <v>138</v>
      </c>
      <c r="X73" s="118" t="s">
        <v>138</v>
      </c>
      <c r="Y73" s="118" t="s">
        <v>138</v>
      </c>
      <c r="Z73" s="118" t="str">
        <f>IF('BD2'!$AA73 &lt; 14, "no", "si")</f>
        <v>si</v>
      </c>
      <c r="AA73" s="118">
        <v>76.8</v>
      </c>
      <c r="AB73" s="118">
        <v>12.3</v>
      </c>
      <c r="AC73" s="119" t="s">
        <v>967</v>
      </c>
      <c r="AD73" s="119" t="s">
        <v>954</v>
      </c>
      <c r="AE73" s="118">
        <f t="shared" si="4"/>
        <v>8</v>
      </c>
      <c r="AF73" s="120" t="str">
        <f t="shared" si="5"/>
        <v>Estable</v>
      </c>
    </row>
    <row r="74" spans="1:32" x14ac:dyDescent="0.2">
      <c r="A74" s="121">
        <v>235</v>
      </c>
      <c r="B74" s="122" t="s">
        <v>956</v>
      </c>
      <c r="C74" s="123" t="s">
        <v>429</v>
      </c>
      <c r="D74" s="123" t="s">
        <v>17</v>
      </c>
      <c r="E74" s="124" t="s">
        <v>44</v>
      </c>
      <c r="F74" s="124" t="s">
        <v>484</v>
      </c>
      <c r="G74" s="124" t="s">
        <v>1034</v>
      </c>
      <c r="H74" s="122" t="s">
        <v>8</v>
      </c>
      <c r="I74" s="123">
        <v>21.092600000000001</v>
      </c>
      <c r="J74" s="123">
        <v>-101.64812999999999</v>
      </c>
      <c r="K74" s="122"/>
      <c r="L74" s="125" t="str">
        <f t="shared" si="3"/>
        <v>Ver en Google Maps</v>
      </c>
      <c r="M74" s="122">
        <v>1</v>
      </c>
      <c r="N74" s="130"/>
      <c r="O74" s="109"/>
      <c r="P74" s="109"/>
      <c r="Q74" s="109"/>
      <c r="R74" s="109"/>
      <c r="S74" s="109"/>
      <c r="T74" s="109"/>
      <c r="U74" s="109"/>
      <c r="V74" s="109"/>
      <c r="W74" s="109"/>
      <c r="X74" s="109"/>
      <c r="Y74" s="109"/>
      <c r="Z74" s="109"/>
      <c r="AA74" s="109"/>
      <c r="AB74" s="109"/>
      <c r="AC74" s="109"/>
      <c r="AD74" s="110"/>
      <c r="AE74" s="109"/>
      <c r="AF74" s="111"/>
    </row>
    <row r="75" spans="1:32" x14ac:dyDescent="0.2">
      <c r="A75" s="112">
        <v>241</v>
      </c>
      <c r="B75" s="113" t="s">
        <v>956</v>
      </c>
      <c r="C75" s="114" t="s">
        <v>429</v>
      </c>
      <c r="D75" s="114" t="s">
        <v>17</v>
      </c>
      <c r="E75" s="115" t="s">
        <v>182</v>
      </c>
      <c r="F75" s="115" t="s">
        <v>485</v>
      </c>
      <c r="G75" s="115" t="s">
        <v>979</v>
      </c>
      <c r="H75" s="113" t="s">
        <v>8</v>
      </c>
      <c r="I75" s="114">
        <v>21.128907000000002</v>
      </c>
      <c r="J75" s="114">
        <v>-101.638987</v>
      </c>
      <c r="K75" s="113" t="s">
        <v>139</v>
      </c>
      <c r="L75" s="116" t="str">
        <f t="shared" si="3"/>
        <v>Ver en Google Maps</v>
      </c>
      <c r="M75" s="113">
        <v>1</v>
      </c>
      <c r="N75" s="117">
        <v>45955</v>
      </c>
      <c r="O75" s="118">
        <f>DAY('BD2'!$N75)</f>
        <v>25</v>
      </c>
      <c r="P75" s="118">
        <f>MONTH('BD2'!$N75)</f>
        <v>10</v>
      </c>
      <c r="Q75" s="118">
        <f>YEAR('BD2'!$N75)</f>
        <v>2025</v>
      </c>
      <c r="R75" s="118">
        <v>2</v>
      </c>
      <c r="S75" s="118" t="s">
        <v>138</v>
      </c>
      <c r="T75" s="118" t="s">
        <v>138</v>
      </c>
      <c r="U75" s="118" t="s">
        <v>138</v>
      </c>
      <c r="V75" s="118" t="s">
        <v>138</v>
      </c>
      <c r="W75" s="118" t="s">
        <v>138</v>
      </c>
      <c r="X75" s="118" t="s">
        <v>138</v>
      </c>
      <c r="Y75" s="118" t="s">
        <v>138</v>
      </c>
      <c r="Z75" s="118" t="str">
        <f>IF('BD2'!$AA75 &lt; 14, "no", "si")</f>
        <v>si</v>
      </c>
      <c r="AA75" s="118">
        <v>30.8</v>
      </c>
      <c r="AB75" s="118">
        <v>15.3</v>
      </c>
      <c r="AC75" s="119" t="s">
        <v>967</v>
      </c>
      <c r="AD75" s="119" t="s">
        <v>954</v>
      </c>
      <c r="AE75" s="118">
        <f t="shared" si="4"/>
        <v>8</v>
      </c>
      <c r="AF75" s="120" t="str">
        <f t="shared" si="5"/>
        <v>Estable</v>
      </c>
    </row>
    <row r="76" spans="1:32" x14ac:dyDescent="0.2">
      <c r="A76" s="121">
        <v>242</v>
      </c>
      <c r="B76" s="122" t="s">
        <v>956</v>
      </c>
      <c r="C76" s="123" t="s">
        <v>429</v>
      </c>
      <c r="D76" s="123" t="s">
        <v>17</v>
      </c>
      <c r="E76" s="124" t="s">
        <v>183</v>
      </c>
      <c r="F76" s="124" t="s">
        <v>486</v>
      </c>
      <c r="G76" s="124" t="s">
        <v>1035</v>
      </c>
      <c r="H76" s="122" t="s">
        <v>8</v>
      </c>
      <c r="I76" s="123">
        <v>21.147469999999998</v>
      </c>
      <c r="J76" s="123">
        <v>-101.71567</v>
      </c>
      <c r="K76" s="122" t="s">
        <v>139</v>
      </c>
      <c r="L76" s="125" t="str">
        <f t="shared" si="3"/>
        <v>Ver en Google Maps</v>
      </c>
      <c r="M76" s="122">
        <v>1</v>
      </c>
      <c r="N76" s="108">
        <v>45958</v>
      </c>
      <c r="O76" s="109">
        <f>DAY('BD2'!$N76)</f>
        <v>28</v>
      </c>
      <c r="P76" s="109">
        <f>MONTH('BD2'!$N76)</f>
        <v>10</v>
      </c>
      <c r="Q76" s="109">
        <f>YEAR('BD2'!$N76)</f>
        <v>2025</v>
      </c>
      <c r="R76" s="109">
        <v>2</v>
      </c>
      <c r="S76" s="109" t="s">
        <v>138</v>
      </c>
      <c r="T76" s="109" t="s">
        <v>138</v>
      </c>
      <c r="U76" s="109" t="s">
        <v>138</v>
      </c>
      <c r="V76" s="109" t="s">
        <v>138</v>
      </c>
      <c r="W76" s="109" t="s">
        <v>138</v>
      </c>
      <c r="X76" s="109" t="s">
        <v>138</v>
      </c>
      <c r="Y76" s="109" t="s">
        <v>138</v>
      </c>
      <c r="Z76" s="109" t="str">
        <f>IF('BD2'!$AA76 &lt; 14, "no", "si")</f>
        <v>si</v>
      </c>
      <c r="AA76" s="109">
        <v>76.099999999999994</v>
      </c>
      <c r="AB76" s="109">
        <v>35.9</v>
      </c>
      <c r="AC76" s="110" t="s">
        <v>967</v>
      </c>
      <c r="AD76" s="110" t="s">
        <v>954</v>
      </c>
      <c r="AE76" s="109">
        <f t="shared" si="4"/>
        <v>8</v>
      </c>
      <c r="AF76" s="111" t="str">
        <f t="shared" si="5"/>
        <v>Estable</v>
      </c>
    </row>
    <row r="77" spans="1:32" x14ac:dyDescent="0.2">
      <c r="A77" s="112">
        <v>248</v>
      </c>
      <c r="B77" s="113" t="s">
        <v>956</v>
      </c>
      <c r="C77" s="114" t="s">
        <v>429</v>
      </c>
      <c r="D77" s="114" t="s">
        <v>17</v>
      </c>
      <c r="E77" s="115" t="s">
        <v>45</v>
      </c>
      <c r="F77" s="115" t="s">
        <v>487</v>
      </c>
      <c r="G77" s="115" t="s">
        <v>184</v>
      </c>
      <c r="H77" s="113" t="s">
        <v>8</v>
      </c>
      <c r="I77" s="114">
        <v>21.116330000000001</v>
      </c>
      <c r="J77" s="114">
        <v>-101.6096</v>
      </c>
      <c r="K77" s="113" t="s">
        <v>139</v>
      </c>
      <c r="L77" s="116" t="str">
        <f t="shared" si="3"/>
        <v>Ver en Google Maps</v>
      </c>
      <c r="M77" s="113">
        <v>1</v>
      </c>
      <c r="N77" s="117">
        <v>45957</v>
      </c>
      <c r="O77" s="118">
        <f>DAY('BD2'!$N77)</f>
        <v>27</v>
      </c>
      <c r="P77" s="118">
        <f>MONTH('BD2'!$N77)</f>
        <v>10</v>
      </c>
      <c r="Q77" s="118">
        <f>YEAR('BD2'!$N77)</f>
        <v>2025</v>
      </c>
      <c r="R77" s="118">
        <v>2</v>
      </c>
      <c r="S77" s="118" t="s">
        <v>138</v>
      </c>
      <c r="T77" s="118" t="s">
        <v>138</v>
      </c>
      <c r="U77" s="118" t="s">
        <v>138</v>
      </c>
      <c r="V77" s="118" t="s">
        <v>934</v>
      </c>
      <c r="W77" s="118" t="s">
        <v>138</v>
      </c>
      <c r="X77" s="118" t="s">
        <v>934</v>
      </c>
      <c r="Y77" s="118" t="s">
        <v>138</v>
      </c>
      <c r="Z77" s="118" t="str">
        <f>IF('BD2'!$AA77 &lt; 14, "no", "si")</f>
        <v>no</v>
      </c>
      <c r="AA77" s="118">
        <v>10.7</v>
      </c>
      <c r="AB77" s="118">
        <v>5.34</v>
      </c>
      <c r="AC77" s="119" t="s">
        <v>3101</v>
      </c>
      <c r="AD77" s="119" t="s">
        <v>954</v>
      </c>
      <c r="AE77" s="118">
        <f t="shared" si="4"/>
        <v>5</v>
      </c>
      <c r="AF77" s="120" t="str">
        <f t="shared" si="5"/>
        <v>Rendimiento bajo</v>
      </c>
    </row>
    <row r="78" spans="1:32" x14ac:dyDescent="0.2">
      <c r="A78" s="121">
        <v>252</v>
      </c>
      <c r="B78" s="122" t="s">
        <v>956</v>
      </c>
      <c r="C78" s="123" t="s">
        <v>429</v>
      </c>
      <c r="D78" s="123" t="s">
        <v>17</v>
      </c>
      <c r="E78" s="124" t="s">
        <v>46</v>
      </c>
      <c r="F78" s="124" t="s">
        <v>488</v>
      </c>
      <c r="G78" s="124" t="s">
        <v>1036</v>
      </c>
      <c r="H78" s="122" t="s">
        <v>8</v>
      </c>
      <c r="I78" s="123">
        <v>21.129729999999999</v>
      </c>
      <c r="J78" s="123">
        <v>-101.71687</v>
      </c>
      <c r="K78" s="122"/>
      <c r="L78" s="125" t="str">
        <f t="shared" si="3"/>
        <v>Ver en Google Maps</v>
      </c>
      <c r="M78" s="122">
        <v>1</v>
      </c>
      <c r="N78" s="130"/>
      <c r="O78" s="109"/>
      <c r="P78" s="109"/>
      <c r="Q78" s="109"/>
      <c r="R78" s="109"/>
      <c r="S78" s="109"/>
      <c r="T78" s="109"/>
      <c r="U78" s="109"/>
      <c r="V78" s="109"/>
      <c r="W78" s="109"/>
      <c r="X78" s="109"/>
      <c r="Y78" s="109"/>
      <c r="Z78" s="109"/>
      <c r="AA78" s="109"/>
      <c r="AB78" s="109"/>
      <c r="AC78" s="109"/>
      <c r="AD78" s="110"/>
      <c r="AE78" s="109"/>
      <c r="AF78" s="111"/>
    </row>
    <row r="79" spans="1:32" x14ac:dyDescent="0.2">
      <c r="A79" s="112">
        <v>254</v>
      </c>
      <c r="B79" s="113" t="s">
        <v>956</v>
      </c>
      <c r="C79" s="114" t="s">
        <v>429</v>
      </c>
      <c r="D79" s="114" t="s">
        <v>17</v>
      </c>
      <c r="E79" s="115" t="s">
        <v>185</v>
      </c>
      <c r="F79" s="115" t="s">
        <v>489</v>
      </c>
      <c r="G79" s="115" t="s">
        <v>997</v>
      </c>
      <c r="H79" s="113" t="s">
        <v>8</v>
      </c>
      <c r="I79" s="114">
        <v>21.116569999999999</v>
      </c>
      <c r="J79" s="114">
        <v>-101.73038</v>
      </c>
      <c r="K79" s="113" t="s">
        <v>139</v>
      </c>
      <c r="L79" s="116" t="str">
        <f t="shared" si="3"/>
        <v>Ver en Google Maps</v>
      </c>
      <c r="M79" s="113">
        <v>1</v>
      </c>
      <c r="N79" s="117">
        <v>45960</v>
      </c>
      <c r="O79" s="118">
        <f>DAY('BD2'!$N79)</f>
        <v>30</v>
      </c>
      <c r="P79" s="118">
        <f>MONTH('BD2'!$N79)</f>
        <v>10</v>
      </c>
      <c r="Q79" s="118">
        <f>YEAR('BD2'!$N79)</f>
        <v>2025</v>
      </c>
      <c r="R79" s="118">
        <v>2</v>
      </c>
      <c r="S79" s="118" t="s">
        <v>138</v>
      </c>
      <c r="T79" s="118" t="s">
        <v>138</v>
      </c>
      <c r="U79" s="118" t="s">
        <v>138</v>
      </c>
      <c r="V79" s="118" t="s">
        <v>138</v>
      </c>
      <c r="W79" s="118" t="s">
        <v>138</v>
      </c>
      <c r="X79" s="118" t="s">
        <v>138</v>
      </c>
      <c r="Y79" s="118" t="s">
        <v>138</v>
      </c>
      <c r="Z79" s="118" t="str">
        <f>IF('BD2'!$AA79 &lt; 14, "no", "si")</f>
        <v>si</v>
      </c>
      <c r="AA79" s="118">
        <v>87.3</v>
      </c>
      <c r="AB79" s="118">
        <v>46.1</v>
      </c>
      <c r="AC79" s="119" t="s">
        <v>969</v>
      </c>
      <c r="AD79" s="119" t="s">
        <v>954</v>
      </c>
      <c r="AE79" s="118">
        <f t="shared" si="4"/>
        <v>8</v>
      </c>
      <c r="AF79" s="120" t="str">
        <f t="shared" si="5"/>
        <v>Estable</v>
      </c>
    </row>
    <row r="80" spans="1:32" x14ac:dyDescent="0.2">
      <c r="A80" s="121">
        <v>256</v>
      </c>
      <c r="B80" s="122" t="s">
        <v>956</v>
      </c>
      <c r="C80" s="123" t="s">
        <v>429</v>
      </c>
      <c r="D80" s="123" t="s">
        <v>17</v>
      </c>
      <c r="E80" s="124" t="s">
        <v>186</v>
      </c>
      <c r="F80" s="124" t="s">
        <v>490</v>
      </c>
      <c r="G80" s="124" t="s">
        <v>1037</v>
      </c>
      <c r="H80" s="122" t="s">
        <v>8</v>
      </c>
      <c r="I80" s="123">
        <v>21.1526</v>
      </c>
      <c r="J80" s="123">
        <v>-101.75776999999999</v>
      </c>
      <c r="K80" s="122" t="s">
        <v>139</v>
      </c>
      <c r="L80" s="125" t="str">
        <f t="shared" si="3"/>
        <v>Ver en Google Maps</v>
      </c>
      <c r="M80" s="122">
        <v>1</v>
      </c>
      <c r="N80" s="108">
        <v>45960</v>
      </c>
      <c r="O80" s="109">
        <f>DAY('BD2'!$N80)</f>
        <v>30</v>
      </c>
      <c r="P80" s="109">
        <f>MONTH('BD2'!$N80)</f>
        <v>10</v>
      </c>
      <c r="Q80" s="109">
        <f>YEAR('BD2'!$N80)</f>
        <v>2025</v>
      </c>
      <c r="R80" s="109">
        <v>2</v>
      </c>
      <c r="S80" s="109" t="s">
        <v>138</v>
      </c>
      <c r="T80" s="109" t="s">
        <v>138</v>
      </c>
      <c r="U80" s="109" t="s">
        <v>138</v>
      </c>
      <c r="V80" s="109" t="s">
        <v>138</v>
      </c>
      <c r="W80" s="109" t="s">
        <v>138</v>
      </c>
      <c r="X80" s="109" t="s">
        <v>138</v>
      </c>
      <c r="Y80" s="109" t="s">
        <v>138</v>
      </c>
      <c r="Z80" s="109" t="str">
        <f>IF('BD2'!$AA80 &lt; 14, "no", "si")</f>
        <v>si</v>
      </c>
      <c r="AA80" s="109">
        <v>105</v>
      </c>
      <c r="AB80" s="109">
        <v>41.1</v>
      </c>
      <c r="AC80" s="110" t="s">
        <v>967</v>
      </c>
      <c r="AD80" s="110" t="s">
        <v>954</v>
      </c>
      <c r="AE80" s="109">
        <f t="shared" si="4"/>
        <v>8</v>
      </c>
      <c r="AF80" s="111" t="str">
        <f t="shared" si="5"/>
        <v>Estable</v>
      </c>
    </row>
    <row r="81" spans="1:32" x14ac:dyDescent="0.2">
      <c r="A81" s="112">
        <v>257</v>
      </c>
      <c r="B81" s="113" t="s">
        <v>956</v>
      </c>
      <c r="C81" s="114" t="s">
        <v>14</v>
      </c>
      <c r="D81" s="114" t="s">
        <v>404</v>
      </c>
      <c r="E81" s="115" t="s">
        <v>187</v>
      </c>
      <c r="F81" s="115" t="s">
        <v>491</v>
      </c>
      <c r="G81" s="115" t="s">
        <v>1038</v>
      </c>
      <c r="H81" s="113" t="s">
        <v>8</v>
      </c>
      <c r="I81" s="114">
        <v>21.122703999999999</v>
      </c>
      <c r="J81" s="114">
        <v>-101.69341900000001</v>
      </c>
      <c r="K81" s="113" t="s">
        <v>139</v>
      </c>
      <c r="L81" s="116" t="str">
        <f t="shared" si="3"/>
        <v>Ver en Google Maps</v>
      </c>
      <c r="M81" s="113">
        <v>2</v>
      </c>
      <c r="N81" s="117">
        <v>45958</v>
      </c>
      <c r="O81" s="118">
        <f>DAY('BD2'!$N81)</f>
        <v>28</v>
      </c>
      <c r="P81" s="118">
        <f>MONTH('BD2'!$N81)</f>
        <v>10</v>
      </c>
      <c r="Q81" s="118">
        <f>YEAR('BD2'!$N81)</f>
        <v>2025</v>
      </c>
      <c r="R81" s="118">
        <v>2</v>
      </c>
      <c r="S81" s="118" t="s">
        <v>138</v>
      </c>
      <c r="T81" s="118" t="s">
        <v>138</v>
      </c>
      <c r="U81" s="118" t="s">
        <v>138</v>
      </c>
      <c r="V81" s="118" t="s">
        <v>138</v>
      </c>
      <c r="W81" s="118" t="s">
        <v>138</v>
      </c>
      <c r="X81" s="118" t="s">
        <v>138</v>
      </c>
      <c r="Y81" s="118" t="s">
        <v>138</v>
      </c>
      <c r="Z81" s="118" t="str">
        <f>IF('BD2'!$AA81 &lt; 14, "no", "si")</f>
        <v>si</v>
      </c>
      <c r="AA81" s="118">
        <v>124</v>
      </c>
      <c r="AB81" s="118">
        <v>52</v>
      </c>
      <c r="AC81" s="119" t="s">
        <v>967</v>
      </c>
      <c r="AD81" s="119" t="s">
        <v>954</v>
      </c>
      <c r="AE81" s="118">
        <f t="shared" si="4"/>
        <v>8</v>
      </c>
      <c r="AF81" s="120" t="str">
        <f t="shared" si="5"/>
        <v>Estable</v>
      </c>
    </row>
    <row r="82" spans="1:32" x14ac:dyDescent="0.2">
      <c r="A82" s="121">
        <v>259</v>
      </c>
      <c r="B82" s="122" t="s">
        <v>956</v>
      </c>
      <c r="C82" s="123" t="s">
        <v>429</v>
      </c>
      <c r="D82" s="123" t="s">
        <v>17</v>
      </c>
      <c r="E82" s="124" t="s">
        <v>47</v>
      </c>
      <c r="F82" s="124" t="s">
        <v>492</v>
      </c>
      <c r="G82" s="124" t="s">
        <v>48</v>
      </c>
      <c r="H82" s="122" t="s">
        <v>8</v>
      </c>
      <c r="I82" s="123">
        <v>21.122489999999999</v>
      </c>
      <c r="J82" s="123">
        <v>-101.64601</v>
      </c>
      <c r="K82" s="122" t="s">
        <v>139</v>
      </c>
      <c r="L82" s="125" t="str">
        <f t="shared" si="3"/>
        <v>Ver en Google Maps</v>
      </c>
      <c r="M82" s="122">
        <v>1</v>
      </c>
      <c r="N82" s="108">
        <v>45957</v>
      </c>
      <c r="O82" s="109">
        <f>DAY('BD2'!$N82)</f>
        <v>27</v>
      </c>
      <c r="P82" s="109">
        <f>MONTH('BD2'!$N82)</f>
        <v>10</v>
      </c>
      <c r="Q82" s="109">
        <f>YEAR('BD2'!$N82)</f>
        <v>2025</v>
      </c>
      <c r="R82" s="109">
        <v>2</v>
      </c>
      <c r="S82" s="109" t="s">
        <v>138</v>
      </c>
      <c r="T82" s="109" t="s">
        <v>138</v>
      </c>
      <c r="U82" s="109" t="s">
        <v>138</v>
      </c>
      <c r="V82" s="109" t="s">
        <v>138</v>
      </c>
      <c r="W82" s="109" t="s">
        <v>138</v>
      </c>
      <c r="X82" s="109" t="s">
        <v>138</v>
      </c>
      <c r="Y82" s="109" t="s">
        <v>138</v>
      </c>
      <c r="Z82" s="109" t="str">
        <f>IF('BD2'!$AA82 &lt; 14, "no", "si")</f>
        <v>si</v>
      </c>
      <c r="AA82" s="109">
        <v>98.6</v>
      </c>
      <c r="AB82" s="109">
        <v>92</v>
      </c>
      <c r="AC82" s="110" t="s">
        <v>967</v>
      </c>
      <c r="AD82" s="110" t="s">
        <v>954</v>
      </c>
      <c r="AE82" s="109">
        <f t="shared" si="4"/>
        <v>8</v>
      </c>
      <c r="AF82" s="111" t="str">
        <f t="shared" si="5"/>
        <v>Estable</v>
      </c>
    </row>
    <row r="83" spans="1:32" x14ac:dyDescent="0.2">
      <c r="A83" s="112">
        <v>264</v>
      </c>
      <c r="B83" s="113" t="s">
        <v>956</v>
      </c>
      <c r="C83" s="114" t="s">
        <v>429</v>
      </c>
      <c r="D83" s="114" t="s">
        <v>17</v>
      </c>
      <c r="E83" s="115" t="s">
        <v>49</v>
      </c>
      <c r="F83" s="115" t="s">
        <v>493</v>
      </c>
      <c r="G83" s="115" t="s">
        <v>1039</v>
      </c>
      <c r="H83" s="113" t="s">
        <v>8</v>
      </c>
      <c r="I83" s="114">
        <v>21.085650000000001</v>
      </c>
      <c r="J83" s="114">
        <v>-101.62854</v>
      </c>
      <c r="K83" s="113"/>
      <c r="L83" s="116" t="str">
        <f t="shared" si="3"/>
        <v>Ver en Google Maps</v>
      </c>
      <c r="M83" s="113">
        <v>1</v>
      </c>
      <c r="N83" s="129"/>
      <c r="O83" s="118"/>
      <c r="P83" s="118"/>
      <c r="Q83" s="118"/>
      <c r="R83" s="118"/>
      <c r="S83" s="118"/>
      <c r="T83" s="118"/>
      <c r="U83" s="118"/>
      <c r="V83" s="118"/>
      <c r="W83" s="118"/>
      <c r="X83" s="118"/>
      <c r="Y83" s="118"/>
      <c r="Z83" s="118"/>
      <c r="AA83" s="118"/>
      <c r="AB83" s="118"/>
      <c r="AC83" s="118"/>
      <c r="AD83" s="119"/>
      <c r="AE83" s="118"/>
      <c r="AF83" s="120"/>
    </row>
    <row r="84" spans="1:32" x14ac:dyDescent="0.2">
      <c r="A84" s="121">
        <v>265</v>
      </c>
      <c r="B84" s="122" t="s">
        <v>956</v>
      </c>
      <c r="C84" s="123" t="s">
        <v>429</v>
      </c>
      <c r="D84" s="123" t="s">
        <v>17</v>
      </c>
      <c r="E84" s="124" t="s">
        <v>50</v>
      </c>
      <c r="F84" s="124" t="s">
        <v>494</v>
      </c>
      <c r="G84" s="124" t="s">
        <v>1040</v>
      </c>
      <c r="H84" s="122" t="s">
        <v>8</v>
      </c>
      <c r="I84" s="123">
        <v>21.077850000000002</v>
      </c>
      <c r="J84" s="123">
        <v>-101.65033</v>
      </c>
      <c r="K84" s="122"/>
      <c r="L84" s="125" t="str">
        <f t="shared" si="3"/>
        <v>Ver en Google Maps</v>
      </c>
      <c r="M84" s="122">
        <v>1</v>
      </c>
      <c r="N84" s="130"/>
      <c r="O84" s="109"/>
      <c r="P84" s="109"/>
      <c r="Q84" s="109"/>
      <c r="R84" s="109"/>
      <c r="S84" s="109"/>
      <c r="T84" s="109"/>
      <c r="U84" s="109"/>
      <c r="V84" s="109"/>
      <c r="W84" s="109"/>
      <c r="X84" s="109"/>
      <c r="Y84" s="109"/>
      <c r="Z84" s="109"/>
      <c r="AA84" s="109"/>
      <c r="AB84" s="109"/>
      <c r="AC84" s="109"/>
      <c r="AD84" s="110"/>
      <c r="AE84" s="109"/>
      <c r="AF84" s="111"/>
    </row>
    <row r="85" spans="1:32" x14ac:dyDescent="0.2">
      <c r="A85" s="112">
        <v>266</v>
      </c>
      <c r="B85" s="113" t="s">
        <v>956</v>
      </c>
      <c r="C85" s="114" t="s">
        <v>429</v>
      </c>
      <c r="D85" s="114" t="s">
        <v>17</v>
      </c>
      <c r="E85" s="115" t="s">
        <v>188</v>
      </c>
      <c r="F85" s="115" t="s">
        <v>495</v>
      </c>
      <c r="G85" s="115" t="s">
        <v>1041</v>
      </c>
      <c r="H85" s="113" t="s">
        <v>8</v>
      </c>
      <c r="I85" s="114">
        <v>21.150310000000001</v>
      </c>
      <c r="J85" s="114">
        <v>-101.73293</v>
      </c>
      <c r="K85" s="113" t="s">
        <v>139</v>
      </c>
      <c r="L85" s="116" t="str">
        <f t="shared" si="3"/>
        <v>Ver en Google Maps</v>
      </c>
      <c r="M85" s="113">
        <v>1</v>
      </c>
      <c r="N85" s="117">
        <v>45960</v>
      </c>
      <c r="O85" s="118">
        <f>DAY('BD2'!$N85)</f>
        <v>30</v>
      </c>
      <c r="P85" s="118">
        <f>MONTH('BD2'!$N85)</f>
        <v>10</v>
      </c>
      <c r="Q85" s="118">
        <f>YEAR('BD2'!$N85)</f>
        <v>2025</v>
      </c>
      <c r="R85" s="118">
        <v>2</v>
      </c>
      <c r="S85" s="118" t="s">
        <v>138</v>
      </c>
      <c r="T85" s="118" t="s">
        <v>138</v>
      </c>
      <c r="U85" s="118" t="s">
        <v>138</v>
      </c>
      <c r="V85" s="118" t="s">
        <v>138</v>
      </c>
      <c r="W85" s="118" t="s">
        <v>138</v>
      </c>
      <c r="X85" s="118" t="s">
        <v>138</v>
      </c>
      <c r="Y85" s="118" t="s">
        <v>138</v>
      </c>
      <c r="Z85" s="118" t="str">
        <f>IF('BD2'!$AA85 &lt; 14, "no", "si")</f>
        <v>si</v>
      </c>
      <c r="AA85" s="118">
        <v>62.9</v>
      </c>
      <c r="AB85" s="118">
        <v>5.79</v>
      </c>
      <c r="AC85" s="119" t="s">
        <v>967</v>
      </c>
      <c r="AD85" s="119" t="s">
        <v>954</v>
      </c>
      <c r="AE85" s="118">
        <f t="shared" si="4"/>
        <v>8</v>
      </c>
      <c r="AF85" s="120" t="str">
        <f t="shared" si="5"/>
        <v>Estable</v>
      </c>
    </row>
    <row r="86" spans="1:32" x14ac:dyDescent="0.2">
      <c r="A86" s="121">
        <v>267</v>
      </c>
      <c r="B86" s="122" t="s">
        <v>956</v>
      </c>
      <c r="C86" s="123" t="s">
        <v>429</v>
      </c>
      <c r="D86" s="123" t="s">
        <v>17</v>
      </c>
      <c r="E86" s="124" t="s">
        <v>51</v>
      </c>
      <c r="F86" s="124" t="s">
        <v>496</v>
      </c>
      <c r="G86" s="124" t="s">
        <v>1042</v>
      </c>
      <c r="H86" s="122" t="s">
        <v>8</v>
      </c>
      <c r="I86" s="123">
        <v>21.073090000000001</v>
      </c>
      <c r="J86" s="123">
        <v>-101.64436000000001</v>
      </c>
      <c r="K86" s="122"/>
      <c r="L86" s="125" t="str">
        <f t="shared" si="3"/>
        <v>Ver en Google Maps</v>
      </c>
      <c r="M86" s="122">
        <v>1</v>
      </c>
      <c r="N86" s="130"/>
      <c r="O86" s="109"/>
      <c r="P86" s="109"/>
      <c r="Q86" s="109"/>
      <c r="R86" s="109"/>
      <c r="S86" s="109"/>
      <c r="T86" s="109"/>
      <c r="U86" s="109"/>
      <c r="V86" s="109"/>
      <c r="W86" s="109"/>
      <c r="X86" s="109"/>
      <c r="Y86" s="109"/>
      <c r="Z86" s="109"/>
      <c r="AA86" s="109"/>
      <c r="AB86" s="109"/>
      <c r="AC86" s="109"/>
      <c r="AD86" s="110"/>
      <c r="AE86" s="109"/>
      <c r="AF86" s="111"/>
    </row>
    <row r="87" spans="1:32" x14ac:dyDescent="0.2">
      <c r="A87" s="112">
        <v>269</v>
      </c>
      <c r="B87" s="113" t="s">
        <v>956</v>
      </c>
      <c r="C87" s="114" t="s">
        <v>429</v>
      </c>
      <c r="D87" s="114" t="s">
        <v>17</v>
      </c>
      <c r="E87" s="115" t="s">
        <v>52</v>
      </c>
      <c r="F87" s="115" t="s">
        <v>497</v>
      </c>
      <c r="G87" s="115" t="s">
        <v>53</v>
      </c>
      <c r="H87" s="113" t="s">
        <v>8</v>
      </c>
      <c r="I87" s="114">
        <v>21.11683</v>
      </c>
      <c r="J87" s="114">
        <v>-101.6031</v>
      </c>
      <c r="K87" s="113" t="s">
        <v>139</v>
      </c>
      <c r="L87" s="116" t="str">
        <f t="shared" si="3"/>
        <v>Ver en Google Maps</v>
      </c>
      <c r="M87" s="113">
        <v>1</v>
      </c>
      <c r="N87" s="117">
        <v>45957</v>
      </c>
      <c r="O87" s="118">
        <f>DAY('BD2'!$N87)</f>
        <v>27</v>
      </c>
      <c r="P87" s="118">
        <f>MONTH('BD2'!$N87)</f>
        <v>10</v>
      </c>
      <c r="Q87" s="118">
        <f>YEAR('BD2'!$N87)</f>
        <v>2025</v>
      </c>
      <c r="R87" s="118">
        <v>2</v>
      </c>
      <c r="S87" s="118" t="s">
        <v>138</v>
      </c>
      <c r="T87" s="118" t="s">
        <v>934</v>
      </c>
      <c r="U87" s="118" t="s">
        <v>138</v>
      </c>
      <c r="V87" s="118" t="s">
        <v>934</v>
      </c>
      <c r="W87" s="118" t="s">
        <v>138</v>
      </c>
      <c r="X87" s="118" t="s">
        <v>934</v>
      </c>
      <c r="Y87" s="118" t="s">
        <v>934</v>
      </c>
      <c r="Z87" s="118" t="str">
        <f>IF('BD2'!$AA87 &lt; 14, "no", "si")</f>
        <v>no</v>
      </c>
      <c r="AA87" s="118">
        <v>0</v>
      </c>
      <c r="AB87" s="118">
        <v>0</v>
      </c>
      <c r="AC87" s="119" t="s">
        <v>3100</v>
      </c>
      <c r="AD87" s="119" t="s">
        <v>957</v>
      </c>
      <c r="AE87" s="118">
        <f t="shared" si="4"/>
        <v>3</v>
      </c>
      <c r="AF87" s="120" t="str">
        <f t="shared" si="5"/>
        <v>Parcialmente funcional</v>
      </c>
    </row>
    <row r="88" spans="1:32" x14ac:dyDescent="0.2">
      <c r="A88" s="121">
        <v>274</v>
      </c>
      <c r="B88" s="122" t="s">
        <v>956</v>
      </c>
      <c r="C88" s="123" t="s">
        <v>429</v>
      </c>
      <c r="D88" s="123" t="s">
        <v>17</v>
      </c>
      <c r="E88" s="124" t="s">
        <v>54</v>
      </c>
      <c r="F88" s="124" t="s">
        <v>498</v>
      </c>
      <c r="G88" s="124" t="s">
        <v>1043</v>
      </c>
      <c r="H88" s="122" t="s">
        <v>8</v>
      </c>
      <c r="I88" s="123">
        <v>21.096453</v>
      </c>
      <c r="J88" s="123">
        <v>-101.598573</v>
      </c>
      <c r="K88" s="122" t="s">
        <v>139</v>
      </c>
      <c r="L88" s="125" t="str">
        <f t="shared" si="3"/>
        <v>Ver en Google Maps</v>
      </c>
      <c r="M88" s="122">
        <v>1</v>
      </c>
      <c r="N88" s="108">
        <v>45957</v>
      </c>
      <c r="O88" s="109">
        <f>DAY('BD2'!$N88)</f>
        <v>27</v>
      </c>
      <c r="P88" s="109">
        <f>MONTH('BD2'!$N88)</f>
        <v>10</v>
      </c>
      <c r="Q88" s="109">
        <f>YEAR('BD2'!$N88)</f>
        <v>2025</v>
      </c>
      <c r="R88" s="109">
        <v>2</v>
      </c>
      <c r="S88" s="109" t="s">
        <v>138</v>
      </c>
      <c r="T88" s="109" t="s">
        <v>138</v>
      </c>
      <c r="U88" s="109" t="s">
        <v>138</v>
      </c>
      <c r="V88" s="109" t="s">
        <v>138</v>
      </c>
      <c r="W88" s="109" t="s">
        <v>138</v>
      </c>
      <c r="X88" s="109" t="s">
        <v>138</v>
      </c>
      <c r="Y88" s="109" t="s">
        <v>138</v>
      </c>
      <c r="Z88" s="109" t="str">
        <f>IF('BD2'!$AA88 &lt; 14, "no", "si")</f>
        <v>si</v>
      </c>
      <c r="AA88" s="109">
        <v>84.2</v>
      </c>
      <c r="AB88" s="109">
        <v>42.5</v>
      </c>
      <c r="AC88" s="110" t="s">
        <v>970</v>
      </c>
      <c r="AD88" s="110" t="s">
        <v>954</v>
      </c>
      <c r="AE88" s="109">
        <f t="shared" si="4"/>
        <v>8</v>
      </c>
      <c r="AF88" s="111" t="str">
        <f t="shared" si="5"/>
        <v>Estable</v>
      </c>
    </row>
    <row r="89" spans="1:32" x14ac:dyDescent="0.2">
      <c r="A89" s="112">
        <v>275</v>
      </c>
      <c r="B89" s="113" t="s">
        <v>956</v>
      </c>
      <c r="C89" s="114" t="s">
        <v>429</v>
      </c>
      <c r="D89" s="114" t="s">
        <v>17</v>
      </c>
      <c r="E89" s="115" t="s">
        <v>189</v>
      </c>
      <c r="F89" s="115" t="s">
        <v>499</v>
      </c>
      <c r="G89" s="115" t="s">
        <v>1201</v>
      </c>
      <c r="H89" s="113" t="s">
        <v>8</v>
      </c>
      <c r="I89" s="114">
        <v>21.124459999999999</v>
      </c>
      <c r="J89" s="114">
        <v>-101.74466</v>
      </c>
      <c r="K89" s="113" t="s">
        <v>139</v>
      </c>
      <c r="L89" s="116" t="str">
        <f t="shared" si="3"/>
        <v>Ver en Google Maps</v>
      </c>
      <c r="M89" s="113">
        <v>1</v>
      </c>
      <c r="N89" s="117">
        <v>45960</v>
      </c>
      <c r="O89" s="118">
        <f>DAY('BD2'!$N89)</f>
        <v>30</v>
      </c>
      <c r="P89" s="118">
        <f>MONTH('BD2'!$N89)</f>
        <v>10</v>
      </c>
      <c r="Q89" s="118">
        <f>YEAR('BD2'!$N89)</f>
        <v>2025</v>
      </c>
      <c r="R89" s="118">
        <v>2</v>
      </c>
      <c r="S89" s="118" t="s">
        <v>138</v>
      </c>
      <c r="T89" s="118" t="s">
        <v>138</v>
      </c>
      <c r="U89" s="118" t="s">
        <v>138</v>
      </c>
      <c r="V89" s="118" t="s">
        <v>138</v>
      </c>
      <c r="W89" s="118" t="s">
        <v>138</v>
      </c>
      <c r="X89" s="118" t="s">
        <v>138</v>
      </c>
      <c r="Y89" s="118" t="s">
        <v>138</v>
      </c>
      <c r="Z89" s="118" t="str">
        <f>IF('BD2'!$AA89 &lt; 14, "no", "si")</f>
        <v>si</v>
      </c>
      <c r="AA89" s="118">
        <v>88.3</v>
      </c>
      <c r="AB89" s="118">
        <v>24</v>
      </c>
      <c r="AC89" s="119" t="s">
        <v>967</v>
      </c>
      <c r="AD89" s="119" t="s">
        <v>954</v>
      </c>
      <c r="AE89" s="118">
        <f t="shared" si="4"/>
        <v>8</v>
      </c>
      <c r="AF89" s="120" t="str">
        <f t="shared" si="5"/>
        <v>Estable</v>
      </c>
    </row>
    <row r="90" spans="1:32" x14ac:dyDescent="0.2">
      <c r="A90" s="121">
        <v>280</v>
      </c>
      <c r="B90" s="122" t="s">
        <v>956</v>
      </c>
      <c r="C90" s="123" t="s">
        <v>429</v>
      </c>
      <c r="D90" s="123" t="s">
        <v>15</v>
      </c>
      <c r="E90" s="124" t="s">
        <v>55</v>
      </c>
      <c r="F90" s="124" t="s">
        <v>500</v>
      </c>
      <c r="G90" s="124" t="s">
        <v>1202</v>
      </c>
      <c r="H90" s="122" t="s">
        <v>8</v>
      </c>
      <c r="I90" s="123">
        <v>21.095533</v>
      </c>
      <c r="J90" s="123">
        <v>-101.671768</v>
      </c>
      <c r="K90" s="122"/>
      <c r="L90" s="125" t="str">
        <f t="shared" si="3"/>
        <v>Ver en Google Maps</v>
      </c>
      <c r="M90" s="122">
        <v>2</v>
      </c>
      <c r="N90" s="130"/>
      <c r="O90" s="109"/>
      <c r="P90" s="109"/>
      <c r="Q90" s="109"/>
      <c r="R90" s="109"/>
      <c r="S90" s="109"/>
      <c r="T90" s="109"/>
      <c r="U90" s="109"/>
      <c r="V90" s="109"/>
      <c r="W90" s="109"/>
      <c r="X90" s="109"/>
      <c r="Y90" s="109"/>
      <c r="Z90" s="109"/>
      <c r="AA90" s="109"/>
      <c r="AB90" s="109"/>
      <c r="AC90" s="109"/>
      <c r="AD90" s="110"/>
      <c r="AE90" s="109"/>
      <c r="AF90" s="111"/>
    </row>
    <row r="91" spans="1:32" x14ac:dyDescent="0.2">
      <c r="A91" s="112">
        <v>281</v>
      </c>
      <c r="B91" s="113" t="s">
        <v>956</v>
      </c>
      <c r="C91" s="114" t="s">
        <v>429</v>
      </c>
      <c r="D91" s="114" t="s">
        <v>17</v>
      </c>
      <c r="E91" s="115" t="s">
        <v>56</v>
      </c>
      <c r="F91" s="115" t="s">
        <v>501</v>
      </c>
      <c r="G91" s="115" t="s">
        <v>1044</v>
      </c>
      <c r="H91" s="113" t="s">
        <v>8</v>
      </c>
      <c r="I91" s="114">
        <v>21.07761</v>
      </c>
      <c r="J91" s="114">
        <v>-101.62772</v>
      </c>
      <c r="K91" s="113"/>
      <c r="L91" s="116" t="str">
        <f t="shared" si="3"/>
        <v>Ver en Google Maps</v>
      </c>
      <c r="M91" s="113">
        <v>1</v>
      </c>
      <c r="N91" s="129"/>
      <c r="O91" s="118"/>
      <c r="P91" s="118"/>
      <c r="Q91" s="118"/>
      <c r="R91" s="118"/>
      <c r="S91" s="118"/>
      <c r="T91" s="118"/>
      <c r="U91" s="118"/>
      <c r="V91" s="118"/>
      <c r="W91" s="118"/>
      <c r="X91" s="118"/>
      <c r="Y91" s="118"/>
      <c r="Z91" s="118"/>
      <c r="AA91" s="118"/>
      <c r="AB91" s="118"/>
      <c r="AC91" s="118"/>
      <c r="AD91" s="119"/>
      <c r="AE91" s="118"/>
      <c r="AF91" s="120"/>
    </row>
    <row r="92" spans="1:32" x14ac:dyDescent="0.2">
      <c r="A92" s="121">
        <v>283</v>
      </c>
      <c r="B92" s="122" t="s">
        <v>956</v>
      </c>
      <c r="C92" s="123" t="s">
        <v>429</v>
      </c>
      <c r="D92" s="123" t="s">
        <v>17</v>
      </c>
      <c r="E92" s="124" t="s">
        <v>57</v>
      </c>
      <c r="F92" s="124" t="s">
        <v>502</v>
      </c>
      <c r="G92" s="124" t="s">
        <v>22</v>
      </c>
      <c r="H92" s="122" t="s">
        <v>8</v>
      </c>
      <c r="I92" s="123">
        <v>21.092449999999999</v>
      </c>
      <c r="J92" s="123">
        <v>-101.59121</v>
      </c>
      <c r="K92" s="122"/>
      <c r="L92" s="125" t="str">
        <f t="shared" si="3"/>
        <v>Ver en Google Maps</v>
      </c>
      <c r="M92" s="122">
        <v>1</v>
      </c>
      <c r="N92" s="130"/>
      <c r="O92" s="109"/>
      <c r="P92" s="109"/>
      <c r="Q92" s="109"/>
      <c r="R92" s="109"/>
      <c r="S92" s="109"/>
      <c r="T92" s="109"/>
      <c r="U92" s="109"/>
      <c r="V92" s="109"/>
      <c r="W92" s="109"/>
      <c r="X92" s="109"/>
      <c r="Y92" s="109"/>
      <c r="Z92" s="109"/>
      <c r="AA92" s="109"/>
      <c r="AB92" s="109"/>
      <c r="AC92" s="109"/>
      <c r="AD92" s="110"/>
      <c r="AE92" s="109"/>
      <c r="AF92" s="111"/>
    </row>
    <row r="93" spans="1:32" x14ac:dyDescent="0.2">
      <c r="A93" s="112">
        <v>285</v>
      </c>
      <c r="B93" s="113" t="s">
        <v>956</v>
      </c>
      <c r="C93" s="114" t="s">
        <v>429</v>
      </c>
      <c r="D93" s="114" t="s">
        <v>16</v>
      </c>
      <c r="E93" s="115" t="s">
        <v>58</v>
      </c>
      <c r="F93" s="115" t="s">
        <v>503</v>
      </c>
      <c r="G93" s="115" t="s">
        <v>59</v>
      </c>
      <c r="H93" s="113" t="s">
        <v>8</v>
      </c>
      <c r="I93" s="114">
        <v>21.08793</v>
      </c>
      <c r="J93" s="114">
        <v>-101.69023</v>
      </c>
      <c r="K93" s="113"/>
      <c r="L93" s="116" t="str">
        <f t="shared" si="3"/>
        <v>Ver en Google Maps</v>
      </c>
      <c r="M93" s="113">
        <v>1</v>
      </c>
      <c r="N93" s="129"/>
      <c r="O93" s="118"/>
      <c r="P93" s="118"/>
      <c r="Q93" s="118"/>
      <c r="R93" s="118"/>
      <c r="S93" s="118"/>
      <c r="T93" s="118"/>
      <c r="U93" s="118"/>
      <c r="V93" s="118"/>
      <c r="W93" s="118"/>
      <c r="X93" s="118"/>
      <c r="Y93" s="118"/>
      <c r="Z93" s="118"/>
      <c r="AA93" s="118"/>
      <c r="AB93" s="118"/>
      <c r="AC93" s="118"/>
      <c r="AD93" s="119"/>
      <c r="AE93" s="118"/>
      <c r="AF93" s="120"/>
    </row>
    <row r="94" spans="1:32" x14ac:dyDescent="0.2">
      <c r="A94" s="121">
        <v>286</v>
      </c>
      <c r="B94" s="122" t="s">
        <v>956</v>
      </c>
      <c r="C94" s="123" t="s">
        <v>429</v>
      </c>
      <c r="D94" s="123" t="s">
        <v>16</v>
      </c>
      <c r="E94" s="124" t="s">
        <v>60</v>
      </c>
      <c r="F94" s="124" t="s">
        <v>504</v>
      </c>
      <c r="G94" s="124" t="s">
        <v>1045</v>
      </c>
      <c r="H94" s="122" t="s">
        <v>8</v>
      </c>
      <c r="I94" s="123">
        <v>21.096219999999999</v>
      </c>
      <c r="J94" s="123">
        <v>-101.63906</v>
      </c>
      <c r="K94" s="122"/>
      <c r="L94" s="125" t="str">
        <f t="shared" si="3"/>
        <v>Ver en Google Maps</v>
      </c>
      <c r="M94" s="122">
        <v>1</v>
      </c>
      <c r="N94" s="130"/>
      <c r="O94" s="109"/>
      <c r="P94" s="109"/>
      <c r="Q94" s="109"/>
      <c r="R94" s="109"/>
      <c r="S94" s="109"/>
      <c r="T94" s="109"/>
      <c r="U94" s="109"/>
      <c r="V94" s="109"/>
      <c r="W94" s="109"/>
      <c r="X94" s="109"/>
      <c r="Y94" s="109"/>
      <c r="Z94" s="109"/>
      <c r="AA94" s="109"/>
      <c r="AB94" s="109"/>
      <c r="AC94" s="109"/>
      <c r="AD94" s="110"/>
      <c r="AE94" s="109"/>
      <c r="AF94" s="111"/>
    </row>
    <row r="95" spans="1:32" x14ac:dyDescent="0.2">
      <c r="A95" s="112">
        <v>287</v>
      </c>
      <c r="B95" s="113" t="s">
        <v>956</v>
      </c>
      <c r="C95" s="114" t="s">
        <v>429</v>
      </c>
      <c r="D95" s="114" t="s">
        <v>16</v>
      </c>
      <c r="E95" s="115" t="s">
        <v>190</v>
      </c>
      <c r="F95" s="115" t="s">
        <v>505</v>
      </c>
      <c r="G95" s="115" t="s">
        <v>1046</v>
      </c>
      <c r="H95" s="113" t="s">
        <v>8</v>
      </c>
      <c r="I95" s="114">
        <v>21.14207</v>
      </c>
      <c r="J95" s="114">
        <v>-101.67757</v>
      </c>
      <c r="K95" s="113" t="s">
        <v>139</v>
      </c>
      <c r="L95" s="116" t="str">
        <f t="shared" si="3"/>
        <v>Ver en Google Maps</v>
      </c>
      <c r="M95" s="113">
        <v>1</v>
      </c>
      <c r="N95" s="117">
        <v>45952</v>
      </c>
      <c r="O95" s="118">
        <f>DAY('BD2'!$N95)</f>
        <v>22</v>
      </c>
      <c r="P95" s="118">
        <f>MONTH('BD2'!$N95)</f>
        <v>10</v>
      </c>
      <c r="Q95" s="118">
        <f>YEAR('BD2'!$N95)</f>
        <v>2025</v>
      </c>
      <c r="R95" s="118">
        <v>2</v>
      </c>
      <c r="S95" s="118" t="s">
        <v>138</v>
      </c>
      <c r="T95" s="118" t="s">
        <v>138</v>
      </c>
      <c r="U95" s="118" t="s">
        <v>138</v>
      </c>
      <c r="V95" s="118" t="s">
        <v>138</v>
      </c>
      <c r="W95" s="118" t="s">
        <v>138</v>
      </c>
      <c r="X95" s="118" t="s">
        <v>138</v>
      </c>
      <c r="Y95" s="118" t="s">
        <v>138</v>
      </c>
      <c r="Z95" s="118" t="str">
        <f>IF('BD2'!$AA95 &lt; 14, "no", "si")</f>
        <v>si</v>
      </c>
      <c r="AA95" s="118">
        <v>42.7</v>
      </c>
      <c r="AB95" s="118">
        <v>48.4</v>
      </c>
      <c r="AC95" s="119" t="s">
        <v>967</v>
      </c>
      <c r="AD95" s="119" t="s">
        <v>954</v>
      </c>
      <c r="AE95" s="118">
        <f t="shared" si="4"/>
        <v>8</v>
      </c>
      <c r="AF95" s="120" t="str">
        <f t="shared" si="5"/>
        <v>Estable</v>
      </c>
    </row>
    <row r="96" spans="1:32" x14ac:dyDescent="0.2">
      <c r="A96" s="121">
        <v>295</v>
      </c>
      <c r="B96" s="122" t="s">
        <v>956</v>
      </c>
      <c r="C96" s="123" t="s">
        <v>429</v>
      </c>
      <c r="D96" s="123" t="s">
        <v>16</v>
      </c>
      <c r="E96" s="124" t="s">
        <v>61</v>
      </c>
      <c r="F96" s="124" t="s">
        <v>506</v>
      </c>
      <c r="G96" s="124" t="s">
        <v>1047</v>
      </c>
      <c r="H96" s="122" t="s">
        <v>8</v>
      </c>
      <c r="I96" s="123">
        <v>21.144442000000002</v>
      </c>
      <c r="J96" s="123">
        <v>-101.7038</v>
      </c>
      <c r="K96" s="122" t="s">
        <v>139</v>
      </c>
      <c r="L96" s="125" t="str">
        <f t="shared" si="3"/>
        <v>Ver en Google Maps</v>
      </c>
      <c r="M96" s="122">
        <v>1</v>
      </c>
      <c r="N96" s="108">
        <v>45958</v>
      </c>
      <c r="O96" s="109">
        <f>DAY('BD2'!$N96)</f>
        <v>28</v>
      </c>
      <c r="P96" s="109">
        <f>MONTH('BD2'!$N96)</f>
        <v>10</v>
      </c>
      <c r="Q96" s="109">
        <f>YEAR('BD2'!$N96)</f>
        <v>2025</v>
      </c>
      <c r="R96" s="109">
        <v>2</v>
      </c>
      <c r="S96" s="109" t="s">
        <v>934</v>
      </c>
      <c r="T96" s="109" t="s">
        <v>934</v>
      </c>
      <c r="U96" s="109" t="s">
        <v>138</v>
      </c>
      <c r="V96" s="109" t="s">
        <v>934</v>
      </c>
      <c r="W96" s="109" t="s">
        <v>138</v>
      </c>
      <c r="X96" s="109" t="s">
        <v>934</v>
      </c>
      <c r="Y96" s="109" t="s">
        <v>934</v>
      </c>
      <c r="Z96" s="109" t="str">
        <f>IF('BD2'!$AA96 &lt; 14, "no", "si")</f>
        <v>no</v>
      </c>
      <c r="AA96" s="109">
        <v>0</v>
      </c>
      <c r="AB96" s="109">
        <v>0</v>
      </c>
      <c r="AC96" s="110" t="s">
        <v>3107</v>
      </c>
      <c r="AD96" s="110" t="s">
        <v>957</v>
      </c>
      <c r="AE96" s="109">
        <f t="shared" si="4"/>
        <v>2</v>
      </c>
      <c r="AF96" s="111" t="str">
        <f t="shared" si="5"/>
        <v>Inoperativo</v>
      </c>
    </row>
    <row r="97" spans="1:32" x14ac:dyDescent="0.2">
      <c r="A97" s="112">
        <v>296</v>
      </c>
      <c r="B97" s="113" t="s">
        <v>956</v>
      </c>
      <c r="C97" s="114" t="s">
        <v>429</v>
      </c>
      <c r="D97" s="114" t="s">
        <v>16</v>
      </c>
      <c r="E97" s="115" t="s">
        <v>191</v>
      </c>
      <c r="F97" s="115" t="s">
        <v>507</v>
      </c>
      <c r="G97" s="115" t="s">
        <v>23</v>
      </c>
      <c r="H97" s="113" t="s">
        <v>8</v>
      </c>
      <c r="I97" s="114">
        <v>21.09517</v>
      </c>
      <c r="J97" s="114">
        <v>-101.71593</v>
      </c>
      <c r="K97" s="113"/>
      <c r="L97" s="116" t="str">
        <f t="shared" si="3"/>
        <v>Ver en Google Maps</v>
      </c>
      <c r="M97" s="113">
        <v>1</v>
      </c>
      <c r="N97" s="129"/>
      <c r="O97" s="118"/>
      <c r="P97" s="118"/>
      <c r="Q97" s="118"/>
      <c r="R97" s="118"/>
      <c r="S97" s="118"/>
      <c r="T97" s="118"/>
      <c r="U97" s="118"/>
      <c r="V97" s="118"/>
      <c r="W97" s="118"/>
      <c r="X97" s="118"/>
      <c r="Y97" s="118"/>
      <c r="Z97" s="118"/>
      <c r="AA97" s="118"/>
      <c r="AB97" s="118"/>
      <c r="AC97" s="118"/>
      <c r="AD97" s="119"/>
      <c r="AE97" s="118"/>
      <c r="AF97" s="120"/>
    </row>
    <row r="98" spans="1:32" x14ac:dyDescent="0.2">
      <c r="A98" s="121">
        <v>298</v>
      </c>
      <c r="B98" s="122" t="s">
        <v>956</v>
      </c>
      <c r="C98" s="123" t="s">
        <v>429</v>
      </c>
      <c r="D98" s="123" t="s">
        <v>16</v>
      </c>
      <c r="E98" s="124" t="s">
        <v>192</v>
      </c>
      <c r="F98" s="124" t="s">
        <v>508</v>
      </c>
      <c r="G98" s="124" t="s">
        <v>1048</v>
      </c>
      <c r="H98" s="122" t="s">
        <v>8</v>
      </c>
      <c r="I98" s="123">
        <v>21.100899999999999</v>
      </c>
      <c r="J98" s="123">
        <v>-101.69466</v>
      </c>
      <c r="K98" s="122" t="s">
        <v>139</v>
      </c>
      <c r="L98" s="125" t="str">
        <f t="shared" si="3"/>
        <v>Ver en Google Maps</v>
      </c>
      <c r="M98" s="122">
        <v>2</v>
      </c>
      <c r="N98" s="108">
        <v>45964</v>
      </c>
      <c r="O98" s="109">
        <f>DAY('BD2'!$N98)</f>
        <v>3</v>
      </c>
      <c r="P98" s="109">
        <f>MONTH('BD2'!$N98)</f>
        <v>11</v>
      </c>
      <c r="Q98" s="109">
        <f>YEAR('BD2'!$N98)</f>
        <v>2025</v>
      </c>
      <c r="R98" s="109">
        <v>2</v>
      </c>
      <c r="S98" s="109" t="s">
        <v>138</v>
      </c>
      <c r="T98" s="109" t="s">
        <v>934</v>
      </c>
      <c r="U98" s="109" t="s">
        <v>138</v>
      </c>
      <c r="V98" s="109" t="s">
        <v>934</v>
      </c>
      <c r="W98" s="109" t="s">
        <v>138</v>
      </c>
      <c r="X98" s="109" t="s">
        <v>934</v>
      </c>
      <c r="Y98" s="109" t="s">
        <v>934</v>
      </c>
      <c r="Z98" s="109" t="str">
        <f>IF('BD2'!$AA98 &lt; 14, "no", "si")</f>
        <v>no</v>
      </c>
      <c r="AA98" s="109">
        <v>0</v>
      </c>
      <c r="AB98" s="109">
        <v>0</v>
      </c>
      <c r="AC98" s="110" t="s">
        <v>3141</v>
      </c>
      <c r="AD98" s="110" t="s">
        <v>954</v>
      </c>
      <c r="AE98" s="109">
        <f t="shared" si="4"/>
        <v>3</v>
      </c>
      <c r="AF98" s="111" t="str">
        <f t="shared" si="5"/>
        <v>Parcialmente funcional</v>
      </c>
    </row>
    <row r="99" spans="1:32" x14ac:dyDescent="0.2">
      <c r="A99" s="112">
        <v>305</v>
      </c>
      <c r="B99" s="113" t="s">
        <v>956</v>
      </c>
      <c r="C99" s="114" t="s">
        <v>429</v>
      </c>
      <c r="D99" s="114" t="s">
        <v>16</v>
      </c>
      <c r="E99" s="115" t="s">
        <v>193</v>
      </c>
      <c r="F99" s="115" t="s">
        <v>509</v>
      </c>
      <c r="G99" s="115" t="s">
        <v>194</v>
      </c>
      <c r="H99" s="113" t="s">
        <v>8</v>
      </c>
      <c r="I99" s="114">
        <v>21.155850000000001</v>
      </c>
      <c r="J99" s="114">
        <v>-101.69033</v>
      </c>
      <c r="K99" s="113" t="s">
        <v>139</v>
      </c>
      <c r="L99" s="116" t="str">
        <f t="shared" si="3"/>
        <v>Ver en Google Maps</v>
      </c>
      <c r="M99" s="113">
        <v>1</v>
      </c>
      <c r="N99" s="117">
        <v>45958</v>
      </c>
      <c r="O99" s="118">
        <f>DAY('BD2'!$N99)</f>
        <v>28</v>
      </c>
      <c r="P99" s="118">
        <f>MONTH('BD2'!$N99)</f>
        <v>10</v>
      </c>
      <c r="Q99" s="118">
        <f>YEAR('BD2'!$N99)</f>
        <v>2025</v>
      </c>
      <c r="R99" s="118">
        <v>2</v>
      </c>
      <c r="S99" s="118" t="s">
        <v>138</v>
      </c>
      <c r="T99" s="118" t="s">
        <v>138</v>
      </c>
      <c r="U99" s="118" t="s">
        <v>138</v>
      </c>
      <c r="V99" s="118" t="s">
        <v>138</v>
      </c>
      <c r="W99" s="118" t="s">
        <v>138</v>
      </c>
      <c r="X99" s="118" t="s">
        <v>138</v>
      </c>
      <c r="Y99" s="118" t="s">
        <v>138</v>
      </c>
      <c r="Z99" s="118" t="str">
        <f>IF('BD2'!$AA99 &lt; 14, "no", "si")</f>
        <v>si</v>
      </c>
      <c r="AA99" s="118">
        <v>56.4</v>
      </c>
      <c r="AB99" s="118">
        <v>27.8</v>
      </c>
      <c r="AC99" s="119" t="s">
        <v>936</v>
      </c>
      <c r="AD99" s="119" t="s">
        <v>954</v>
      </c>
      <c r="AE99" s="118">
        <f t="shared" si="4"/>
        <v>8</v>
      </c>
      <c r="AF99" s="120" t="str">
        <f t="shared" si="5"/>
        <v>Estable</v>
      </c>
    </row>
    <row r="100" spans="1:32" x14ac:dyDescent="0.2">
      <c r="A100" s="121">
        <v>307</v>
      </c>
      <c r="B100" s="122" t="s">
        <v>956</v>
      </c>
      <c r="C100" s="123" t="s">
        <v>429</v>
      </c>
      <c r="D100" s="123" t="s">
        <v>16</v>
      </c>
      <c r="E100" s="124" t="s">
        <v>62</v>
      </c>
      <c r="F100" s="124" t="s">
        <v>510</v>
      </c>
      <c r="G100" s="124" t="s">
        <v>1049</v>
      </c>
      <c r="H100" s="122" t="s">
        <v>8</v>
      </c>
      <c r="I100" s="123">
        <v>21.103490000000001</v>
      </c>
      <c r="J100" s="123">
        <v>-101.66767</v>
      </c>
      <c r="K100" s="122" t="s">
        <v>139</v>
      </c>
      <c r="L100" s="125" t="str">
        <f t="shared" si="3"/>
        <v>Ver en Google Maps</v>
      </c>
      <c r="M100" s="122">
        <v>1</v>
      </c>
      <c r="N100" s="108">
        <v>45964</v>
      </c>
      <c r="O100" s="109">
        <f>DAY('BD2'!$N100)</f>
        <v>3</v>
      </c>
      <c r="P100" s="109">
        <f>MONTH('BD2'!$N100)</f>
        <v>11</v>
      </c>
      <c r="Q100" s="109">
        <f>YEAR('BD2'!$N100)</f>
        <v>2025</v>
      </c>
      <c r="R100" s="109">
        <v>2</v>
      </c>
      <c r="S100" s="109" t="s">
        <v>138</v>
      </c>
      <c r="T100" s="109" t="s">
        <v>138</v>
      </c>
      <c r="U100" s="109" t="s">
        <v>138</v>
      </c>
      <c r="V100" s="109" t="s">
        <v>138</v>
      </c>
      <c r="W100" s="109" t="s">
        <v>138</v>
      </c>
      <c r="X100" s="109" t="s">
        <v>138</v>
      </c>
      <c r="Y100" s="109" t="s">
        <v>138</v>
      </c>
      <c r="Z100" s="109" t="str">
        <f>IF('BD2'!$AA100 &lt; 14, "no", "si")</f>
        <v>no</v>
      </c>
      <c r="AA100" s="109">
        <v>2.54</v>
      </c>
      <c r="AB100" s="109">
        <v>2.0099999999999998</v>
      </c>
      <c r="AC100" s="110" t="s">
        <v>1412</v>
      </c>
      <c r="AD100" s="110" t="s">
        <v>954</v>
      </c>
      <c r="AE100" s="109">
        <f t="shared" si="4"/>
        <v>7</v>
      </c>
      <c r="AF100" s="111" t="str">
        <f t="shared" si="5"/>
        <v>Funcional con observaciones</v>
      </c>
    </row>
    <row r="101" spans="1:32" x14ac:dyDescent="0.2">
      <c r="A101" s="112">
        <v>312</v>
      </c>
      <c r="B101" s="113" t="s">
        <v>956</v>
      </c>
      <c r="C101" s="114" t="s">
        <v>429</v>
      </c>
      <c r="D101" s="114" t="s">
        <v>16</v>
      </c>
      <c r="E101" s="115" t="s">
        <v>63</v>
      </c>
      <c r="F101" s="115" t="s">
        <v>511</v>
      </c>
      <c r="G101" s="115" t="s">
        <v>1050</v>
      </c>
      <c r="H101" s="113" t="s">
        <v>8</v>
      </c>
      <c r="I101" s="114">
        <v>21.12172</v>
      </c>
      <c r="J101" s="114">
        <v>-101.70778</v>
      </c>
      <c r="K101" s="113" t="s">
        <v>139</v>
      </c>
      <c r="L101" s="116" t="str">
        <f t="shared" si="3"/>
        <v>Ver en Google Maps</v>
      </c>
      <c r="M101" s="113">
        <v>2</v>
      </c>
      <c r="N101" s="117">
        <v>45964</v>
      </c>
      <c r="O101" s="118">
        <f>DAY('BD2'!$N101)</f>
        <v>3</v>
      </c>
      <c r="P101" s="118">
        <f>MONTH('BD2'!$N101)</f>
        <v>11</v>
      </c>
      <c r="Q101" s="118">
        <f>YEAR('BD2'!$N101)</f>
        <v>2025</v>
      </c>
      <c r="R101" s="118">
        <v>2</v>
      </c>
      <c r="S101" s="118" t="s">
        <v>138</v>
      </c>
      <c r="T101" s="118" t="s">
        <v>138</v>
      </c>
      <c r="U101" s="118" t="s">
        <v>138</v>
      </c>
      <c r="V101" s="118" t="s">
        <v>138</v>
      </c>
      <c r="W101" s="118" t="s">
        <v>138</v>
      </c>
      <c r="X101" s="118" t="s">
        <v>138</v>
      </c>
      <c r="Y101" s="118" t="s">
        <v>934</v>
      </c>
      <c r="Z101" s="118" t="str">
        <f>IF('BD2'!$AA101 &lt; 14, "no", "si")</f>
        <v>si</v>
      </c>
      <c r="AA101" s="118">
        <v>48.4</v>
      </c>
      <c r="AB101" s="118">
        <v>35.299999999999997</v>
      </c>
      <c r="AC101" s="119" t="s">
        <v>3142</v>
      </c>
      <c r="AD101" s="119" t="s">
        <v>954</v>
      </c>
      <c r="AE101" s="118">
        <f t="shared" si="4"/>
        <v>7</v>
      </c>
      <c r="AF101" s="120" t="str">
        <f t="shared" si="5"/>
        <v>Funcional con observaciones</v>
      </c>
    </row>
    <row r="102" spans="1:32" x14ac:dyDescent="0.2">
      <c r="A102" s="121">
        <v>313</v>
      </c>
      <c r="B102" s="122" t="s">
        <v>956</v>
      </c>
      <c r="C102" s="123" t="s">
        <v>429</v>
      </c>
      <c r="D102" s="123" t="s">
        <v>16</v>
      </c>
      <c r="E102" s="124" t="s">
        <v>64</v>
      </c>
      <c r="F102" s="124" t="s">
        <v>512</v>
      </c>
      <c r="G102" s="124" t="s">
        <v>1051</v>
      </c>
      <c r="H102" s="122" t="s">
        <v>8</v>
      </c>
      <c r="I102" s="123">
        <v>21.119</v>
      </c>
      <c r="J102" s="123">
        <v>-101.65036000000001</v>
      </c>
      <c r="K102" s="122" t="s">
        <v>139</v>
      </c>
      <c r="L102" s="125" t="str">
        <f t="shared" si="3"/>
        <v>Ver en Google Maps</v>
      </c>
      <c r="M102" s="122">
        <v>1</v>
      </c>
      <c r="N102" s="108">
        <v>45955</v>
      </c>
      <c r="O102" s="109">
        <f>DAY('BD2'!$N102)</f>
        <v>25</v>
      </c>
      <c r="P102" s="109">
        <f>MONTH('BD2'!$N102)</f>
        <v>10</v>
      </c>
      <c r="Q102" s="109">
        <f>YEAR('BD2'!$N102)</f>
        <v>2025</v>
      </c>
      <c r="R102" s="109">
        <v>2</v>
      </c>
      <c r="S102" s="109" t="s">
        <v>138</v>
      </c>
      <c r="T102" s="109" t="s">
        <v>138</v>
      </c>
      <c r="U102" s="109" t="s">
        <v>138</v>
      </c>
      <c r="V102" s="109" t="s">
        <v>138</v>
      </c>
      <c r="W102" s="109" t="s">
        <v>138</v>
      </c>
      <c r="X102" s="109" t="s">
        <v>138</v>
      </c>
      <c r="Y102" s="109" t="s">
        <v>138</v>
      </c>
      <c r="Z102" s="109" t="str">
        <f>IF('BD2'!$AA102 &lt; 14, "no", "si")</f>
        <v>no</v>
      </c>
      <c r="AA102" s="109">
        <v>1.72</v>
      </c>
      <c r="AB102" s="109">
        <v>1.76</v>
      </c>
      <c r="AC102" s="110" t="s">
        <v>3092</v>
      </c>
      <c r="AD102" s="110" t="s">
        <v>954</v>
      </c>
      <c r="AE102" s="109">
        <f t="shared" si="4"/>
        <v>7</v>
      </c>
      <c r="AF102" s="111" t="str">
        <f t="shared" si="5"/>
        <v>Funcional con observaciones</v>
      </c>
    </row>
    <row r="103" spans="1:32" x14ac:dyDescent="0.2">
      <c r="A103" s="112">
        <v>314</v>
      </c>
      <c r="B103" s="113" t="s">
        <v>956</v>
      </c>
      <c r="C103" s="114" t="s">
        <v>429</v>
      </c>
      <c r="D103" s="114" t="s">
        <v>16</v>
      </c>
      <c r="E103" s="115" t="s">
        <v>195</v>
      </c>
      <c r="F103" s="115" t="s">
        <v>513</v>
      </c>
      <c r="G103" s="115" t="s">
        <v>1052</v>
      </c>
      <c r="H103" s="113" t="s">
        <v>8</v>
      </c>
      <c r="I103" s="114">
        <v>21.112760000000002</v>
      </c>
      <c r="J103" s="114">
        <v>-101.70654</v>
      </c>
      <c r="K103" s="113" t="s">
        <v>139</v>
      </c>
      <c r="L103" s="116" t="str">
        <f t="shared" si="3"/>
        <v>Ver en Google Maps</v>
      </c>
      <c r="M103" s="113">
        <v>1</v>
      </c>
      <c r="N103" s="117">
        <v>45965</v>
      </c>
      <c r="O103" s="118">
        <f>DAY('BD2'!$N103)</f>
        <v>4</v>
      </c>
      <c r="P103" s="118">
        <f>MONTH('BD2'!$N103)</f>
        <v>11</v>
      </c>
      <c r="Q103" s="118">
        <f>YEAR('BD2'!$N103)</f>
        <v>2025</v>
      </c>
      <c r="R103" s="118">
        <v>2</v>
      </c>
      <c r="S103" s="118" t="s">
        <v>138</v>
      </c>
      <c r="T103" s="118" t="s">
        <v>138</v>
      </c>
      <c r="U103" s="118" t="s">
        <v>138</v>
      </c>
      <c r="V103" s="118" t="s">
        <v>138</v>
      </c>
      <c r="W103" s="118" t="s">
        <v>138</v>
      </c>
      <c r="X103" s="118" t="s">
        <v>138</v>
      </c>
      <c r="Y103" s="118" t="s">
        <v>138</v>
      </c>
      <c r="Z103" s="118" t="str">
        <f>IF('BD2'!$AA103 &lt; 14, "no", "si")</f>
        <v>si</v>
      </c>
      <c r="AA103" s="118">
        <v>128</v>
      </c>
      <c r="AB103" s="118">
        <v>117</v>
      </c>
      <c r="AC103" s="119" t="s">
        <v>967</v>
      </c>
      <c r="AD103" s="119" t="s">
        <v>957</v>
      </c>
      <c r="AE103" s="118">
        <f t="shared" si="4"/>
        <v>8</v>
      </c>
      <c r="AF103" s="120" t="str">
        <f t="shared" si="5"/>
        <v>Estable</v>
      </c>
    </row>
    <row r="104" spans="1:32" x14ac:dyDescent="0.2">
      <c r="A104" s="121">
        <v>315</v>
      </c>
      <c r="B104" s="122" t="s">
        <v>956</v>
      </c>
      <c r="C104" s="123" t="s">
        <v>429</v>
      </c>
      <c r="D104" s="123" t="s">
        <v>16</v>
      </c>
      <c r="E104" s="124" t="s">
        <v>196</v>
      </c>
      <c r="F104" s="124" t="s">
        <v>514</v>
      </c>
      <c r="G104" s="124" t="s">
        <v>1053</v>
      </c>
      <c r="H104" s="122" t="s">
        <v>8</v>
      </c>
      <c r="I104" s="123">
        <v>21.094304999999999</v>
      </c>
      <c r="J104" s="123">
        <v>-101.695171</v>
      </c>
      <c r="K104" s="122"/>
      <c r="L104" s="125" t="str">
        <f t="shared" si="3"/>
        <v>Ver en Google Maps</v>
      </c>
      <c r="M104" s="122">
        <v>1</v>
      </c>
      <c r="N104" s="130"/>
      <c r="O104" s="109"/>
      <c r="P104" s="109"/>
      <c r="Q104" s="109"/>
      <c r="R104" s="109"/>
      <c r="S104" s="109"/>
      <c r="T104" s="109"/>
      <c r="U104" s="109"/>
      <c r="V104" s="109"/>
      <c r="W104" s="109"/>
      <c r="X104" s="109"/>
      <c r="Y104" s="109"/>
      <c r="Z104" s="109"/>
      <c r="AA104" s="109"/>
      <c r="AB104" s="109"/>
      <c r="AC104" s="109"/>
      <c r="AD104" s="110"/>
      <c r="AE104" s="109"/>
      <c r="AF104" s="111"/>
    </row>
    <row r="105" spans="1:32" x14ac:dyDescent="0.2">
      <c r="A105" s="112">
        <v>322</v>
      </c>
      <c r="B105" s="113" t="s">
        <v>956</v>
      </c>
      <c r="C105" s="114" t="s">
        <v>429</v>
      </c>
      <c r="D105" s="114" t="s">
        <v>16</v>
      </c>
      <c r="E105" s="115" t="s">
        <v>65</v>
      </c>
      <c r="F105" s="115" t="s">
        <v>515</v>
      </c>
      <c r="G105" s="115" t="s">
        <v>1054</v>
      </c>
      <c r="H105" s="113" t="s">
        <v>8</v>
      </c>
      <c r="I105" s="114">
        <v>21.109000000000002</v>
      </c>
      <c r="J105" s="114">
        <v>-101.64915000000001</v>
      </c>
      <c r="K105" s="113" t="s">
        <v>139</v>
      </c>
      <c r="L105" s="116" t="str">
        <f t="shared" si="3"/>
        <v>Ver en Google Maps</v>
      </c>
      <c r="M105" s="113">
        <v>2</v>
      </c>
      <c r="N105" s="117">
        <v>45960</v>
      </c>
      <c r="O105" s="118">
        <f>DAY('BD2'!$N105)</f>
        <v>30</v>
      </c>
      <c r="P105" s="118">
        <f>MONTH('BD2'!$N105)</f>
        <v>10</v>
      </c>
      <c r="Q105" s="118">
        <f>YEAR('BD2'!$N105)</f>
        <v>2025</v>
      </c>
      <c r="R105" s="118">
        <v>2</v>
      </c>
      <c r="S105" s="118" t="s">
        <v>138</v>
      </c>
      <c r="T105" s="118" t="s">
        <v>138</v>
      </c>
      <c r="U105" s="118" t="s">
        <v>138</v>
      </c>
      <c r="V105" s="118" t="s">
        <v>138</v>
      </c>
      <c r="W105" s="118" t="s">
        <v>138</v>
      </c>
      <c r="X105" s="118" t="s">
        <v>138</v>
      </c>
      <c r="Y105" s="118" t="s">
        <v>138</v>
      </c>
      <c r="Z105" s="118" t="str">
        <f>IF('BD2'!$AA105 &lt; 14, "no", "si")</f>
        <v>si</v>
      </c>
      <c r="AA105" s="118">
        <v>112</v>
      </c>
      <c r="AB105" s="118">
        <v>57.7</v>
      </c>
      <c r="AC105" s="119" t="s">
        <v>969</v>
      </c>
      <c r="AD105" s="119" t="s">
        <v>954</v>
      </c>
      <c r="AE105" s="118">
        <f t="shared" si="4"/>
        <v>8</v>
      </c>
      <c r="AF105" s="120" t="str">
        <f t="shared" si="5"/>
        <v>Estable</v>
      </c>
    </row>
    <row r="106" spans="1:32" x14ac:dyDescent="0.2">
      <c r="A106" s="121">
        <v>323</v>
      </c>
      <c r="B106" s="122" t="s">
        <v>956</v>
      </c>
      <c r="C106" s="123" t="s">
        <v>429</v>
      </c>
      <c r="D106" s="123" t="s">
        <v>16</v>
      </c>
      <c r="E106" s="124" t="s">
        <v>197</v>
      </c>
      <c r="F106" s="124" t="s">
        <v>516</v>
      </c>
      <c r="G106" s="124" t="s">
        <v>29</v>
      </c>
      <c r="H106" s="122" t="s">
        <v>8</v>
      </c>
      <c r="I106" s="123">
        <v>21.093509999999998</v>
      </c>
      <c r="J106" s="123">
        <v>-101.65509</v>
      </c>
      <c r="K106" s="122"/>
      <c r="L106" s="125" t="str">
        <f t="shared" si="3"/>
        <v>Ver en Google Maps</v>
      </c>
      <c r="M106" s="122">
        <v>2</v>
      </c>
      <c r="N106" s="130"/>
      <c r="O106" s="109"/>
      <c r="P106" s="109"/>
      <c r="Q106" s="109"/>
      <c r="R106" s="109"/>
      <c r="S106" s="109"/>
      <c r="T106" s="109"/>
      <c r="U106" s="109"/>
      <c r="V106" s="109"/>
      <c r="W106" s="109"/>
      <c r="X106" s="109"/>
      <c r="Y106" s="109"/>
      <c r="Z106" s="109"/>
      <c r="AA106" s="109"/>
      <c r="AB106" s="109"/>
      <c r="AC106" s="109"/>
      <c r="AD106" s="110"/>
      <c r="AE106" s="109"/>
      <c r="AF106" s="111"/>
    </row>
    <row r="107" spans="1:32" x14ac:dyDescent="0.2">
      <c r="A107" s="112">
        <v>333</v>
      </c>
      <c r="B107" s="113" t="s">
        <v>956</v>
      </c>
      <c r="C107" s="114" t="s">
        <v>429</v>
      </c>
      <c r="D107" s="114" t="s">
        <v>16</v>
      </c>
      <c r="E107" s="115" t="s">
        <v>198</v>
      </c>
      <c r="F107" s="115" t="s">
        <v>517</v>
      </c>
      <c r="G107" s="115" t="s">
        <v>993</v>
      </c>
      <c r="H107" s="113" t="s">
        <v>8</v>
      </c>
      <c r="I107" s="114">
        <v>21.126930000000002</v>
      </c>
      <c r="J107" s="114">
        <v>-101.70362</v>
      </c>
      <c r="K107" s="113" t="s">
        <v>139</v>
      </c>
      <c r="L107" s="116" t="str">
        <f t="shared" si="3"/>
        <v>Ver en Google Maps</v>
      </c>
      <c r="M107" s="113">
        <v>1</v>
      </c>
      <c r="N107" s="117">
        <v>45958</v>
      </c>
      <c r="O107" s="118">
        <f>DAY('BD2'!$N107)</f>
        <v>28</v>
      </c>
      <c r="P107" s="118">
        <f>MONTH('BD2'!$N107)</f>
        <v>10</v>
      </c>
      <c r="Q107" s="118">
        <f>YEAR('BD2'!$N107)</f>
        <v>2025</v>
      </c>
      <c r="R107" s="118">
        <v>2</v>
      </c>
      <c r="S107" s="118" t="s">
        <v>138</v>
      </c>
      <c r="T107" s="118" t="s">
        <v>138</v>
      </c>
      <c r="U107" s="118" t="s">
        <v>138</v>
      </c>
      <c r="V107" s="118" t="s">
        <v>138</v>
      </c>
      <c r="W107" s="118" t="s">
        <v>138</v>
      </c>
      <c r="X107" s="118" t="s">
        <v>138</v>
      </c>
      <c r="Y107" s="118" t="s">
        <v>138</v>
      </c>
      <c r="Z107" s="118" t="str">
        <f>IF('BD2'!$AA107 &lt; 14, "no", "si")</f>
        <v>si</v>
      </c>
      <c r="AA107" s="118">
        <v>71.099999999999994</v>
      </c>
      <c r="AB107" s="118">
        <v>34.9</v>
      </c>
      <c r="AC107" s="119" t="s">
        <v>969</v>
      </c>
      <c r="AD107" s="119" t="s">
        <v>954</v>
      </c>
      <c r="AE107" s="118">
        <f t="shared" si="4"/>
        <v>8</v>
      </c>
      <c r="AF107" s="120" t="str">
        <f t="shared" si="5"/>
        <v>Estable</v>
      </c>
    </row>
    <row r="108" spans="1:32" x14ac:dyDescent="0.2">
      <c r="A108" s="121">
        <v>334</v>
      </c>
      <c r="B108" s="122" t="s">
        <v>956</v>
      </c>
      <c r="C108" s="123" t="s">
        <v>429</v>
      </c>
      <c r="D108" s="123" t="s">
        <v>16</v>
      </c>
      <c r="E108" s="124" t="s">
        <v>199</v>
      </c>
      <c r="F108" s="124" t="s">
        <v>518</v>
      </c>
      <c r="G108" s="124" t="s">
        <v>1012</v>
      </c>
      <c r="H108" s="122" t="s">
        <v>8</v>
      </c>
      <c r="I108" s="123">
        <v>21.141580000000001</v>
      </c>
      <c r="J108" s="123">
        <v>-101.69583</v>
      </c>
      <c r="K108" s="122"/>
      <c r="L108" s="125" t="str">
        <f t="shared" si="3"/>
        <v>Ver en Google Maps</v>
      </c>
      <c r="M108" s="122">
        <v>2</v>
      </c>
      <c r="N108" s="130"/>
      <c r="O108" s="109"/>
      <c r="P108" s="109"/>
      <c r="Q108" s="109"/>
      <c r="R108" s="109"/>
      <c r="S108" s="109"/>
      <c r="T108" s="109"/>
      <c r="U108" s="109"/>
      <c r="V108" s="109"/>
      <c r="W108" s="109"/>
      <c r="X108" s="109"/>
      <c r="Y108" s="109"/>
      <c r="Z108" s="109"/>
      <c r="AA108" s="109"/>
      <c r="AB108" s="109"/>
      <c r="AC108" s="109"/>
      <c r="AD108" s="110"/>
      <c r="AE108" s="109"/>
      <c r="AF108" s="111"/>
    </row>
    <row r="109" spans="1:32" x14ac:dyDescent="0.2">
      <c r="A109" s="112">
        <v>335</v>
      </c>
      <c r="B109" s="113" t="s">
        <v>956</v>
      </c>
      <c r="C109" s="114" t="s">
        <v>429</v>
      </c>
      <c r="D109" s="114" t="s">
        <v>16</v>
      </c>
      <c r="E109" s="115" t="s">
        <v>66</v>
      </c>
      <c r="F109" s="115" t="s">
        <v>519</v>
      </c>
      <c r="G109" s="115" t="s">
        <v>1055</v>
      </c>
      <c r="H109" s="113" t="s">
        <v>8</v>
      </c>
      <c r="I109" s="114">
        <v>21.115880000000001</v>
      </c>
      <c r="J109" s="114">
        <v>-101.69379000000001</v>
      </c>
      <c r="K109" s="113" t="s">
        <v>139</v>
      </c>
      <c r="L109" s="116" t="str">
        <f t="shared" si="3"/>
        <v>Ver en Google Maps</v>
      </c>
      <c r="M109" s="113">
        <v>1</v>
      </c>
      <c r="N109" s="117">
        <v>45965</v>
      </c>
      <c r="O109" s="118">
        <f>DAY('BD2'!$N109)</f>
        <v>4</v>
      </c>
      <c r="P109" s="118">
        <f>MONTH('BD2'!$N109)</f>
        <v>11</v>
      </c>
      <c r="Q109" s="118">
        <f>YEAR('BD2'!$N109)</f>
        <v>2025</v>
      </c>
      <c r="R109" s="118">
        <v>2</v>
      </c>
      <c r="S109" s="118" t="s">
        <v>138</v>
      </c>
      <c r="T109" s="118" t="s">
        <v>138</v>
      </c>
      <c r="U109" s="118" t="s">
        <v>138</v>
      </c>
      <c r="V109" s="118" t="s">
        <v>138</v>
      </c>
      <c r="W109" s="118" t="s">
        <v>138</v>
      </c>
      <c r="X109" s="118" t="s">
        <v>934</v>
      </c>
      <c r="Y109" s="118" t="s">
        <v>138</v>
      </c>
      <c r="Z109" s="118" t="str">
        <f>IF('BD2'!$AA109 &lt; 14, "no", "si")</f>
        <v>no</v>
      </c>
      <c r="AA109" s="118">
        <v>2.41</v>
      </c>
      <c r="AB109" s="118">
        <v>0.54</v>
      </c>
      <c r="AC109" s="119" t="s">
        <v>3156</v>
      </c>
      <c r="AD109" s="119" t="s">
        <v>957</v>
      </c>
      <c r="AE109" s="118">
        <f t="shared" si="4"/>
        <v>6</v>
      </c>
      <c r="AF109" s="120" t="str">
        <f t="shared" si="5"/>
        <v>Funcional con observaciones</v>
      </c>
    </row>
    <row r="110" spans="1:32" x14ac:dyDescent="0.2">
      <c r="A110" s="121">
        <v>337</v>
      </c>
      <c r="B110" s="122" t="s">
        <v>956</v>
      </c>
      <c r="C110" s="123" t="s">
        <v>429</v>
      </c>
      <c r="D110" s="123" t="s">
        <v>16</v>
      </c>
      <c r="E110" s="124" t="s">
        <v>67</v>
      </c>
      <c r="F110" s="124" t="s">
        <v>520</v>
      </c>
      <c r="G110" s="124" t="s">
        <v>1056</v>
      </c>
      <c r="H110" s="122" t="s">
        <v>8</v>
      </c>
      <c r="I110" s="123">
        <v>21.1296</v>
      </c>
      <c r="J110" s="123">
        <v>-101.70950000000001</v>
      </c>
      <c r="K110" s="122"/>
      <c r="L110" s="125" t="str">
        <f t="shared" si="3"/>
        <v>Ver en Google Maps</v>
      </c>
      <c r="M110" s="122">
        <v>1</v>
      </c>
      <c r="N110" s="130"/>
      <c r="O110" s="109"/>
      <c r="P110" s="109"/>
      <c r="Q110" s="109"/>
      <c r="R110" s="109"/>
      <c r="S110" s="109"/>
      <c r="T110" s="109"/>
      <c r="U110" s="109"/>
      <c r="V110" s="109"/>
      <c r="W110" s="109"/>
      <c r="X110" s="109"/>
      <c r="Y110" s="109"/>
      <c r="Z110" s="109"/>
      <c r="AA110" s="109"/>
      <c r="AB110" s="109"/>
      <c r="AC110" s="109"/>
      <c r="AD110" s="110"/>
      <c r="AE110" s="109"/>
      <c r="AF110" s="111"/>
    </row>
    <row r="111" spans="1:32" x14ac:dyDescent="0.2">
      <c r="A111" s="112">
        <v>339</v>
      </c>
      <c r="B111" s="113" t="s">
        <v>956</v>
      </c>
      <c r="C111" s="114" t="s">
        <v>429</v>
      </c>
      <c r="D111" s="114" t="s">
        <v>16</v>
      </c>
      <c r="E111" s="115" t="s">
        <v>68</v>
      </c>
      <c r="F111" s="115" t="s">
        <v>521</v>
      </c>
      <c r="G111" s="115" t="s">
        <v>1003</v>
      </c>
      <c r="H111" s="113" t="s">
        <v>8</v>
      </c>
      <c r="I111" s="114">
        <v>21.098794000000002</v>
      </c>
      <c r="J111" s="114">
        <v>-101.65069</v>
      </c>
      <c r="K111" s="113" t="s">
        <v>139</v>
      </c>
      <c r="L111" s="116" t="str">
        <f t="shared" si="3"/>
        <v>Ver en Google Maps</v>
      </c>
      <c r="M111" s="113">
        <v>2</v>
      </c>
      <c r="N111" s="117">
        <v>45964</v>
      </c>
      <c r="O111" s="118">
        <f>DAY('BD2'!$N111)</f>
        <v>3</v>
      </c>
      <c r="P111" s="118">
        <f>MONTH('BD2'!$N111)</f>
        <v>11</v>
      </c>
      <c r="Q111" s="118">
        <f>YEAR('BD2'!$N111)</f>
        <v>2025</v>
      </c>
      <c r="R111" s="118">
        <v>2</v>
      </c>
      <c r="S111" s="118" t="s">
        <v>138</v>
      </c>
      <c r="T111" s="118" t="s">
        <v>138</v>
      </c>
      <c r="U111" s="118" t="s">
        <v>138</v>
      </c>
      <c r="V111" s="118" t="s">
        <v>138</v>
      </c>
      <c r="W111" s="118" t="s">
        <v>138</v>
      </c>
      <c r="X111" s="118" t="s">
        <v>138</v>
      </c>
      <c r="Y111" s="118" t="s">
        <v>138</v>
      </c>
      <c r="Z111" s="118" t="str">
        <f>IF('BD2'!$AA111 &lt; 14, "no", "si")</f>
        <v>si</v>
      </c>
      <c r="AA111" s="118">
        <v>37.6</v>
      </c>
      <c r="AB111" s="118">
        <v>66.900000000000006</v>
      </c>
      <c r="AC111" s="119" t="s">
        <v>3142</v>
      </c>
      <c r="AD111" s="119" t="s">
        <v>954</v>
      </c>
      <c r="AE111" s="118">
        <f t="shared" si="4"/>
        <v>8</v>
      </c>
      <c r="AF111" s="120" t="str">
        <f t="shared" si="5"/>
        <v>Estable</v>
      </c>
    </row>
    <row r="112" spans="1:32" x14ac:dyDescent="0.2">
      <c r="A112" s="121">
        <v>340</v>
      </c>
      <c r="B112" s="122" t="s">
        <v>956</v>
      </c>
      <c r="C112" s="123" t="s">
        <v>429</v>
      </c>
      <c r="D112" s="123" t="s">
        <v>16</v>
      </c>
      <c r="E112" s="124" t="s">
        <v>200</v>
      </c>
      <c r="F112" s="124" t="s">
        <v>522</v>
      </c>
      <c r="G112" s="124" t="s">
        <v>1057</v>
      </c>
      <c r="H112" s="122" t="s">
        <v>8</v>
      </c>
      <c r="I112" s="123">
        <v>21.098649999999999</v>
      </c>
      <c r="J112" s="123">
        <v>-101.72927</v>
      </c>
      <c r="K112" s="122"/>
      <c r="L112" s="125" t="str">
        <f t="shared" si="3"/>
        <v>Ver en Google Maps</v>
      </c>
      <c r="M112" s="122">
        <v>1</v>
      </c>
      <c r="N112" s="130"/>
      <c r="O112" s="109"/>
      <c r="P112" s="109"/>
      <c r="Q112" s="109"/>
      <c r="R112" s="109"/>
      <c r="S112" s="109"/>
      <c r="T112" s="109"/>
      <c r="U112" s="109"/>
      <c r="V112" s="109"/>
      <c r="W112" s="109"/>
      <c r="X112" s="109"/>
      <c r="Y112" s="109"/>
      <c r="Z112" s="109"/>
      <c r="AA112" s="109"/>
      <c r="AB112" s="109"/>
      <c r="AC112" s="109"/>
      <c r="AD112" s="110"/>
      <c r="AE112" s="109"/>
      <c r="AF112" s="111"/>
    </row>
    <row r="113" spans="1:32" x14ac:dyDescent="0.2">
      <c r="A113" s="112">
        <v>342</v>
      </c>
      <c r="B113" s="113" t="s">
        <v>956</v>
      </c>
      <c r="C113" s="114" t="s">
        <v>429</v>
      </c>
      <c r="D113" s="114" t="s">
        <v>16</v>
      </c>
      <c r="E113" s="115" t="s">
        <v>201</v>
      </c>
      <c r="F113" s="115" t="s">
        <v>523</v>
      </c>
      <c r="G113" s="115" t="s">
        <v>984</v>
      </c>
      <c r="H113" s="113" t="s">
        <v>8</v>
      </c>
      <c r="I113" s="114">
        <v>21.14124</v>
      </c>
      <c r="J113" s="114">
        <v>-101.67006000000001</v>
      </c>
      <c r="K113" s="113" t="s">
        <v>139</v>
      </c>
      <c r="L113" s="116" t="str">
        <f t="shared" si="3"/>
        <v>Ver en Google Maps</v>
      </c>
      <c r="M113" s="113">
        <v>1</v>
      </c>
      <c r="N113" s="117">
        <v>45955</v>
      </c>
      <c r="O113" s="118">
        <f>DAY('BD2'!$N113)</f>
        <v>25</v>
      </c>
      <c r="P113" s="118">
        <f>MONTH('BD2'!$N113)</f>
        <v>10</v>
      </c>
      <c r="Q113" s="118">
        <f>YEAR('BD2'!$N113)</f>
        <v>2025</v>
      </c>
      <c r="R113" s="118">
        <v>2</v>
      </c>
      <c r="S113" s="118" t="s">
        <v>138</v>
      </c>
      <c r="T113" s="118" t="s">
        <v>138</v>
      </c>
      <c r="U113" s="118" t="s">
        <v>138</v>
      </c>
      <c r="V113" s="118" t="s">
        <v>138</v>
      </c>
      <c r="W113" s="118" t="s">
        <v>138</v>
      </c>
      <c r="X113" s="118" t="s">
        <v>138</v>
      </c>
      <c r="Y113" s="118" t="s">
        <v>138</v>
      </c>
      <c r="Z113" s="118" t="str">
        <f>IF('BD2'!$AA113 &lt; 14, "no", "si")</f>
        <v>si</v>
      </c>
      <c r="AA113" s="118">
        <v>98.4</v>
      </c>
      <c r="AB113" s="118">
        <v>49</v>
      </c>
      <c r="AC113" s="119" t="s">
        <v>967</v>
      </c>
      <c r="AD113" s="119" t="s">
        <v>954</v>
      </c>
      <c r="AE113" s="118">
        <f t="shared" si="4"/>
        <v>8</v>
      </c>
      <c r="AF113" s="120" t="str">
        <f t="shared" si="5"/>
        <v>Estable</v>
      </c>
    </row>
    <row r="114" spans="1:32" x14ac:dyDescent="0.2">
      <c r="A114" s="121">
        <v>345</v>
      </c>
      <c r="B114" s="122" t="s">
        <v>956</v>
      </c>
      <c r="C114" s="123" t="s">
        <v>429</v>
      </c>
      <c r="D114" s="123" t="s">
        <v>16</v>
      </c>
      <c r="E114" s="124" t="s">
        <v>202</v>
      </c>
      <c r="F114" s="124" t="s">
        <v>524</v>
      </c>
      <c r="G114" s="124" t="s">
        <v>1058</v>
      </c>
      <c r="H114" s="122" t="s">
        <v>8</v>
      </c>
      <c r="I114" s="123">
        <v>21.144580000000001</v>
      </c>
      <c r="J114" s="123">
        <v>-101.68037</v>
      </c>
      <c r="K114" s="122" t="s">
        <v>139</v>
      </c>
      <c r="L114" s="125" t="str">
        <f t="shared" si="3"/>
        <v>Ver en Google Maps</v>
      </c>
      <c r="M114" s="122">
        <v>1</v>
      </c>
      <c r="N114" s="108">
        <v>45958</v>
      </c>
      <c r="O114" s="109">
        <f>DAY('BD2'!$N114)</f>
        <v>28</v>
      </c>
      <c r="P114" s="109">
        <f>MONTH('BD2'!$N114)</f>
        <v>10</v>
      </c>
      <c r="Q114" s="109">
        <f>YEAR('BD2'!$N114)</f>
        <v>2025</v>
      </c>
      <c r="R114" s="109">
        <v>2</v>
      </c>
      <c r="S114" s="109" t="s">
        <v>138</v>
      </c>
      <c r="T114" s="109" t="s">
        <v>138</v>
      </c>
      <c r="U114" s="109" t="s">
        <v>138</v>
      </c>
      <c r="V114" s="109" t="s">
        <v>138</v>
      </c>
      <c r="W114" s="109" t="s">
        <v>138</v>
      </c>
      <c r="X114" s="109" t="s">
        <v>138</v>
      </c>
      <c r="Y114" s="109" t="s">
        <v>138</v>
      </c>
      <c r="Z114" s="109" t="str">
        <f>IF('BD2'!$AA114 &lt; 14, "no", "si")</f>
        <v>si</v>
      </c>
      <c r="AA114" s="109">
        <v>98.2</v>
      </c>
      <c r="AB114" s="109">
        <v>28.7</v>
      </c>
      <c r="AC114" s="110" t="s">
        <v>1412</v>
      </c>
      <c r="AD114" s="110" t="s">
        <v>957</v>
      </c>
      <c r="AE114" s="109">
        <f t="shared" si="4"/>
        <v>8</v>
      </c>
      <c r="AF114" s="111" t="str">
        <f t="shared" si="5"/>
        <v>Estable</v>
      </c>
    </row>
    <row r="115" spans="1:32" x14ac:dyDescent="0.2">
      <c r="A115" s="112">
        <v>346</v>
      </c>
      <c r="B115" s="113" t="s">
        <v>956</v>
      </c>
      <c r="C115" s="114" t="s">
        <v>429</v>
      </c>
      <c r="D115" s="114" t="s">
        <v>16</v>
      </c>
      <c r="E115" s="115" t="s">
        <v>203</v>
      </c>
      <c r="F115" s="115" t="s">
        <v>525</v>
      </c>
      <c r="G115" s="115" t="s">
        <v>1056</v>
      </c>
      <c r="H115" s="113" t="s">
        <v>8</v>
      </c>
      <c r="I115" s="114">
        <v>21.130379999999999</v>
      </c>
      <c r="J115" s="114">
        <v>-101.70565999999999</v>
      </c>
      <c r="K115" s="113"/>
      <c r="L115" s="116" t="str">
        <f t="shared" si="3"/>
        <v>Ver en Google Maps</v>
      </c>
      <c r="M115" s="113">
        <v>1</v>
      </c>
      <c r="N115" s="129"/>
      <c r="O115" s="118"/>
      <c r="P115" s="118"/>
      <c r="Q115" s="118"/>
      <c r="R115" s="118"/>
      <c r="S115" s="118"/>
      <c r="T115" s="118"/>
      <c r="U115" s="118"/>
      <c r="V115" s="118"/>
      <c r="W115" s="118"/>
      <c r="X115" s="118"/>
      <c r="Y115" s="118"/>
      <c r="Z115" s="118"/>
      <c r="AA115" s="118"/>
      <c r="AB115" s="118"/>
      <c r="AC115" s="118"/>
      <c r="AD115" s="119"/>
      <c r="AE115" s="118"/>
      <c r="AF115" s="120"/>
    </row>
    <row r="116" spans="1:32" x14ac:dyDescent="0.2">
      <c r="A116" s="121">
        <v>350</v>
      </c>
      <c r="B116" s="122" t="s">
        <v>956</v>
      </c>
      <c r="C116" s="123" t="s">
        <v>429</v>
      </c>
      <c r="D116" s="123" t="s">
        <v>16</v>
      </c>
      <c r="E116" s="124" t="s">
        <v>204</v>
      </c>
      <c r="F116" s="124" t="s">
        <v>526</v>
      </c>
      <c r="G116" s="124" t="s">
        <v>1059</v>
      </c>
      <c r="H116" s="122" t="s">
        <v>8</v>
      </c>
      <c r="I116" s="123">
        <v>21.115872</v>
      </c>
      <c r="J116" s="123">
        <v>-101.713961</v>
      </c>
      <c r="K116" s="122"/>
      <c r="L116" s="125" t="str">
        <f t="shared" si="3"/>
        <v>Ver en Google Maps</v>
      </c>
      <c r="M116" s="122">
        <v>1</v>
      </c>
      <c r="N116" s="130"/>
      <c r="O116" s="109"/>
      <c r="P116" s="109"/>
      <c r="Q116" s="109"/>
      <c r="R116" s="109"/>
      <c r="S116" s="109"/>
      <c r="T116" s="109"/>
      <c r="U116" s="109"/>
      <c r="V116" s="109"/>
      <c r="W116" s="109"/>
      <c r="X116" s="109"/>
      <c r="Y116" s="109"/>
      <c r="Z116" s="109"/>
      <c r="AA116" s="109"/>
      <c r="AB116" s="109"/>
      <c r="AC116" s="109"/>
      <c r="AD116" s="110"/>
      <c r="AE116" s="109"/>
      <c r="AF116" s="111"/>
    </row>
    <row r="117" spans="1:32" x14ac:dyDescent="0.2">
      <c r="A117" s="112">
        <v>352</v>
      </c>
      <c r="B117" s="113" t="s">
        <v>956</v>
      </c>
      <c r="C117" s="114" t="s">
        <v>429</v>
      </c>
      <c r="D117" s="114" t="s">
        <v>16</v>
      </c>
      <c r="E117" s="115" t="s">
        <v>69</v>
      </c>
      <c r="F117" s="115" t="s">
        <v>527</v>
      </c>
      <c r="G117" s="115" t="s">
        <v>70</v>
      </c>
      <c r="H117" s="113" t="s">
        <v>8</v>
      </c>
      <c r="I117" s="114">
        <v>21.105709999999998</v>
      </c>
      <c r="J117" s="114">
        <v>-101.68573000000001</v>
      </c>
      <c r="K117" s="113" t="s">
        <v>139</v>
      </c>
      <c r="L117" s="116" t="str">
        <f t="shared" si="3"/>
        <v>Ver en Google Maps</v>
      </c>
      <c r="M117" s="113">
        <v>1</v>
      </c>
      <c r="N117" s="117">
        <v>45964</v>
      </c>
      <c r="O117" s="118">
        <f>DAY('BD2'!$N117)</f>
        <v>3</v>
      </c>
      <c r="P117" s="118">
        <f>MONTH('BD2'!$N117)</f>
        <v>11</v>
      </c>
      <c r="Q117" s="118">
        <f>YEAR('BD2'!$N117)</f>
        <v>2025</v>
      </c>
      <c r="R117" s="118">
        <v>2</v>
      </c>
      <c r="S117" s="118" t="s">
        <v>138</v>
      </c>
      <c r="T117" s="118" t="s">
        <v>934</v>
      </c>
      <c r="U117" s="118" t="s">
        <v>138</v>
      </c>
      <c r="V117" s="118" t="s">
        <v>934</v>
      </c>
      <c r="W117" s="118" t="s">
        <v>138</v>
      </c>
      <c r="X117" s="118" t="s">
        <v>934</v>
      </c>
      <c r="Y117" s="118" t="s">
        <v>934</v>
      </c>
      <c r="Z117" s="118" t="str">
        <f>IF('BD2'!$AA117 &lt; 14, "no", "si")</f>
        <v>no</v>
      </c>
      <c r="AA117" s="118">
        <v>1.66</v>
      </c>
      <c r="AB117" s="118">
        <v>0</v>
      </c>
      <c r="AC117" s="119" t="s">
        <v>3142</v>
      </c>
      <c r="AD117" s="119" t="s">
        <v>957</v>
      </c>
      <c r="AE117" s="118">
        <f t="shared" si="4"/>
        <v>3</v>
      </c>
      <c r="AF117" s="120" t="str">
        <f t="shared" si="5"/>
        <v>Parcialmente funcional</v>
      </c>
    </row>
    <row r="118" spans="1:32" x14ac:dyDescent="0.2">
      <c r="A118" s="121">
        <v>353</v>
      </c>
      <c r="B118" s="122" t="s">
        <v>956</v>
      </c>
      <c r="C118" s="123" t="s">
        <v>429</v>
      </c>
      <c r="D118" s="123" t="s">
        <v>16</v>
      </c>
      <c r="E118" s="124" t="s">
        <v>71</v>
      </c>
      <c r="F118" s="124" t="s">
        <v>528</v>
      </c>
      <c r="G118" s="124" t="s">
        <v>1016</v>
      </c>
      <c r="H118" s="122" t="s">
        <v>8</v>
      </c>
      <c r="I118" s="123">
        <v>21.089120000000001</v>
      </c>
      <c r="J118" s="123">
        <v>-101.631255</v>
      </c>
      <c r="K118" s="122"/>
      <c r="L118" s="125" t="str">
        <f t="shared" si="3"/>
        <v>Ver en Google Maps</v>
      </c>
      <c r="M118" s="122">
        <v>1</v>
      </c>
      <c r="N118" s="130"/>
      <c r="O118" s="109"/>
      <c r="P118" s="109"/>
      <c r="Q118" s="109"/>
      <c r="R118" s="109"/>
      <c r="S118" s="109"/>
      <c r="T118" s="109"/>
      <c r="U118" s="109"/>
      <c r="V118" s="109"/>
      <c r="W118" s="109"/>
      <c r="X118" s="109"/>
      <c r="Y118" s="109"/>
      <c r="Z118" s="109"/>
      <c r="AA118" s="109"/>
      <c r="AB118" s="109"/>
      <c r="AC118" s="109"/>
      <c r="AD118" s="110"/>
      <c r="AE118" s="109"/>
      <c r="AF118" s="111"/>
    </row>
    <row r="119" spans="1:32" x14ac:dyDescent="0.2">
      <c r="A119" s="112">
        <v>354</v>
      </c>
      <c r="B119" s="113" t="s">
        <v>956</v>
      </c>
      <c r="C119" s="114" t="s">
        <v>429</v>
      </c>
      <c r="D119" s="114" t="s">
        <v>16</v>
      </c>
      <c r="E119" s="115" t="s">
        <v>205</v>
      </c>
      <c r="F119" s="115" t="s">
        <v>529</v>
      </c>
      <c r="G119" s="115" t="s">
        <v>1060</v>
      </c>
      <c r="H119" s="113" t="s">
        <v>8</v>
      </c>
      <c r="I119" s="114">
        <v>21.138490000000001</v>
      </c>
      <c r="J119" s="114">
        <v>-101.70775999999999</v>
      </c>
      <c r="K119" s="113" t="s">
        <v>139</v>
      </c>
      <c r="L119" s="116" t="str">
        <f t="shared" si="3"/>
        <v>Ver en Google Maps</v>
      </c>
      <c r="M119" s="113">
        <v>1</v>
      </c>
      <c r="N119" s="117">
        <v>45958</v>
      </c>
      <c r="O119" s="118">
        <f>DAY('BD2'!$N119)</f>
        <v>28</v>
      </c>
      <c r="P119" s="118">
        <f>MONTH('BD2'!$N119)</f>
        <v>10</v>
      </c>
      <c r="Q119" s="118">
        <f>YEAR('BD2'!$N119)</f>
        <v>2025</v>
      </c>
      <c r="R119" s="118">
        <v>2</v>
      </c>
      <c r="S119" s="118" t="s">
        <v>138</v>
      </c>
      <c r="T119" s="118" t="s">
        <v>138</v>
      </c>
      <c r="U119" s="118" t="s">
        <v>138</v>
      </c>
      <c r="V119" s="118" t="s">
        <v>138</v>
      </c>
      <c r="W119" s="118" t="s">
        <v>138</v>
      </c>
      <c r="X119" s="118" t="s">
        <v>138</v>
      </c>
      <c r="Y119" s="118" t="s">
        <v>138</v>
      </c>
      <c r="Z119" s="118" t="str">
        <f>IF('BD2'!$AA119 &lt; 14, "no", "si")</f>
        <v>si</v>
      </c>
      <c r="AA119" s="118">
        <v>46.5</v>
      </c>
      <c r="AB119" s="118">
        <v>24</v>
      </c>
      <c r="AC119" s="119" t="s">
        <v>969</v>
      </c>
      <c r="AD119" s="119" t="s">
        <v>957</v>
      </c>
      <c r="AE119" s="118">
        <f t="shared" si="4"/>
        <v>8</v>
      </c>
      <c r="AF119" s="120" t="str">
        <f t="shared" si="5"/>
        <v>Estable</v>
      </c>
    </row>
    <row r="120" spans="1:32" x14ac:dyDescent="0.2">
      <c r="A120" s="121">
        <v>355</v>
      </c>
      <c r="B120" s="122" t="s">
        <v>956</v>
      </c>
      <c r="C120" s="123" t="s">
        <v>429</v>
      </c>
      <c r="D120" s="123" t="s">
        <v>16</v>
      </c>
      <c r="E120" s="124" t="s">
        <v>206</v>
      </c>
      <c r="F120" s="124" t="s">
        <v>530</v>
      </c>
      <c r="G120" s="124" t="s">
        <v>1060</v>
      </c>
      <c r="H120" s="122" t="s">
        <v>8</v>
      </c>
      <c r="I120" s="123">
        <v>21.13888</v>
      </c>
      <c r="J120" s="123">
        <v>-101.69905</v>
      </c>
      <c r="K120" s="122" t="s">
        <v>139</v>
      </c>
      <c r="L120" s="125" t="str">
        <f t="shared" si="3"/>
        <v>Ver en Google Maps</v>
      </c>
      <c r="M120" s="122">
        <v>2</v>
      </c>
      <c r="N120" s="108">
        <v>45958</v>
      </c>
      <c r="O120" s="109">
        <f>DAY('BD2'!$N120)</f>
        <v>28</v>
      </c>
      <c r="P120" s="109">
        <f>MONTH('BD2'!$N120)</f>
        <v>10</v>
      </c>
      <c r="Q120" s="109">
        <f>YEAR('BD2'!$N120)</f>
        <v>2025</v>
      </c>
      <c r="R120" s="109">
        <v>2</v>
      </c>
      <c r="S120" s="109" t="s">
        <v>138</v>
      </c>
      <c r="T120" s="109" t="s">
        <v>138</v>
      </c>
      <c r="U120" s="109" t="s">
        <v>138</v>
      </c>
      <c r="V120" s="109" t="s">
        <v>138</v>
      </c>
      <c r="W120" s="109" t="s">
        <v>138</v>
      </c>
      <c r="X120" s="109" t="s">
        <v>138</v>
      </c>
      <c r="Y120" s="109" t="s">
        <v>138</v>
      </c>
      <c r="Z120" s="109" t="str">
        <f>IF('BD2'!$AA120 &lt; 14, "no", "si")</f>
        <v>si</v>
      </c>
      <c r="AA120" s="109">
        <v>83.6</v>
      </c>
      <c r="AB120" s="109">
        <v>108</v>
      </c>
      <c r="AC120" s="110" t="s">
        <v>959</v>
      </c>
      <c r="AD120" s="110" t="s">
        <v>954</v>
      </c>
      <c r="AE120" s="109">
        <f t="shared" si="4"/>
        <v>8</v>
      </c>
      <c r="AF120" s="111" t="str">
        <f t="shared" si="5"/>
        <v>Estable</v>
      </c>
    </row>
    <row r="121" spans="1:32" x14ac:dyDescent="0.2">
      <c r="A121" s="112">
        <v>357</v>
      </c>
      <c r="B121" s="113" t="s">
        <v>956</v>
      </c>
      <c r="C121" s="114" t="s">
        <v>429</v>
      </c>
      <c r="D121" s="114" t="s">
        <v>16</v>
      </c>
      <c r="E121" s="115" t="s">
        <v>207</v>
      </c>
      <c r="F121" s="115" t="s">
        <v>531</v>
      </c>
      <c r="G121" s="115" t="s">
        <v>1061</v>
      </c>
      <c r="H121" s="113" t="s">
        <v>8</v>
      </c>
      <c r="I121" s="114">
        <v>21.137371000000002</v>
      </c>
      <c r="J121" s="114">
        <v>-101.695953</v>
      </c>
      <c r="K121" s="113"/>
      <c r="L121" s="116" t="str">
        <f t="shared" si="3"/>
        <v>Ver en Google Maps</v>
      </c>
      <c r="M121" s="113">
        <v>1</v>
      </c>
      <c r="N121" s="129"/>
      <c r="O121" s="118"/>
      <c r="P121" s="118"/>
      <c r="Q121" s="118"/>
      <c r="R121" s="118"/>
      <c r="S121" s="118"/>
      <c r="T121" s="118"/>
      <c r="U121" s="118"/>
      <c r="V121" s="118"/>
      <c r="W121" s="118"/>
      <c r="X121" s="118"/>
      <c r="Y121" s="118"/>
      <c r="Z121" s="118"/>
      <c r="AA121" s="118"/>
      <c r="AB121" s="118"/>
      <c r="AC121" s="118"/>
      <c r="AD121" s="119"/>
      <c r="AE121" s="118"/>
      <c r="AF121" s="120"/>
    </row>
    <row r="122" spans="1:32" x14ac:dyDescent="0.2">
      <c r="A122" s="121">
        <v>358</v>
      </c>
      <c r="B122" s="122" t="s">
        <v>956</v>
      </c>
      <c r="C122" s="123" t="s">
        <v>429</v>
      </c>
      <c r="D122" s="123" t="s">
        <v>16</v>
      </c>
      <c r="E122" s="124" t="s">
        <v>208</v>
      </c>
      <c r="F122" s="124" t="s">
        <v>532</v>
      </c>
      <c r="G122" s="124" t="s">
        <v>1062</v>
      </c>
      <c r="H122" s="122" t="s">
        <v>8</v>
      </c>
      <c r="I122" s="123">
        <v>21.127739999999999</v>
      </c>
      <c r="J122" s="123">
        <v>-101.64878</v>
      </c>
      <c r="K122" s="122" t="s">
        <v>139</v>
      </c>
      <c r="L122" s="125" t="str">
        <f t="shared" si="3"/>
        <v>Ver en Google Maps</v>
      </c>
      <c r="M122" s="122">
        <v>1</v>
      </c>
      <c r="N122" s="108">
        <v>45957</v>
      </c>
      <c r="O122" s="109">
        <f>DAY('BD2'!$N122)</f>
        <v>27</v>
      </c>
      <c r="P122" s="109">
        <f>MONTH('BD2'!$N122)</f>
        <v>10</v>
      </c>
      <c r="Q122" s="109">
        <f>YEAR('BD2'!$N122)</f>
        <v>2025</v>
      </c>
      <c r="R122" s="109">
        <v>2</v>
      </c>
      <c r="S122" s="109" t="s">
        <v>138</v>
      </c>
      <c r="T122" s="109" t="s">
        <v>138</v>
      </c>
      <c r="U122" s="109" t="s">
        <v>138</v>
      </c>
      <c r="V122" s="109" t="s">
        <v>138</v>
      </c>
      <c r="W122" s="109" t="s">
        <v>138</v>
      </c>
      <c r="X122" s="109" t="s">
        <v>138</v>
      </c>
      <c r="Y122" s="109" t="s">
        <v>138</v>
      </c>
      <c r="Z122" s="109" t="str">
        <f>IF('BD2'!$AA122 &lt; 14, "no", "si")</f>
        <v>no</v>
      </c>
      <c r="AA122" s="109">
        <v>12.3</v>
      </c>
      <c r="AB122" s="109">
        <v>94.6</v>
      </c>
      <c r="AC122" s="110" t="s">
        <v>3097</v>
      </c>
      <c r="AD122" s="110" t="s">
        <v>954</v>
      </c>
      <c r="AE122" s="109">
        <f t="shared" si="4"/>
        <v>7</v>
      </c>
      <c r="AF122" s="111" t="str">
        <f t="shared" si="5"/>
        <v>Funcional con observaciones</v>
      </c>
    </row>
    <row r="123" spans="1:32" x14ac:dyDescent="0.2">
      <c r="A123" s="112">
        <v>359</v>
      </c>
      <c r="B123" s="113" t="s">
        <v>956</v>
      </c>
      <c r="C123" s="114" t="s">
        <v>429</v>
      </c>
      <c r="D123" s="114" t="s">
        <v>16</v>
      </c>
      <c r="E123" s="115" t="s">
        <v>209</v>
      </c>
      <c r="F123" s="115" t="s">
        <v>533</v>
      </c>
      <c r="G123" s="115" t="s">
        <v>1049</v>
      </c>
      <c r="H123" s="113" t="s">
        <v>8</v>
      </c>
      <c r="I123" s="114">
        <v>21.102599999999999</v>
      </c>
      <c r="J123" s="114">
        <v>-101.66695</v>
      </c>
      <c r="K123" s="113" t="s">
        <v>139</v>
      </c>
      <c r="L123" s="116" t="str">
        <f t="shared" si="3"/>
        <v>Ver en Google Maps</v>
      </c>
      <c r="M123" s="113">
        <v>1</v>
      </c>
      <c r="N123" s="117">
        <v>45964</v>
      </c>
      <c r="O123" s="118">
        <f>DAY('BD2'!$N123)</f>
        <v>3</v>
      </c>
      <c r="P123" s="118">
        <f>MONTH('BD2'!$N123)</f>
        <v>11</v>
      </c>
      <c r="Q123" s="118">
        <f>YEAR('BD2'!$N123)</f>
        <v>2025</v>
      </c>
      <c r="R123" s="118">
        <v>2</v>
      </c>
      <c r="S123" s="118" t="s">
        <v>138</v>
      </c>
      <c r="T123" s="118" t="s">
        <v>138</v>
      </c>
      <c r="U123" s="118" t="s">
        <v>138</v>
      </c>
      <c r="V123" s="118" t="s">
        <v>138</v>
      </c>
      <c r="W123" s="118" t="s">
        <v>138</v>
      </c>
      <c r="X123" s="118" t="s">
        <v>138</v>
      </c>
      <c r="Y123" s="118" t="s">
        <v>138</v>
      </c>
      <c r="Z123" s="118" t="str">
        <f>IF('BD2'!$AA123 &lt; 14, "no", "si")</f>
        <v>si</v>
      </c>
      <c r="AA123" s="118">
        <v>42.7</v>
      </c>
      <c r="AB123" s="118">
        <v>11.2</v>
      </c>
      <c r="AC123" s="119" t="s">
        <v>967</v>
      </c>
      <c r="AD123" s="119" t="s">
        <v>954</v>
      </c>
      <c r="AE123" s="118">
        <f t="shared" si="4"/>
        <v>8</v>
      </c>
      <c r="AF123" s="120" t="str">
        <f t="shared" si="5"/>
        <v>Estable</v>
      </c>
    </row>
    <row r="124" spans="1:32" x14ac:dyDescent="0.2">
      <c r="A124" s="121">
        <v>360</v>
      </c>
      <c r="B124" s="122" t="s">
        <v>956</v>
      </c>
      <c r="C124" s="123" t="s">
        <v>429</v>
      </c>
      <c r="D124" s="123" t="s">
        <v>16</v>
      </c>
      <c r="E124" s="124" t="s">
        <v>210</v>
      </c>
      <c r="F124" s="124" t="s">
        <v>534</v>
      </c>
      <c r="G124" s="124" t="s">
        <v>1063</v>
      </c>
      <c r="H124" s="122" t="s">
        <v>8</v>
      </c>
      <c r="I124" s="123">
        <v>21.131623999999999</v>
      </c>
      <c r="J124" s="123">
        <v>-101.67470299999999</v>
      </c>
      <c r="K124" s="122" t="s">
        <v>139</v>
      </c>
      <c r="L124" s="125" t="str">
        <f t="shared" si="3"/>
        <v>Ver en Google Maps</v>
      </c>
      <c r="M124" s="122">
        <v>1</v>
      </c>
      <c r="N124" s="108">
        <v>45954</v>
      </c>
      <c r="O124" s="109">
        <f>DAY('BD2'!$N124)</f>
        <v>24</v>
      </c>
      <c r="P124" s="109">
        <f>MONTH('BD2'!$N124)</f>
        <v>10</v>
      </c>
      <c r="Q124" s="109">
        <f>YEAR('BD2'!$N124)</f>
        <v>2025</v>
      </c>
      <c r="R124" s="109">
        <v>2</v>
      </c>
      <c r="S124" s="109" t="s">
        <v>138</v>
      </c>
      <c r="T124" s="109" t="s">
        <v>138</v>
      </c>
      <c r="U124" s="109" t="s">
        <v>138</v>
      </c>
      <c r="V124" s="109" t="s">
        <v>138</v>
      </c>
      <c r="W124" s="109" t="s">
        <v>138</v>
      </c>
      <c r="X124" s="109" t="s">
        <v>138</v>
      </c>
      <c r="Y124" s="109" t="s">
        <v>138</v>
      </c>
      <c r="Z124" s="109" t="str">
        <f>IF('BD2'!$AA124 &lt; 14, "no", "si")</f>
        <v>si</v>
      </c>
      <c r="AA124" s="109">
        <v>95.3</v>
      </c>
      <c r="AB124" s="109">
        <v>32.799999999999997</v>
      </c>
      <c r="AC124" s="110" t="s">
        <v>967</v>
      </c>
      <c r="AD124" s="110" t="s">
        <v>957</v>
      </c>
      <c r="AE124" s="109">
        <f t="shared" si="4"/>
        <v>8</v>
      </c>
      <c r="AF124" s="111" t="str">
        <f t="shared" si="5"/>
        <v>Estable</v>
      </c>
    </row>
    <row r="125" spans="1:32" x14ac:dyDescent="0.2">
      <c r="A125" s="112">
        <v>361</v>
      </c>
      <c r="B125" s="113" t="s">
        <v>956</v>
      </c>
      <c r="C125" s="114" t="s">
        <v>429</v>
      </c>
      <c r="D125" s="114" t="s">
        <v>16</v>
      </c>
      <c r="E125" s="115" t="s">
        <v>211</v>
      </c>
      <c r="F125" s="115" t="s">
        <v>535</v>
      </c>
      <c r="G125" s="115" t="s">
        <v>1004</v>
      </c>
      <c r="H125" s="113" t="s">
        <v>8</v>
      </c>
      <c r="I125" s="114">
        <v>21.117650000000001</v>
      </c>
      <c r="J125" s="114">
        <v>-101.70480000000001</v>
      </c>
      <c r="K125" s="113" t="s">
        <v>139</v>
      </c>
      <c r="L125" s="116" t="str">
        <f t="shared" si="3"/>
        <v>Ver en Google Maps</v>
      </c>
      <c r="M125" s="113">
        <v>1</v>
      </c>
      <c r="N125" s="117">
        <v>45965</v>
      </c>
      <c r="O125" s="118">
        <f>DAY('BD2'!$N125)</f>
        <v>4</v>
      </c>
      <c r="P125" s="118">
        <f>MONTH('BD2'!$N125)</f>
        <v>11</v>
      </c>
      <c r="Q125" s="118">
        <f>YEAR('BD2'!$N125)</f>
        <v>2025</v>
      </c>
      <c r="R125" s="118">
        <v>2</v>
      </c>
      <c r="S125" s="118" t="s">
        <v>138</v>
      </c>
      <c r="T125" s="118" t="s">
        <v>138</v>
      </c>
      <c r="U125" s="118" t="s">
        <v>138</v>
      </c>
      <c r="V125" s="118" t="s">
        <v>138</v>
      </c>
      <c r="W125" s="118" t="s">
        <v>138</v>
      </c>
      <c r="X125" s="118" t="s">
        <v>138</v>
      </c>
      <c r="Y125" s="118" t="s">
        <v>138</v>
      </c>
      <c r="Z125" s="118" t="str">
        <f>IF('BD2'!$AA125 &lt; 14, "no", "si")</f>
        <v>si</v>
      </c>
      <c r="AA125" s="118">
        <v>71.400000000000006</v>
      </c>
      <c r="AB125" s="118">
        <v>25.6</v>
      </c>
      <c r="AC125" s="119" t="s">
        <v>967</v>
      </c>
      <c r="AD125" s="119" t="s">
        <v>957</v>
      </c>
      <c r="AE125" s="118">
        <f t="shared" si="4"/>
        <v>8</v>
      </c>
      <c r="AF125" s="120" t="str">
        <f t="shared" si="5"/>
        <v>Estable</v>
      </c>
    </row>
    <row r="126" spans="1:32" x14ac:dyDescent="0.2">
      <c r="A126" s="121">
        <v>365</v>
      </c>
      <c r="B126" s="122" t="s">
        <v>956</v>
      </c>
      <c r="C126" s="123" t="s">
        <v>429</v>
      </c>
      <c r="D126" s="123" t="s">
        <v>16</v>
      </c>
      <c r="E126" s="124" t="s">
        <v>212</v>
      </c>
      <c r="F126" s="124" t="s">
        <v>536</v>
      </c>
      <c r="G126" s="124" t="s">
        <v>1064</v>
      </c>
      <c r="H126" s="122" t="s">
        <v>8</v>
      </c>
      <c r="I126" s="123">
        <v>21.099387</v>
      </c>
      <c r="J126" s="123">
        <v>-101.577066</v>
      </c>
      <c r="K126" s="122"/>
      <c r="L126" s="125" t="str">
        <f t="shared" si="3"/>
        <v>Ver en Google Maps</v>
      </c>
      <c r="M126" s="122">
        <v>1</v>
      </c>
      <c r="N126" s="130"/>
      <c r="O126" s="109"/>
      <c r="P126" s="109"/>
      <c r="Q126" s="109"/>
      <c r="R126" s="109"/>
      <c r="S126" s="109"/>
      <c r="T126" s="109"/>
      <c r="U126" s="109"/>
      <c r="V126" s="109"/>
      <c r="W126" s="109"/>
      <c r="X126" s="109"/>
      <c r="Y126" s="109"/>
      <c r="Z126" s="109"/>
      <c r="AA126" s="109"/>
      <c r="AB126" s="109"/>
      <c r="AC126" s="109"/>
      <c r="AD126" s="110"/>
      <c r="AE126" s="109"/>
      <c r="AF126" s="111"/>
    </row>
    <row r="127" spans="1:32" x14ac:dyDescent="0.2">
      <c r="A127" s="112">
        <v>366</v>
      </c>
      <c r="B127" s="113" t="s">
        <v>956</v>
      </c>
      <c r="C127" s="114" t="s">
        <v>429</v>
      </c>
      <c r="D127" s="114" t="s">
        <v>16</v>
      </c>
      <c r="E127" s="115" t="s">
        <v>213</v>
      </c>
      <c r="F127" s="115" t="s">
        <v>537</v>
      </c>
      <c r="G127" s="115" t="s">
        <v>1065</v>
      </c>
      <c r="H127" s="113" t="s">
        <v>8</v>
      </c>
      <c r="I127" s="114">
        <v>21.132390000000001</v>
      </c>
      <c r="J127" s="114">
        <v>-101.69441</v>
      </c>
      <c r="K127" s="113"/>
      <c r="L127" s="116" t="str">
        <f t="shared" si="3"/>
        <v>Ver en Google Maps</v>
      </c>
      <c r="M127" s="113">
        <v>1</v>
      </c>
      <c r="N127" s="129"/>
      <c r="O127" s="118"/>
      <c r="P127" s="118"/>
      <c r="Q127" s="118"/>
      <c r="R127" s="118"/>
      <c r="S127" s="118"/>
      <c r="T127" s="118"/>
      <c r="U127" s="118"/>
      <c r="V127" s="118"/>
      <c r="W127" s="118"/>
      <c r="X127" s="118"/>
      <c r="Y127" s="118"/>
      <c r="Z127" s="118"/>
      <c r="AA127" s="118"/>
      <c r="AB127" s="118"/>
      <c r="AC127" s="118"/>
      <c r="AD127" s="119"/>
      <c r="AE127" s="118"/>
      <c r="AF127" s="120"/>
    </row>
    <row r="128" spans="1:32" x14ac:dyDescent="0.2">
      <c r="A128" s="121">
        <v>369</v>
      </c>
      <c r="B128" s="122" t="s">
        <v>956</v>
      </c>
      <c r="C128" s="123" t="s">
        <v>429</v>
      </c>
      <c r="D128" s="123" t="s">
        <v>16</v>
      </c>
      <c r="E128" s="124" t="s">
        <v>72</v>
      </c>
      <c r="F128" s="124" t="s">
        <v>538</v>
      </c>
      <c r="G128" s="124" t="s">
        <v>73</v>
      </c>
      <c r="H128" s="122" t="s">
        <v>8</v>
      </c>
      <c r="I128" s="123">
        <v>21.110810000000001</v>
      </c>
      <c r="J128" s="123">
        <v>-101.63275</v>
      </c>
      <c r="K128" s="122" t="s">
        <v>139</v>
      </c>
      <c r="L128" s="125" t="str">
        <f t="shared" si="3"/>
        <v>Ver en Google Maps</v>
      </c>
      <c r="M128" s="122">
        <v>1</v>
      </c>
      <c r="N128" s="108">
        <v>45957</v>
      </c>
      <c r="O128" s="109">
        <f>DAY('BD2'!$N128)</f>
        <v>27</v>
      </c>
      <c r="P128" s="109">
        <f>MONTH('BD2'!$N128)</f>
        <v>10</v>
      </c>
      <c r="Q128" s="109">
        <f>YEAR('BD2'!$N128)</f>
        <v>2025</v>
      </c>
      <c r="R128" s="109">
        <v>2</v>
      </c>
      <c r="S128" s="109" t="s">
        <v>138</v>
      </c>
      <c r="T128" s="109" t="s">
        <v>138</v>
      </c>
      <c r="U128" s="109" t="s">
        <v>138</v>
      </c>
      <c r="V128" s="109" t="s">
        <v>138</v>
      </c>
      <c r="W128" s="109" t="s">
        <v>138</v>
      </c>
      <c r="X128" s="109" t="s">
        <v>138</v>
      </c>
      <c r="Y128" s="109" t="s">
        <v>138</v>
      </c>
      <c r="Z128" s="109" t="str">
        <f>IF('BD2'!$AA128 &lt; 14, "no", "si")</f>
        <v>si</v>
      </c>
      <c r="AA128" s="109">
        <v>54.9</v>
      </c>
      <c r="AB128" s="109">
        <v>16</v>
      </c>
      <c r="AC128" s="110" t="s">
        <v>967</v>
      </c>
      <c r="AD128" s="110" t="s">
        <v>954</v>
      </c>
      <c r="AE128" s="109">
        <f t="shared" si="4"/>
        <v>8</v>
      </c>
      <c r="AF128" s="111" t="str">
        <f t="shared" si="5"/>
        <v>Estable</v>
      </c>
    </row>
    <row r="129" spans="1:32" x14ac:dyDescent="0.2">
      <c r="A129" s="112">
        <v>371</v>
      </c>
      <c r="B129" s="113" t="s">
        <v>956</v>
      </c>
      <c r="C129" s="114" t="s">
        <v>429</v>
      </c>
      <c r="D129" s="114" t="s">
        <v>16</v>
      </c>
      <c r="E129" s="115" t="s">
        <v>74</v>
      </c>
      <c r="F129" s="115" t="s">
        <v>539</v>
      </c>
      <c r="G129" s="115" t="s">
        <v>1066</v>
      </c>
      <c r="H129" s="113" t="s">
        <v>8</v>
      </c>
      <c r="I129" s="114">
        <v>21.058284</v>
      </c>
      <c r="J129" s="114">
        <v>-101.637996</v>
      </c>
      <c r="K129" s="113"/>
      <c r="L129" s="116" t="str">
        <f t="shared" si="3"/>
        <v>Ver en Google Maps</v>
      </c>
      <c r="M129" s="113">
        <v>1</v>
      </c>
      <c r="N129" s="129"/>
      <c r="O129" s="118"/>
      <c r="P129" s="118"/>
      <c r="Q129" s="118"/>
      <c r="R129" s="118"/>
      <c r="S129" s="118"/>
      <c r="T129" s="118"/>
      <c r="U129" s="118"/>
      <c r="V129" s="118"/>
      <c r="W129" s="118"/>
      <c r="X129" s="118"/>
      <c r="Y129" s="118"/>
      <c r="Z129" s="118"/>
      <c r="AA129" s="118"/>
      <c r="AB129" s="118"/>
      <c r="AC129" s="118"/>
      <c r="AD129" s="119"/>
      <c r="AE129" s="118"/>
      <c r="AF129" s="120"/>
    </row>
    <row r="130" spans="1:32" x14ac:dyDescent="0.2">
      <c r="A130" s="121">
        <v>372</v>
      </c>
      <c r="B130" s="122" t="s">
        <v>956</v>
      </c>
      <c r="C130" s="123" t="s">
        <v>429</v>
      </c>
      <c r="D130" s="123" t="s">
        <v>16</v>
      </c>
      <c r="E130" s="124" t="s">
        <v>214</v>
      </c>
      <c r="F130" s="124" t="s">
        <v>540</v>
      </c>
      <c r="G130" s="124" t="s">
        <v>1067</v>
      </c>
      <c r="H130" s="122" t="s">
        <v>8</v>
      </c>
      <c r="I130" s="123">
        <v>21.145489999999999</v>
      </c>
      <c r="J130" s="123">
        <v>-101.68668</v>
      </c>
      <c r="K130" s="122" t="s">
        <v>139</v>
      </c>
      <c r="L130" s="125" t="str">
        <f t="shared" si="3"/>
        <v>Ver en Google Maps</v>
      </c>
      <c r="M130" s="122">
        <v>1</v>
      </c>
      <c r="N130" s="108">
        <v>45958</v>
      </c>
      <c r="O130" s="109">
        <f>DAY('BD2'!$N130)</f>
        <v>28</v>
      </c>
      <c r="P130" s="109">
        <f>MONTH('BD2'!$N130)</f>
        <v>10</v>
      </c>
      <c r="Q130" s="109">
        <f>YEAR('BD2'!$N130)</f>
        <v>2025</v>
      </c>
      <c r="R130" s="109">
        <v>2</v>
      </c>
      <c r="S130" s="109" t="s">
        <v>138</v>
      </c>
      <c r="T130" s="109" t="s">
        <v>138</v>
      </c>
      <c r="U130" s="109" t="s">
        <v>138</v>
      </c>
      <c r="V130" s="109" t="s">
        <v>138</v>
      </c>
      <c r="W130" s="109" t="s">
        <v>138</v>
      </c>
      <c r="X130" s="109" t="s">
        <v>138</v>
      </c>
      <c r="Y130" s="109" t="s">
        <v>138</v>
      </c>
      <c r="Z130" s="109" t="str">
        <f>IF('BD2'!$AA130 &lt; 14, "no", "si")</f>
        <v>si</v>
      </c>
      <c r="AA130" s="109">
        <v>125</v>
      </c>
      <c r="AB130" s="109">
        <v>86.3</v>
      </c>
      <c r="AC130" s="110" t="s">
        <v>967</v>
      </c>
      <c r="AD130" s="110" t="s">
        <v>957</v>
      </c>
      <c r="AE130" s="109">
        <f t="shared" si="4"/>
        <v>8</v>
      </c>
      <c r="AF130" s="111" t="str">
        <f t="shared" si="5"/>
        <v>Estable</v>
      </c>
    </row>
    <row r="131" spans="1:32" x14ac:dyDescent="0.2">
      <c r="A131" s="112">
        <v>380</v>
      </c>
      <c r="B131" s="113" t="s">
        <v>956</v>
      </c>
      <c r="C131" s="114" t="s">
        <v>429</v>
      </c>
      <c r="D131" s="114" t="s">
        <v>16</v>
      </c>
      <c r="E131" s="115" t="s">
        <v>75</v>
      </c>
      <c r="F131" s="115" t="s">
        <v>541</v>
      </c>
      <c r="G131" s="115" t="s">
        <v>1068</v>
      </c>
      <c r="H131" s="113" t="s">
        <v>8</v>
      </c>
      <c r="I131" s="114">
        <v>21.103639999999999</v>
      </c>
      <c r="J131" s="114">
        <v>-101.70253</v>
      </c>
      <c r="K131" s="113" t="s">
        <v>139</v>
      </c>
      <c r="L131" s="116" t="str">
        <f t="shared" ref="L131:L194" si="6">HYPERLINK("https://www.google.com/maps?q=" &amp; I131 &amp; "," &amp; J131, "Ver en Google Maps")</f>
        <v>Ver en Google Maps</v>
      </c>
      <c r="M131" s="113">
        <v>2</v>
      </c>
      <c r="N131" s="117">
        <v>45964</v>
      </c>
      <c r="O131" s="118">
        <f>DAY('BD2'!$N131)</f>
        <v>3</v>
      </c>
      <c r="P131" s="118">
        <f>MONTH('BD2'!$N131)</f>
        <v>11</v>
      </c>
      <c r="Q131" s="118">
        <f>YEAR('BD2'!$N131)</f>
        <v>2025</v>
      </c>
      <c r="R131" s="118">
        <v>2</v>
      </c>
      <c r="S131" s="118" t="s">
        <v>138</v>
      </c>
      <c r="T131" s="118" t="s">
        <v>934</v>
      </c>
      <c r="U131" s="118" t="s">
        <v>934</v>
      </c>
      <c r="V131" s="118" t="s">
        <v>934</v>
      </c>
      <c r="W131" s="118" t="s">
        <v>934</v>
      </c>
      <c r="X131" s="118" t="s">
        <v>934</v>
      </c>
      <c r="Y131" s="118" t="s">
        <v>934</v>
      </c>
      <c r="Z131" s="118" t="str">
        <f>IF('BD2'!$AA131 &lt; 14, "no", "si")</f>
        <v>no</v>
      </c>
      <c r="AA131" s="118">
        <v>0</v>
      </c>
      <c r="AB131" s="118">
        <v>0</v>
      </c>
      <c r="AC131" s="119" t="s">
        <v>3143</v>
      </c>
      <c r="AD131" s="119" t="s">
        <v>954</v>
      </c>
      <c r="AE131" s="118">
        <f t="shared" ref="AE131:AE192" si="7">COUNTIF(S131:Z131, "si")</f>
        <v>1</v>
      </c>
      <c r="AF131" s="120" t="str">
        <f t="shared" si="5"/>
        <v>Inoperativo</v>
      </c>
    </row>
    <row r="132" spans="1:32" x14ac:dyDescent="0.2">
      <c r="A132" s="121">
        <v>381</v>
      </c>
      <c r="B132" s="122" t="s">
        <v>956</v>
      </c>
      <c r="C132" s="123" t="s">
        <v>429</v>
      </c>
      <c r="D132" s="123" t="s">
        <v>16</v>
      </c>
      <c r="E132" s="124" t="s">
        <v>215</v>
      </c>
      <c r="F132" s="124" t="s">
        <v>542</v>
      </c>
      <c r="G132" s="124" t="s">
        <v>1069</v>
      </c>
      <c r="H132" s="122" t="s">
        <v>8</v>
      </c>
      <c r="I132" s="123">
        <v>21.144100000000002</v>
      </c>
      <c r="J132" s="123">
        <v>-101.73332600000001</v>
      </c>
      <c r="K132" s="122" t="s">
        <v>139</v>
      </c>
      <c r="L132" s="125" t="str">
        <f t="shared" si="6"/>
        <v>Ver en Google Maps</v>
      </c>
      <c r="M132" s="122">
        <v>1</v>
      </c>
      <c r="N132" s="108">
        <v>45960</v>
      </c>
      <c r="O132" s="109">
        <f>DAY('BD2'!$N132)</f>
        <v>30</v>
      </c>
      <c r="P132" s="109">
        <f>MONTH('BD2'!$N132)</f>
        <v>10</v>
      </c>
      <c r="Q132" s="109">
        <f>YEAR('BD2'!$N132)</f>
        <v>2025</v>
      </c>
      <c r="R132" s="109">
        <v>2</v>
      </c>
      <c r="S132" s="109" t="s">
        <v>138</v>
      </c>
      <c r="T132" s="109" t="s">
        <v>138</v>
      </c>
      <c r="U132" s="109" t="s">
        <v>138</v>
      </c>
      <c r="V132" s="109" t="s">
        <v>138</v>
      </c>
      <c r="W132" s="109" t="s">
        <v>138</v>
      </c>
      <c r="X132" s="109" t="s">
        <v>138</v>
      </c>
      <c r="Y132" s="109" t="s">
        <v>138</v>
      </c>
      <c r="Z132" s="109" t="str">
        <f>IF('BD2'!$AA132 &lt; 14, "no", "si")</f>
        <v>si</v>
      </c>
      <c r="AA132" s="109">
        <v>41</v>
      </c>
      <c r="AB132" s="109">
        <v>19.3</v>
      </c>
      <c r="AC132" s="110" t="s">
        <v>967</v>
      </c>
      <c r="AD132" s="110" t="s">
        <v>954</v>
      </c>
      <c r="AE132" s="109">
        <f t="shared" si="7"/>
        <v>8</v>
      </c>
      <c r="AF132" s="111" t="str">
        <f t="shared" ref="AF132:AF195" si="8">IF(AE132=8,"Estable",(IF(AE132=7,"Funcional con observaciones", (IF(AE132=6,"Funcional con observaciones",(IF(AE132=5,"Rendimiento bajo",(IF(AE132=4,"Parcialmente funcional",(IF(AE132=3,"Parcialmente funcional",(IF(AE132=2,"Inoperativo",(IF(AE132=1,"Inoperativo","Crítico")))))))))))))))</f>
        <v>Estable</v>
      </c>
    </row>
    <row r="133" spans="1:32" x14ac:dyDescent="0.2">
      <c r="A133" s="112">
        <v>382</v>
      </c>
      <c r="B133" s="113" t="s">
        <v>956</v>
      </c>
      <c r="C133" s="114" t="s">
        <v>429</v>
      </c>
      <c r="D133" s="114" t="s">
        <v>16</v>
      </c>
      <c r="E133" s="115" t="s">
        <v>216</v>
      </c>
      <c r="F133" s="115" t="s">
        <v>543</v>
      </c>
      <c r="G133" s="115" t="s">
        <v>1070</v>
      </c>
      <c r="H133" s="113" t="s">
        <v>8</v>
      </c>
      <c r="I133" s="114">
        <v>21.129940000000001</v>
      </c>
      <c r="J133" s="114">
        <v>-101.68953999999999</v>
      </c>
      <c r="K133" s="113" t="s">
        <v>139</v>
      </c>
      <c r="L133" s="116" t="str">
        <f t="shared" si="6"/>
        <v>Ver en Google Maps</v>
      </c>
      <c r="M133" s="113">
        <v>1</v>
      </c>
      <c r="N133" s="117">
        <v>45958</v>
      </c>
      <c r="O133" s="118">
        <f>DAY('BD2'!$N133)</f>
        <v>28</v>
      </c>
      <c r="P133" s="118">
        <f>MONTH('BD2'!$N133)</f>
        <v>10</v>
      </c>
      <c r="Q133" s="118">
        <f>YEAR('BD2'!$N133)</f>
        <v>2025</v>
      </c>
      <c r="R133" s="118">
        <v>2</v>
      </c>
      <c r="S133" s="118" t="s">
        <v>138</v>
      </c>
      <c r="T133" s="118" t="s">
        <v>138</v>
      </c>
      <c r="U133" s="118" t="s">
        <v>138</v>
      </c>
      <c r="V133" s="118" t="s">
        <v>138</v>
      </c>
      <c r="W133" s="118" t="s">
        <v>138</v>
      </c>
      <c r="X133" s="118" t="s">
        <v>138</v>
      </c>
      <c r="Y133" s="118" t="s">
        <v>138</v>
      </c>
      <c r="Z133" s="118" t="str">
        <f>IF('BD2'!$AA133 &lt; 14, "no", "si")</f>
        <v>si</v>
      </c>
      <c r="AA133" s="118">
        <v>123</v>
      </c>
      <c r="AB133" s="118">
        <v>81.8</v>
      </c>
      <c r="AC133" s="119" t="s">
        <v>967</v>
      </c>
      <c r="AD133" s="119" t="s">
        <v>957</v>
      </c>
      <c r="AE133" s="118">
        <f t="shared" si="7"/>
        <v>8</v>
      </c>
      <c r="AF133" s="120" t="str">
        <f t="shared" si="8"/>
        <v>Estable</v>
      </c>
    </row>
    <row r="134" spans="1:32" x14ac:dyDescent="0.2">
      <c r="A134" s="121">
        <v>383</v>
      </c>
      <c r="B134" s="122" t="s">
        <v>956</v>
      </c>
      <c r="C134" s="123" t="s">
        <v>429</v>
      </c>
      <c r="D134" s="123" t="s">
        <v>16</v>
      </c>
      <c r="E134" s="124" t="s">
        <v>76</v>
      </c>
      <c r="F134" s="124" t="s">
        <v>544</v>
      </c>
      <c r="G134" s="124" t="s">
        <v>1071</v>
      </c>
      <c r="H134" s="122" t="s">
        <v>8</v>
      </c>
      <c r="I134" s="123">
        <v>21.075700000000001</v>
      </c>
      <c r="J134" s="123">
        <v>-101.64856</v>
      </c>
      <c r="K134" s="122"/>
      <c r="L134" s="125" t="str">
        <f t="shared" si="6"/>
        <v>Ver en Google Maps</v>
      </c>
      <c r="M134" s="122">
        <v>2</v>
      </c>
      <c r="N134" s="130"/>
      <c r="O134" s="109"/>
      <c r="P134" s="109"/>
      <c r="Q134" s="109"/>
      <c r="R134" s="109"/>
      <c r="S134" s="109"/>
      <c r="T134" s="109"/>
      <c r="U134" s="109"/>
      <c r="V134" s="109"/>
      <c r="W134" s="109"/>
      <c r="X134" s="109"/>
      <c r="Y134" s="109"/>
      <c r="Z134" s="109"/>
      <c r="AA134" s="109"/>
      <c r="AB134" s="109"/>
      <c r="AC134" s="109"/>
      <c r="AD134" s="110"/>
      <c r="AE134" s="109"/>
      <c r="AF134" s="111"/>
    </row>
    <row r="135" spans="1:32" x14ac:dyDescent="0.2">
      <c r="A135" s="112">
        <v>384</v>
      </c>
      <c r="B135" s="113" t="s">
        <v>956</v>
      </c>
      <c r="C135" s="114" t="s">
        <v>429</v>
      </c>
      <c r="D135" s="114" t="s">
        <v>16</v>
      </c>
      <c r="E135" s="115" t="s">
        <v>217</v>
      </c>
      <c r="F135" s="115" t="s">
        <v>545</v>
      </c>
      <c r="G135" s="115" t="s">
        <v>1063</v>
      </c>
      <c r="H135" s="113" t="s">
        <v>8</v>
      </c>
      <c r="I135" s="114">
        <v>21.132909999999999</v>
      </c>
      <c r="J135" s="114">
        <v>-101.67433</v>
      </c>
      <c r="K135" s="113" t="s">
        <v>139</v>
      </c>
      <c r="L135" s="116" t="str">
        <f t="shared" si="6"/>
        <v>Ver en Google Maps</v>
      </c>
      <c r="M135" s="113">
        <v>1</v>
      </c>
      <c r="N135" s="117">
        <v>45954</v>
      </c>
      <c r="O135" s="118">
        <f>DAY('BD2'!$N135)</f>
        <v>24</v>
      </c>
      <c r="P135" s="118">
        <f>MONTH('BD2'!$N135)</f>
        <v>10</v>
      </c>
      <c r="Q135" s="118">
        <f>YEAR('BD2'!$N135)</f>
        <v>2025</v>
      </c>
      <c r="R135" s="118">
        <v>2</v>
      </c>
      <c r="S135" s="118" t="s">
        <v>138</v>
      </c>
      <c r="T135" s="118" t="s">
        <v>138</v>
      </c>
      <c r="U135" s="118" t="s">
        <v>138</v>
      </c>
      <c r="V135" s="118" t="s">
        <v>138</v>
      </c>
      <c r="W135" s="118" t="s">
        <v>138</v>
      </c>
      <c r="X135" s="118" t="s">
        <v>138</v>
      </c>
      <c r="Y135" s="118" t="s">
        <v>138</v>
      </c>
      <c r="Z135" s="118" t="str">
        <f>IF('BD2'!$AA135 &lt; 14, "no", "si")</f>
        <v>si</v>
      </c>
      <c r="AA135" s="118">
        <v>45.7</v>
      </c>
      <c r="AB135" s="118">
        <v>54.9</v>
      </c>
      <c r="AC135" s="119" t="s">
        <v>967</v>
      </c>
      <c r="AD135" s="119" t="s">
        <v>954</v>
      </c>
      <c r="AE135" s="118">
        <f t="shared" si="7"/>
        <v>8</v>
      </c>
      <c r="AF135" s="120" t="str">
        <f t="shared" si="8"/>
        <v>Estable</v>
      </c>
    </row>
    <row r="136" spans="1:32" x14ac:dyDescent="0.2">
      <c r="A136" s="121">
        <v>385</v>
      </c>
      <c r="B136" s="122" t="s">
        <v>956</v>
      </c>
      <c r="C136" s="123" t="s">
        <v>429</v>
      </c>
      <c r="D136" s="123" t="s">
        <v>16</v>
      </c>
      <c r="E136" s="124" t="s">
        <v>77</v>
      </c>
      <c r="F136" s="124" t="s">
        <v>546</v>
      </c>
      <c r="G136" s="124" t="s">
        <v>1052</v>
      </c>
      <c r="H136" s="122" t="s">
        <v>8</v>
      </c>
      <c r="I136" s="123">
        <v>21.112580000000001</v>
      </c>
      <c r="J136" s="123">
        <v>-101.69814</v>
      </c>
      <c r="K136" s="122" t="s">
        <v>139</v>
      </c>
      <c r="L136" s="125" t="str">
        <f t="shared" si="6"/>
        <v>Ver en Google Maps</v>
      </c>
      <c r="M136" s="122">
        <v>1</v>
      </c>
      <c r="N136" s="117">
        <v>45965</v>
      </c>
      <c r="O136" s="109">
        <f>DAY('BD2'!$N136)</f>
        <v>4</v>
      </c>
      <c r="P136" s="109">
        <f>MONTH('BD2'!$N136)</f>
        <v>11</v>
      </c>
      <c r="Q136" s="109">
        <f>YEAR('BD2'!$N136)</f>
        <v>2025</v>
      </c>
      <c r="R136" s="109">
        <v>2</v>
      </c>
      <c r="S136" s="109" t="s">
        <v>138</v>
      </c>
      <c r="T136" s="109" t="s">
        <v>138</v>
      </c>
      <c r="U136" s="109" t="s">
        <v>138</v>
      </c>
      <c r="V136" s="109" t="s">
        <v>934</v>
      </c>
      <c r="W136" s="109" t="s">
        <v>138</v>
      </c>
      <c r="X136" s="109" t="s">
        <v>138</v>
      </c>
      <c r="Y136" s="109" t="s">
        <v>138</v>
      </c>
      <c r="Z136" s="109" t="str">
        <f>IF('BD2'!$AA136 &lt; 14, "no", "si")</f>
        <v>no</v>
      </c>
      <c r="AA136" s="109">
        <v>13.8</v>
      </c>
      <c r="AB136" s="109">
        <v>7.71</v>
      </c>
      <c r="AC136" s="119" t="s">
        <v>3157</v>
      </c>
      <c r="AD136" s="110" t="s">
        <v>957</v>
      </c>
      <c r="AE136" s="109">
        <f t="shared" si="7"/>
        <v>6</v>
      </c>
      <c r="AF136" s="111" t="str">
        <f t="shared" si="8"/>
        <v>Funcional con observaciones</v>
      </c>
    </row>
    <row r="137" spans="1:32" x14ac:dyDescent="0.2">
      <c r="A137" s="112">
        <v>386</v>
      </c>
      <c r="B137" s="113" t="s">
        <v>956</v>
      </c>
      <c r="C137" s="114" t="s">
        <v>429</v>
      </c>
      <c r="D137" s="114" t="s">
        <v>16</v>
      </c>
      <c r="E137" s="115" t="s">
        <v>218</v>
      </c>
      <c r="F137" s="115" t="s">
        <v>547</v>
      </c>
      <c r="G137" s="115" t="s">
        <v>1072</v>
      </c>
      <c r="H137" s="113" t="s">
        <v>8</v>
      </c>
      <c r="I137" s="114">
        <v>21.165479999999999</v>
      </c>
      <c r="J137" s="114">
        <v>-101.69022</v>
      </c>
      <c r="K137" s="113" t="s">
        <v>139</v>
      </c>
      <c r="L137" s="116" t="str">
        <f t="shared" si="6"/>
        <v>Ver en Google Maps</v>
      </c>
      <c r="M137" s="113">
        <v>1</v>
      </c>
      <c r="N137" s="117">
        <v>45958</v>
      </c>
      <c r="O137" s="118">
        <f>DAY('BD2'!$N137)</f>
        <v>28</v>
      </c>
      <c r="P137" s="118">
        <f>MONTH('BD2'!$N137)</f>
        <v>10</v>
      </c>
      <c r="Q137" s="118">
        <f>YEAR('BD2'!$N137)</f>
        <v>2025</v>
      </c>
      <c r="R137" s="118">
        <v>2</v>
      </c>
      <c r="S137" s="118" t="s">
        <v>138</v>
      </c>
      <c r="T137" s="118" t="s">
        <v>138</v>
      </c>
      <c r="U137" s="118" t="s">
        <v>138</v>
      </c>
      <c r="V137" s="118" t="s">
        <v>138</v>
      </c>
      <c r="W137" s="118" t="s">
        <v>138</v>
      </c>
      <c r="X137" s="118" t="s">
        <v>138</v>
      </c>
      <c r="Y137" s="118" t="s">
        <v>138</v>
      </c>
      <c r="Z137" s="118" t="str">
        <f>IF('BD2'!$AA137 &lt; 14, "no", "si")</f>
        <v>si</v>
      </c>
      <c r="AA137" s="118">
        <v>55.9</v>
      </c>
      <c r="AB137" s="118">
        <v>29.6</v>
      </c>
      <c r="AC137" s="119" t="s">
        <v>967</v>
      </c>
      <c r="AD137" s="119" t="s">
        <v>954</v>
      </c>
      <c r="AE137" s="118">
        <f t="shared" si="7"/>
        <v>8</v>
      </c>
      <c r="AF137" s="120" t="str">
        <f t="shared" si="8"/>
        <v>Estable</v>
      </c>
    </row>
    <row r="138" spans="1:32" x14ac:dyDescent="0.2">
      <c r="A138" s="121">
        <v>387</v>
      </c>
      <c r="B138" s="122" t="s">
        <v>956</v>
      </c>
      <c r="C138" s="123" t="s">
        <v>14</v>
      </c>
      <c r="D138" s="123" t="s">
        <v>404</v>
      </c>
      <c r="E138" s="124" t="s">
        <v>219</v>
      </c>
      <c r="F138" s="124" t="s">
        <v>548</v>
      </c>
      <c r="G138" s="124" t="s">
        <v>1073</v>
      </c>
      <c r="H138" s="122" t="s">
        <v>8</v>
      </c>
      <c r="I138" s="123">
        <v>21.134588000000001</v>
      </c>
      <c r="J138" s="123">
        <v>-101.651968</v>
      </c>
      <c r="K138" s="122" t="s">
        <v>139</v>
      </c>
      <c r="L138" s="125" t="str">
        <f t="shared" si="6"/>
        <v>Ver en Google Maps</v>
      </c>
      <c r="M138" s="122">
        <v>2</v>
      </c>
      <c r="N138" s="108">
        <v>45955</v>
      </c>
      <c r="O138" s="109">
        <f>DAY('BD2'!$N138)</f>
        <v>25</v>
      </c>
      <c r="P138" s="109">
        <f>MONTH('BD2'!$N138)</f>
        <v>10</v>
      </c>
      <c r="Q138" s="109">
        <f>YEAR('BD2'!$N138)</f>
        <v>2025</v>
      </c>
      <c r="R138" s="109">
        <v>2</v>
      </c>
      <c r="S138" s="109" t="s">
        <v>138</v>
      </c>
      <c r="T138" s="109" t="s">
        <v>138</v>
      </c>
      <c r="U138" s="109" t="s">
        <v>138</v>
      </c>
      <c r="V138" s="109" t="s">
        <v>934</v>
      </c>
      <c r="W138" s="109" t="s">
        <v>138</v>
      </c>
      <c r="X138" s="109" t="s">
        <v>934</v>
      </c>
      <c r="Y138" s="109" t="s">
        <v>934</v>
      </c>
      <c r="Z138" s="109" t="str">
        <f>IF('BD2'!$AA138 &lt; 14, "no", "si")</f>
        <v>no</v>
      </c>
      <c r="AA138" s="109">
        <v>0</v>
      </c>
      <c r="AB138" s="109">
        <v>0</v>
      </c>
      <c r="AC138" s="110" t="s">
        <v>3086</v>
      </c>
      <c r="AD138" s="110" t="s">
        <v>954</v>
      </c>
      <c r="AE138" s="109">
        <f t="shared" si="7"/>
        <v>4</v>
      </c>
      <c r="AF138" s="111" t="str">
        <f t="shared" si="8"/>
        <v>Parcialmente funcional</v>
      </c>
    </row>
    <row r="139" spans="1:32" x14ac:dyDescent="0.2">
      <c r="A139" s="112">
        <v>388</v>
      </c>
      <c r="B139" s="113" t="s">
        <v>956</v>
      </c>
      <c r="C139" s="114" t="s">
        <v>429</v>
      </c>
      <c r="D139" s="114" t="s">
        <v>16</v>
      </c>
      <c r="E139" s="115" t="s">
        <v>78</v>
      </c>
      <c r="F139" s="115" t="s">
        <v>549</v>
      </c>
      <c r="G139" s="115" t="s">
        <v>1074</v>
      </c>
      <c r="H139" s="113" t="s">
        <v>8</v>
      </c>
      <c r="I139" s="114">
        <v>21.108550000000001</v>
      </c>
      <c r="J139" s="114">
        <v>-101.70041000000001</v>
      </c>
      <c r="K139" s="113" t="s">
        <v>139</v>
      </c>
      <c r="L139" s="116" t="str">
        <f t="shared" si="6"/>
        <v>Ver en Google Maps</v>
      </c>
      <c r="M139" s="113">
        <v>1</v>
      </c>
      <c r="N139" s="117">
        <v>45965</v>
      </c>
      <c r="O139" s="118">
        <f>DAY('BD2'!$N139)</f>
        <v>4</v>
      </c>
      <c r="P139" s="118">
        <f>MONTH('BD2'!$N139)</f>
        <v>11</v>
      </c>
      <c r="Q139" s="118">
        <f>YEAR('BD2'!$N139)</f>
        <v>2025</v>
      </c>
      <c r="R139" s="118">
        <v>2</v>
      </c>
      <c r="S139" s="118" t="s">
        <v>138</v>
      </c>
      <c r="T139" s="118" t="s">
        <v>138</v>
      </c>
      <c r="U139" s="118" t="s">
        <v>138</v>
      </c>
      <c r="V139" s="118" t="s">
        <v>138</v>
      </c>
      <c r="W139" s="118" t="s">
        <v>138</v>
      </c>
      <c r="X139" s="118" t="s">
        <v>138</v>
      </c>
      <c r="Y139" s="118" t="s">
        <v>138</v>
      </c>
      <c r="Z139" s="118" t="str">
        <f>IF('BD2'!$AA139 &lt; 14, "no", "si")</f>
        <v>si</v>
      </c>
      <c r="AA139" s="118">
        <v>105</v>
      </c>
      <c r="AB139" s="118">
        <v>81.5</v>
      </c>
      <c r="AC139" s="119" t="s">
        <v>967</v>
      </c>
      <c r="AD139" s="119" t="s">
        <v>954</v>
      </c>
      <c r="AE139" s="118">
        <f t="shared" si="7"/>
        <v>8</v>
      </c>
      <c r="AF139" s="120" t="str">
        <f t="shared" si="8"/>
        <v>Estable</v>
      </c>
    </row>
    <row r="140" spans="1:32" x14ac:dyDescent="0.2">
      <c r="A140" s="121">
        <v>389</v>
      </c>
      <c r="B140" s="122" t="s">
        <v>956</v>
      </c>
      <c r="C140" s="123" t="s">
        <v>429</v>
      </c>
      <c r="D140" s="123" t="s">
        <v>16</v>
      </c>
      <c r="E140" s="124" t="s">
        <v>220</v>
      </c>
      <c r="F140" s="124" t="s">
        <v>550</v>
      </c>
      <c r="G140" s="124" t="s">
        <v>1075</v>
      </c>
      <c r="H140" s="122" t="s">
        <v>8</v>
      </c>
      <c r="I140" s="123">
        <v>21.150790000000001</v>
      </c>
      <c r="J140" s="123">
        <v>-101.67958</v>
      </c>
      <c r="K140" s="122" t="s">
        <v>139</v>
      </c>
      <c r="L140" s="125" t="str">
        <f t="shared" si="6"/>
        <v>Ver en Google Maps</v>
      </c>
      <c r="M140" s="122">
        <v>1</v>
      </c>
      <c r="N140" s="108">
        <v>45952</v>
      </c>
      <c r="O140" s="109">
        <f>DAY('BD2'!$N140)</f>
        <v>22</v>
      </c>
      <c r="P140" s="109">
        <f>MONTH('BD2'!$N140)</f>
        <v>10</v>
      </c>
      <c r="Q140" s="109">
        <f>YEAR('BD2'!$N140)</f>
        <v>2025</v>
      </c>
      <c r="R140" s="109">
        <v>2</v>
      </c>
      <c r="S140" s="109" t="s">
        <v>138</v>
      </c>
      <c r="T140" s="109" t="s">
        <v>138</v>
      </c>
      <c r="U140" s="109" t="s">
        <v>138</v>
      </c>
      <c r="V140" s="109" t="s">
        <v>138</v>
      </c>
      <c r="W140" s="109" t="s">
        <v>138</v>
      </c>
      <c r="X140" s="109" t="s">
        <v>138</v>
      </c>
      <c r="Y140" s="109" t="s">
        <v>138</v>
      </c>
      <c r="Z140" s="109" t="str">
        <f>IF('BD2'!$AA140 &lt; 14, "no", "si")</f>
        <v>si</v>
      </c>
      <c r="AA140" s="109">
        <v>77.3</v>
      </c>
      <c r="AB140" s="109">
        <v>0.4</v>
      </c>
      <c r="AC140" s="110" t="s">
        <v>967</v>
      </c>
      <c r="AD140" s="110" t="s">
        <v>954</v>
      </c>
      <c r="AE140" s="109">
        <f t="shared" si="7"/>
        <v>8</v>
      </c>
      <c r="AF140" s="111" t="str">
        <f t="shared" si="8"/>
        <v>Estable</v>
      </c>
    </row>
    <row r="141" spans="1:32" x14ac:dyDescent="0.2">
      <c r="A141" s="112">
        <v>396</v>
      </c>
      <c r="B141" s="113" t="s">
        <v>956</v>
      </c>
      <c r="C141" s="114" t="s">
        <v>429</v>
      </c>
      <c r="D141" s="114" t="s">
        <v>16</v>
      </c>
      <c r="E141" s="115" t="s">
        <v>221</v>
      </c>
      <c r="F141" s="115" t="s">
        <v>551</v>
      </c>
      <c r="G141" s="115" t="s">
        <v>1076</v>
      </c>
      <c r="H141" s="113" t="s">
        <v>8</v>
      </c>
      <c r="I141" s="114">
        <v>21.133600000000001</v>
      </c>
      <c r="J141" s="114">
        <v>-101.69745</v>
      </c>
      <c r="K141" s="113" t="s">
        <v>139</v>
      </c>
      <c r="L141" s="116" t="str">
        <f t="shared" si="6"/>
        <v>Ver en Google Maps</v>
      </c>
      <c r="M141" s="113">
        <v>1</v>
      </c>
      <c r="N141" s="117">
        <v>45958</v>
      </c>
      <c r="O141" s="118">
        <f>DAY('BD2'!$N141)</f>
        <v>28</v>
      </c>
      <c r="P141" s="118">
        <f>MONTH('BD2'!$N141)</f>
        <v>10</v>
      </c>
      <c r="Q141" s="118">
        <f>YEAR('BD2'!$N141)</f>
        <v>2025</v>
      </c>
      <c r="R141" s="118">
        <v>2</v>
      </c>
      <c r="S141" s="118" t="s">
        <v>138</v>
      </c>
      <c r="T141" s="118" t="s">
        <v>138</v>
      </c>
      <c r="U141" s="118" t="s">
        <v>138</v>
      </c>
      <c r="V141" s="118" t="s">
        <v>138</v>
      </c>
      <c r="W141" s="118" t="s">
        <v>138</v>
      </c>
      <c r="X141" s="118" t="s">
        <v>138</v>
      </c>
      <c r="Y141" s="118" t="s">
        <v>138</v>
      </c>
      <c r="Z141" s="118" t="str">
        <f>IF('BD2'!$AA141 &lt; 14, "no", "si")</f>
        <v>no</v>
      </c>
      <c r="AA141" s="118">
        <v>1.38</v>
      </c>
      <c r="AB141" s="118">
        <v>0</v>
      </c>
      <c r="AC141" s="119" t="s">
        <v>3110</v>
      </c>
      <c r="AD141" s="119" t="s">
        <v>954</v>
      </c>
      <c r="AE141" s="118">
        <f t="shared" si="7"/>
        <v>7</v>
      </c>
      <c r="AF141" s="120" t="str">
        <f t="shared" si="8"/>
        <v>Funcional con observaciones</v>
      </c>
    </row>
    <row r="142" spans="1:32" x14ac:dyDescent="0.2">
      <c r="A142" s="121">
        <v>398</v>
      </c>
      <c r="B142" s="122" t="s">
        <v>956</v>
      </c>
      <c r="C142" s="123" t="s">
        <v>429</v>
      </c>
      <c r="D142" s="123" t="s">
        <v>17</v>
      </c>
      <c r="E142" s="124" t="s">
        <v>79</v>
      </c>
      <c r="F142" s="124" t="s">
        <v>552</v>
      </c>
      <c r="G142" s="124" t="s">
        <v>1077</v>
      </c>
      <c r="H142" s="122" t="s">
        <v>8</v>
      </c>
      <c r="I142" s="123">
        <v>21.08475</v>
      </c>
      <c r="J142" s="123">
        <v>-101.749072</v>
      </c>
      <c r="K142" s="122"/>
      <c r="L142" s="125" t="str">
        <f t="shared" si="6"/>
        <v>Ver en Google Maps</v>
      </c>
      <c r="M142" s="122">
        <v>1</v>
      </c>
      <c r="N142" s="130"/>
      <c r="O142" s="109"/>
      <c r="P142" s="109"/>
      <c r="Q142" s="109"/>
      <c r="R142" s="109"/>
      <c r="S142" s="109"/>
      <c r="T142" s="109"/>
      <c r="U142" s="109"/>
      <c r="V142" s="109"/>
      <c r="W142" s="109"/>
      <c r="X142" s="109"/>
      <c r="Y142" s="109"/>
      <c r="Z142" s="109"/>
      <c r="AA142" s="109"/>
      <c r="AB142" s="109"/>
      <c r="AC142" s="109"/>
      <c r="AD142" s="110"/>
      <c r="AE142" s="109"/>
      <c r="AF142" s="111"/>
    </row>
    <row r="143" spans="1:32" x14ac:dyDescent="0.2">
      <c r="A143" s="112">
        <v>399</v>
      </c>
      <c r="B143" s="113" t="s">
        <v>956</v>
      </c>
      <c r="C143" s="114" t="s">
        <v>429</v>
      </c>
      <c r="D143" s="114" t="s">
        <v>16</v>
      </c>
      <c r="E143" s="115" t="s">
        <v>80</v>
      </c>
      <c r="F143" s="115" t="s">
        <v>553</v>
      </c>
      <c r="G143" s="115" t="s">
        <v>1078</v>
      </c>
      <c r="H143" s="113" t="s">
        <v>8</v>
      </c>
      <c r="I143" s="114">
        <v>21.065529999999999</v>
      </c>
      <c r="J143" s="114">
        <v>-101.58925000000001</v>
      </c>
      <c r="K143" s="113"/>
      <c r="L143" s="116" t="str">
        <f t="shared" si="6"/>
        <v>Ver en Google Maps</v>
      </c>
      <c r="M143" s="113">
        <v>1</v>
      </c>
      <c r="N143" s="129"/>
      <c r="O143" s="118"/>
      <c r="P143" s="118"/>
      <c r="Q143" s="118"/>
      <c r="R143" s="118"/>
      <c r="S143" s="118"/>
      <c r="T143" s="118"/>
      <c r="U143" s="118"/>
      <c r="V143" s="118"/>
      <c r="W143" s="118"/>
      <c r="X143" s="118"/>
      <c r="Y143" s="118"/>
      <c r="Z143" s="118"/>
      <c r="AA143" s="118"/>
      <c r="AB143" s="118"/>
      <c r="AC143" s="118"/>
      <c r="AD143" s="119"/>
      <c r="AE143" s="118"/>
      <c r="AF143" s="120"/>
    </row>
    <row r="144" spans="1:32" x14ac:dyDescent="0.2">
      <c r="A144" s="121">
        <v>400</v>
      </c>
      <c r="B144" s="122" t="s">
        <v>956</v>
      </c>
      <c r="C144" s="123" t="s">
        <v>429</v>
      </c>
      <c r="D144" s="123" t="s">
        <v>16</v>
      </c>
      <c r="E144" s="124" t="s">
        <v>81</v>
      </c>
      <c r="F144" s="124" t="s">
        <v>554</v>
      </c>
      <c r="G144" s="124" t="s">
        <v>1079</v>
      </c>
      <c r="H144" s="122" t="s">
        <v>8</v>
      </c>
      <c r="I144" s="123">
        <v>21.13786</v>
      </c>
      <c r="J144" s="123">
        <v>-101.70823</v>
      </c>
      <c r="K144" s="122" t="s">
        <v>139</v>
      </c>
      <c r="L144" s="125" t="str">
        <f t="shared" si="6"/>
        <v>Ver en Google Maps</v>
      </c>
      <c r="M144" s="122">
        <v>1</v>
      </c>
      <c r="N144" s="108">
        <v>45958</v>
      </c>
      <c r="O144" s="109">
        <f>DAY('BD2'!$N144)</f>
        <v>28</v>
      </c>
      <c r="P144" s="109">
        <f>MONTH('BD2'!$N144)</f>
        <v>10</v>
      </c>
      <c r="Q144" s="109">
        <f>YEAR('BD2'!$N144)</f>
        <v>2025</v>
      </c>
      <c r="R144" s="109">
        <v>2</v>
      </c>
      <c r="S144" s="109" t="s">
        <v>138</v>
      </c>
      <c r="T144" s="109" t="s">
        <v>138</v>
      </c>
      <c r="U144" s="109" t="s">
        <v>138</v>
      </c>
      <c r="V144" s="109" t="s">
        <v>138</v>
      </c>
      <c r="W144" s="109" t="s">
        <v>138</v>
      </c>
      <c r="X144" s="109" t="s">
        <v>138</v>
      </c>
      <c r="Y144" s="109" t="s">
        <v>138</v>
      </c>
      <c r="Z144" s="109" t="str">
        <f>IF('BD2'!$AA144 &lt; 14, "no", "si")</f>
        <v>si</v>
      </c>
      <c r="AA144" s="109">
        <v>116</v>
      </c>
      <c r="AB144" s="109">
        <v>46.1</v>
      </c>
      <c r="AC144" s="110" t="s">
        <v>967</v>
      </c>
      <c r="AD144" s="110" t="s">
        <v>954</v>
      </c>
      <c r="AE144" s="109">
        <f t="shared" si="7"/>
        <v>8</v>
      </c>
      <c r="AF144" s="111" t="str">
        <f t="shared" si="8"/>
        <v>Estable</v>
      </c>
    </row>
    <row r="145" spans="1:32" x14ac:dyDescent="0.2">
      <c r="A145" s="112">
        <v>401</v>
      </c>
      <c r="B145" s="113" t="s">
        <v>956</v>
      </c>
      <c r="C145" s="114" t="s">
        <v>429</v>
      </c>
      <c r="D145" s="114" t="s">
        <v>16</v>
      </c>
      <c r="E145" s="115" t="s">
        <v>82</v>
      </c>
      <c r="F145" s="115" t="s">
        <v>555</v>
      </c>
      <c r="G145" s="115" t="s">
        <v>83</v>
      </c>
      <c r="H145" s="113" t="s">
        <v>8</v>
      </c>
      <c r="I145" s="114">
        <v>21.111719999999998</v>
      </c>
      <c r="J145" s="114">
        <v>-101.69311999999999</v>
      </c>
      <c r="K145" s="113" t="s">
        <v>139</v>
      </c>
      <c r="L145" s="116" t="str">
        <f t="shared" si="6"/>
        <v>Ver en Google Maps</v>
      </c>
      <c r="M145" s="113">
        <v>1</v>
      </c>
      <c r="N145" s="117">
        <v>45965</v>
      </c>
      <c r="O145" s="118">
        <f>DAY('BD2'!$N145)</f>
        <v>4</v>
      </c>
      <c r="P145" s="118">
        <f>MONTH('BD2'!$N145)</f>
        <v>11</v>
      </c>
      <c r="Q145" s="118">
        <f>YEAR('BD2'!$N145)</f>
        <v>2025</v>
      </c>
      <c r="R145" s="118">
        <v>2</v>
      </c>
      <c r="S145" s="118" t="s">
        <v>138</v>
      </c>
      <c r="T145" s="118" t="s">
        <v>138</v>
      </c>
      <c r="U145" s="118" t="s">
        <v>138</v>
      </c>
      <c r="V145" s="118" t="s">
        <v>138</v>
      </c>
      <c r="W145" s="118" t="s">
        <v>138</v>
      </c>
      <c r="X145" s="118" t="s">
        <v>138</v>
      </c>
      <c r="Y145" s="118" t="s">
        <v>138</v>
      </c>
      <c r="Z145" s="118" t="str">
        <f>IF('BD2'!$AA145 &lt; 14, "no", "si")</f>
        <v>si</v>
      </c>
      <c r="AA145" s="118">
        <v>90</v>
      </c>
      <c r="AB145" s="118">
        <v>35.799999999999997</v>
      </c>
      <c r="AC145" s="119" t="s">
        <v>967</v>
      </c>
      <c r="AD145" s="119" t="s">
        <v>954</v>
      </c>
      <c r="AE145" s="118">
        <f t="shared" si="7"/>
        <v>8</v>
      </c>
      <c r="AF145" s="120" t="str">
        <f t="shared" si="8"/>
        <v>Estable</v>
      </c>
    </row>
    <row r="146" spans="1:32" x14ac:dyDescent="0.2">
      <c r="A146" s="121">
        <v>402</v>
      </c>
      <c r="B146" s="122" t="s">
        <v>956</v>
      </c>
      <c r="C146" s="123" t="s">
        <v>429</v>
      </c>
      <c r="D146" s="123" t="s">
        <v>17</v>
      </c>
      <c r="E146" s="124" t="s">
        <v>84</v>
      </c>
      <c r="F146" s="124" t="s">
        <v>556</v>
      </c>
      <c r="G146" s="124" t="s">
        <v>1080</v>
      </c>
      <c r="H146" s="122" t="s">
        <v>8</v>
      </c>
      <c r="I146" s="123">
        <v>21.066901999999999</v>
      </c>
      <c r="J146" s="123">
        <v>-101.620153</v>
      </c>
      <c r="K146" s="122"/>
      <c r="L146" s="125" t="str">
        <f t="shared" si="6"/>
        <v>Ver en Google Maps</v>
      </c>
      <c r="M146" s="122">
        <v>1</v>
      </c>
      <c r="N146" s="130"/>
      <c r="O146" s="109"/>
      <c r="P146" s="109"/>
      <c r="Q146" s="109"/>
      <c r="R146" s="109"/>
      <c r="S146" s="109"/>
      <c r="T146" s="109"/>
      <c r="U146" s="109"/>
      <c r="V146" s="109"/>
      <c r="W146" s="109"/>
      <c r="X146" s="109"/>
      <c r="Y146" s="109"/>
      <c r="Z146" s="109"/>
      <c r="AA146" s="109"/>
      <c r="AB146" s="109"/>
      <c r="AC146" s="109"/>
      <c r="AD146" s="110"/>
      <c r="AE146" s="109"/>
      <c r="AF146" s="111"/>
    </row>
    <row r="147" spans="1:32" x14ac:dyDescent="0.2">
      <c r="A147" s="112">
        <v>409</v>
      </c>
      <c r="B147" s="113" t="s">
        <v>956</v>
      </c>
      <c r="C147" s="114" t="s">
        <v>429</v>
      </c>
      <c r="D147" s="114" t="s">
        <v>16</v>
      </c>
      <c r="E147" s="115" t="s">
        <v>85</v>
      </c>
      <c r="F147" s="115" t="s">
        <v>557</v>
      </c>
      <c r="G147" s="115" t="s">
        <v>86</v>
      </c>
      <c r="H147" s="113" t="s">
        <v>8</v>
      </c>
      <c r="I147" s="114">
        <v>21.11551</v>
      </c>
      <c r="J147" s="114">
        <v>-101.58444</v>
      </c>
      <c r="K147" s="113"/>
      <c r="L147" s="116" t="str">
        <f t="shared" si="6"/>
        <v>Ver en Google Maps</v>
      </c>
      <c r="M147" s="113">
        <v>1</v>
      </c>
      <c r="N147" s="129"/>
      <c r="O147" s="118"/>
      <c r="P147" s="118"/>
      <c r="Q147" s="118"/>
      <c r="R147" s="118"/>
      <c r="S147" s="118"/>
      <c r="T147" s="118"/>
      <c r="U147" s="118"/>
      <c r="V147" s="118"/>
      <c r="W147" s="118"/>
      <c r="X147" s="118"/>
      <c r="Y147" s="118"/>
      <c r="Z147" s="118"/>
      <c r="AA147" s="118"/>
      <c r="AB147" s="118"/>
      <c r="AC147" s="118"/>
      <c r="AD147" s="119"/>
      <c r="AE147" s="118"/>
      <c r="AF147" s="120"/>
    </row>
    <row r="148" spans="1:32" x14ac:dyDescent="0.2">
      <c r="A148" s="121">
        <v>412</v>
      </c>
      <c r="B148" s="122" t="s">
        <v>956</v>
      </c>
      <c r="C148" s="123" t="s">
        <v>14</v>
      </c>
      <c r="D148" s="123" t="s">
        <v>404</v>
      </c>
      <c r="E148" s="124" t="s">
        <v>558</v>
      </c>
      <c r="F148" s="124" t="s">
        <v>559</v>
      </c>
      <c r="G148" s="124" t="s">
        <v>43</v>
      </c>
      <c r="H148" s="122" t="s">
        <v>8</v>
      </c>
      <c r="I148" s="123">
        <v>21.125354999999999</v>
      </c>
      <c r="J148" s="123">
        <v>-101.596108</v>
      </c>
      <c r="K148" s="122" t="s">
        <v>139</v>
      </c>
      <c r="L148" s="125" t="str">
        <f t="shared" si="6"/>
        <v>Ver en Google Maps</v>
      </c>
      <c r="M148" s="122">
        <v>1</v>
      </c>
      <c r="N148" s="108">
        <v>45957</v>
      </c>
      <c r="O148" s="109">
        <f>DAY('BD2'!$N148)</f>
        <v>27</v>
      </c>
      <c r="P148" s="109">
        <f>MONTH('BD2'!$N148)</f>
        <v>10</v>
      </c>
      <c r="Q148" s="109">
        <f>YEAR('BD2'!$N148)</f>
        <v>2025</v>
      </c>
      <c r="R148" s="109">
        <v>2</v>
      </c>
      <c r="S148" s="109" t="s">
        <v>138</v>
      </c>
      <c r="T148" s="109" t="s">
        <v>138</v>
      </c>
      <c r="U148" s="109" t="s">
        <v>138</v>
      </c>
      <c r="V148" s="109" t="s">
        <v>138</v>
      </c>
      <c r="W148" s="109" t="s">
        <v>138</v>
      </c>
      <c r="X148" s="109" t="s">
        <v>138</v>
      </c>
      <c r="Y148" s="109" t="s">
        <v>138</v>
      </c>
      <c r="Z148" s="109" t="str">
        <f>IF('BD2'!$AA148 &lt; 14, "no", "si")</f>
        <v>si</v>
      </c>
      <c r="AA148" s="109">
        <v>67</v>
      </c>
      <c r="AB148" s="109">
        <v>32</v>
      </c>
      <c r="AC148" s="110" t="s">
        <v>967</v>
      </c>
      <c r="AD148" s="110"/>
      <c r="AE148" s="109">
        <f t="shared" si="7"/>
        <v>8</v>
      </c>
      <c r="AF148" s="111" t="str">
        <f t="shared" si="8"/>
        <v>Estable</v>
      </c>
    </row>
    <row r="149" spans="1:32" x14ac:dyDescent="0.2">
      <c r="A149" s="112">
        <v>413</v>
      </c>
      <c r="B149" s="113" t="s">
        <v>956</v>
      </c>
      <c r="C149" s="114" t="s">
        <v>429</v>
      </c>
      <c r="D149" s="114" t="s">
        <v>16</v>
      </c>
      <c r="E149" s="115" t="s">
        <v>88</v>
      </c>
      <c r="F149" s="115" t="s">
        <v>560</v>
      </c>
      <c r="G149" s="115" t="s">
        <v>23</v>
      </c>
      <c r="H149" s="113" t="s">
        <v>8</v>
      </c>
      <c r="I149" s="114">
        <v>21.105046999999999</v>
      </c>
      <c r="J149" s="114">
        <v>-101.709835</v>
      </c>
      <c r="K149" s="113"/>
      <c r="L149" s="116" t="str">
        <f t="shared" si="6"/>
        <v>Ver en Google Maps</v>
      </c>
      <c r="M149" s="113">
        <v>1</v>
      </c>
      <c r="N149" s="129"/>
      <c r="O149" s="118"/>
      <c r="P149" s="118"/>
      <c r="Q149" s="118"/>
      <c r="R149" s="118"/>
      <c r="S149" s="118"/>
      <c r="T149" s="118"/>
      <c r="U149" s="118"/>
      <c r="V149" s="118"/>
      <c r="W149" s="118"/>
      <c r="X149" s="118"/>
      <c r="Y149" s="118"/>
      <c r="Z149" s="118"/>
      <c r="AA149" s="118"/>
      <c r="AB149" s="118"/>
      <c r="AC149" s="118"/>
      <c r="AD149" s="119"/>
      <c r="AE149" s="118"/>
      <c r="AF149" s="120"/>
    </row>
    <row r="150" spans="1:32" x14ac:dyDescent="0.2">
      <c r="A150" s="121">
        <v>416</v>
      </c>
      <c r="B150" s="122" t="s">
        <v>956</v>
      </c>
      <c r="C150" s="123" t="s">
        <v>429</v>
      </c>
      <c r="D150" s="123" t="s">
        <v>16</v>
      </c>
      <c r="E150" s="124" t="s">
        <v>89</v>
      </c>
      <c r="F150" s="124" t="s">
        <v>561</v>
      </c>
      <c r="G150" s="124" t="s">
        <v>1019</v>
      </c>
      <c r="H150" s="122" t="s">
        <v>8</v>
      </c>
      <c r="I150" s="123">
        <v>21.115490000000001</v>
      </c>
      <c r="J150" s="123">
        <v>-101.72230999999999</v>
      </c>
      <c r="K150" s="122" t="s">
        <v>139</v>
      </c>
      <c r="L150" s="125" t="str">
        <f t="shared" si="6"/>
        <v>Ver en Google Maps</v>
      </c>
      <c r="M150" s="122">
        <v>1</v>
      </c>
      <c r="N150" s="108">
        <v>45964</v>
      </c>
      <c r="O150" s="109">
        <f>DAY('BD2'!$N150)</f>
        <v>3</v>
      </c>
      <c r="P150" s="109">
        <f>MONTH('BD2'!$N150)</f>
        <v>11</v>
      </c>
      <c r="Q150" s="109">
        <f>YEAR('BD2'!$N150)</f>
        <v>2025</v>
      </c>
      <c r="R150" s="109">
        <v>2</v>
      </c>
      <c r="S150" s="109" t="s">
        <v>138</v>
      </c>
      <c r="T150" s="109" t="s">
        <v>138</v>
      </c>
      <c r="U150" s="109" t="s">
        <v>138</v>
      </c>
      <c r="V150" s="109" t="s">
        <v>138</v>
      </c>
      <c r="W150" s="109" t="s">
        <v>138</v>
      </c>
      <c r="X150" s="109" t="s">
        <v>138</v>
      </c>
      <c r="Y150" s="109" t="s">
        <v>138</v>
      </c>
      <c r="Z150" s="109" t="str">
        <f>IF('BD2'!$AA150 &lt; 14, "no", "si")</f>
        <v>si</v>
      </c>
      <c r="AA150" s="109">
        <v>48.2</v>
      </c>
      <c r="AB150" s="109">
        <v>16.899999999999999</v>
      </c>
      <c r="AC150" s="110" t="s">
        <v>967</v>
      </c>
      <c r="AD150" s="110" t="s">
        <v>954</v>
      </c>
      <c r="AE150" s="109">
        <f t="shared" si="7"/>
        <v>8</v>
      </c>
      <c r="AF150" s="111" t="str">
        <f t="shared" si="8"/>
        <v>Estable</v>
      </c>
    </row>
    <row r="151" spans="1:32" x14ac:dyDescent="0.2">
      <c r="A151" s="112">
        <v>419</v>
      </c>
      <c r="B151" s="113" t="s">
        <v>956</v>
      </c>
      <c r="C151" s="114" t="s">
        <v>87</v>
      </c>
      <c r="D151" s="114" t="s">
        <v>16</v>
      </c>
      <c r="E151" s="115" t="s">
        <v>90</v>
      </c>
      <c r="F151" s="115" t="s">
        <v>562</v>
      </c>
      <c r="G151" s="115" t="s">
        <v>1004</v>
      </c>
      <c r="H151" s="113" t="s">
        <v>8</v>
      </c>
      <c r="I151" s="114">
        <v>21.116620000000001</v>
      </c>
      <c r="J151" s="114">
        <v>-101.70237</v>
      </c>
      <c r="K151" s="113" t="s">
        <v>139</v>
      </c>
      <c r="L151" s="116" t="str">
        <f t="shared" si="6"/>
        <v>Ver en Google Maps</v>
      </c>
      <c r="M151" s="113">
        <v>1</v>
      </c>
      <c r="N151" s="117">
        <v>45965</v>
      </c>
      <c r="O151" s="118">
        <f>DAY('BD2'!$N151)</f>
        <v>4</v>
      </c>
      <c r="P151" s="118">
        <f>MONTH('BD2'!$N151)</f>
        <v>11</v>
      </c>
      <c r="Q151" s="118">
        <f>YEAR('BD2'!$N151)</f>
        <v>2025</v>
      </c>
      <c r="R151" s="118">
        <v>2</v>
      </c>
      <c r="S151" s="118" t="s">
        <v>138</v>
      </c>
      <c r="T151" s="118" t="s">
        <v>138</v>
      </c>
      <c r="U151" s="118" t="s">
        <v>138</v>
      </c>
      <c r="V151" s="118" t="s">
        <v>138</v>
      </c>
      <c r="W151" s="118" t="s">
        <v>138</v>
      </c>
      <c r="X151" s="118" t="s">
        <v>934</v>
      </c>
      <c r="Y151" s="118" t="s">
        <v>138</v>
      </c>
      <c r="Z151" s="118" t="str">
        <f>IF('BD2'!$AA151 &lt; 14, "no", "si")</f>
        <v>si</v>
      </c>
      <c r="AA151" s="118">
        <v>17.3</v>
      </c>
      <c r="AB151" s="118">
        <v>3.83</v>
      </c>
      <c r="AC151" s="119" t="s">
        <v>3158</v>
      </c>
      <c r="AD151" s="119" t="s">
        <v>957</v>
      </c>
      <c r="AE151" s="118">
        <f t="shared" si="7"/>
        <v>7</v>
      </c>
      <c r="AF151" s="120" t="str">
        <f t="shared" si="8"/>
        <v>Funcional con observaciones</v>
      </c>
    </row>
    <row r="152" spans="1:32" x14ac:dyDescent="0.2">
      <c r="A152" s="121">
        <v>420</v>
      </c>
      <c r="B152" s="122" t="s">
        <v>956</v>
      </c>
      <c r="C152" s="123" t="s">
        <v>87</v>
      </c>
      <c r="D152" s="123" t="s">
        <v>563</v>
      </c>
      <c r="E152" s="124" t="s">
        <v>564</v>
      </c>
      <c r="F152" s="124" t="s">
        <v>565</v>
      </c>
      <c r="G152" s="124" t="s">
        <v>1203</v>
      </c>
      <c r="H152" s="122" t="s">
        <v>8</v>
      </c>
      <c r="I152" s="123">
        <v>21.08624</v>
      </c>
      <c r="J152" s="123">
        <v>-101.521469</v>
      </c>
      <c r="K152" s="122"/>
      <c r="L152" s="125" t="str">
        <f t="shared" si="6"/>
        <v>Ver en Google Maps</v>
      </c>
      <c r="M152" s="122">
        <v>1</v>
      </c>
      <c r="N152" s="130"/>
      <c r="O152" s="109"/>
      <c r="P152" s="109"/>
      <c r="Q152" s="109"/>
      <c r="R152" s="109"/>
      <c r="S152" s="109"/>
      <c r="T152" s="109"/>
      <c r="U152" s="109"/>
      <c r="V152" s="109"/>
      <c r="W152" s="109"/>
      <c r="X152" s="109"/>
      <c r="Y152" s="109"/>
      <c r="Z152" s="109"/>
      <c r="AA152" s="109"/>
      <c r="AB152" s="109"/>
      <c r="AC152" s="109"/>
      <c r="AD152" s="110"/>
      <c r="AE152" s="109"/>
      <c r="AF152" s="111"/>
    </row>
    <row r="153" spans="1:32" x14ac:dyDescent="0.2">
      <c r="A153" s="112">
        <v>422</v>
      </c>
      <c r="B153" s="113" t="s">
        <v>956</v>
      </c>
      <c r="C153" s="114" t="s">
        <v>429</v>
      </c>
      <c r="D153" s="114" t="s">
        <v>16</v>
      </c>
      <c r="E153" s="115" t="s">
        <v>91</v>
      </c>
      <c r="F153" s="115" t="s">
        <v>566</v>
      </c>
      <c r="G153" s="115" t="s">
        <v>1068</v>
      </c>
      <c r="H153" s="113" t="s">
        <v>8</v>
      </c>
      <c r="I153" s="114">
        <v>21.10323</v>
      </c>
      <c r="J153" s="114">
        <v>-101.70292999999999</v>
      </c>
      <c r="K153" s="113" t="s">
        <v>139</v>
      </c>
      <c r="L153" s="116" t="str">
        <f t="shared" si="6"/>
        <v>Ver en Google Maps</v>
      </c>
      <c r="M153" s="113">
        <v>1</v>
      </c>
      <c r="N153" s="117">
        <v>45964</v>
      </c>
      <c r="O153" s="118">
        <f>DAY('BD2'!$N153)</f>
        <v>3</v>
      </c>
      <c r="P153" s="118">
        <f>MONTH('BD2'!$N153)</f>
        <v>11</v>
      </c>
      <c r="Q153" s="118">
        <f>YEAR('BD2'!$N153)</f>
        <v>2025</v>
      </c>
      <c r="R153" s="118">
        <v>2</v>
      </c>
      <c r="S153" s="118" t="s">
        <v>138</v>
      </c>
      <c r="T153" s="118" t="s">
        <v>138</v>
      </c>
      <c r="U153" s="118" t="s">
        <v>138</v>
      </c>
      <c r="V153" s="118" t="s">
        <v>138</v>
      </c>
      <c r="W153" s="118" t="s">
        <v>138</v>
      </c>
      <c r="X153" s="118" t="s">
        <v>138</v>
      </c>
      <c r="Y153" s="118" t="s">
        <v>138</v>
      </c>
      <c r="Z153" s="118" t="str">
        <f>IF('BD2'!$AA153 &lt; 14, "no", "si")</f>
        <v>no</v>
      </c>
      <c r="AA153" s="118">
        <v>8</v>
      </c>
      <c r="AB153" s="118">
        <v>7.42</v>
      </c>
      <c r="AC153" s="119" t="s">
        <v>3144</v>
      </c>
      <c r="AD153" s="119" t="s">
        <v>957</v>
      </c>
      <c r="AE153" s="118">
        <f t="shared" si="7"/>
        <v>7</v>
      </c>
      <c r="AF153" s="120" t="str">
        <f t="shared" si="8"/>
        <v>Funcional con observaciones</v>
      </c>
    </row>
    <row r="154" spans="1:32" x14ac:dyDescent="0.2">
      <c r="A154" s="121">
        <v>428</v>
      </c>
      <c r="B154" s="122" t="s">
        <v>956</v>
      </c>
      <c r="C154" s="123" t="s">
        <v>429</v>
      </c>
      <c r="D154" s="123" t="s">
        <v>16</v>
      </c>
      <c r="E154" s="124" t="s">
        <v>222</v>
      </c>
      <c r="F154" s="124" t="s">
        <v>567</v>
      </c>
      <c r="G154" s="124" t="s">
        <v>1063</v>
      </c>
      <c r="H154" s="122" t="s">
        <v>8</v>
      </c>
      <c r="I154" s="123">
        <v>21.131119999999999</v>
      </c>
      <c r="J154" s="123">
        <v>-101.67491</v>
      </c>
      <c r="K154" s="122" t="s">
        <v>139</v>
      </c>
      <c r="L154" s="125" t="str">
        <f t="shared" si="6"/>
        <v>Ver en Google Maps</v>
      </c>
      <c r="M154" s="122">
        <v>1</v>
      </c>
      <c r="N154" s="108">
        <v>45954</v>
      </c>
      <c r="O154" s="109">
        <f>DAY('BD2'!$N154)</f>
        <v>24</v>
      </c>
      <c r="P154" s="109">
        <f>MONTH('BD2'!$N154)</f>
        <v>10</v>
      </c>
      <c r="Q154" s="109">
        <f>YEAR('BD2'!$N154)</f>
        <v>2025</v>
      </c>
      <c r="R154" s="109">
        <v>2</v>
      </c>
      <c r="S154" s="109" t="s">
        <v>138</v>
      </c>
      <c r="T154" s="109" t="s">
        <v>138</v>
      </c>
      <c r="U154" s="109" t="s">
        <v>138</v>
      </c>
      <c r="V154" s="109" t="s">
        <v>138</v>
      </c>
      <c r="W154" s="109" t="s">
        <v>138</v>
      </c>
      <c r="X154" s="109" t="s">
        <v>138</v>
      </c>
      <c r="Y154" s="109" t="s">
        <v>138</v>
      </c>
      <c r="Z154" s="109" t="str">
        <f>IF('BD2'!$AA154 &lt; 14, "no", "si")</f>
        <v>si</v>
      </c>
      <c r="AA154" s="109">
        <v>59.7</v>
      </c>
      <c r="AB154" s="109">
        <v>3.22</v>
      </c>
      <c r="AC154" s="110" t="s">
        <v>967</v>
      </c>
      <c r="AD154" s="110" t="s">
        <v>954</v>
      </c>
      <c r="AE154" s="109">
        <f t="shared" si="7"/>
        <v>8</v>
      </c>
      <c r="AF154" s="111" t="str">
        <f t="shared" si="8"/>
        <v>Estable</v>
      </c>
    </row>
    <row r="155" spans="1:32" x14ac:dyDescent="0.2">
      <c r="A155" s="112">
        <v>429</v>
      </c>
      <c r="B155" s="113" t="s">
        <v>956</v>
      </c>
      <c r="C155" s="114" t="s">
        <v>429</v>
      </c>
      <c r="D155" s="114" t="s">
        <v>16</v>
      </c>
      <c r="E155" s="115" t="s">
        <v>92</v>
      </c>
      <c r="F155" s="115" t="s">
        <v>568</v>
      </c>
      <c r="G155" s="115" t="s">
        <v>1052</v>
      </c>
      <c r="H155" s="113" t="s">
        <v>8</v>
      </c>
      <c r="I155" s="114">
        <v>21.112490000000001</v>
      </c>
      <c r="J155" s="114">
        <v>-101.7068</v>
      </c>
      <c r="K155" s="113" t="s">
        <v>139</v>
      </c>
      <c r="L155" s="116" t="str">
        <f t="shared" si="6"/>
        <v>Ver en Google Maps</v>
      </c>
      <c r="M155" s="113">
        <v>1</v>
      </c>
      <c r="N155" s="117">
        <v>45965</v>
      </c>
      <c r="O155" s="118">
        <f>DAY('BD2'!$N155)</f>
        <v>4</v>
      </c>
      <c r="P155" s="118">
        <f>MONTH('BD2'!$N155)</f>
        <v>11</v>
      </c>
      <c r="Q155" s="118">
        <f>YEAR('BD2'!$N155)</f>
        <v>2025</v>
      </c>
      <c r="R155" s="118">
        <v>2</v>
      </c>
      <c r="S155" s="118" t="s">
        <v>138</v>
      </c>
      <c r="T155" s="118" t="s">
        <v>138</v>
      </c>
      <c r="U155" s="118" t="s">
        <v>138</v>
      </c>
      <c r="V155" s="118" t="s">
        <v>138</v>
      </c>
      <c r="W155" s="118" t="s">
        <v>138</v>
      </c>
      <c r="X155" s="118" t="s">
        <v>138</v>
      </c>
      <c r="Y155" s="118" t="s">
        <v>138</v>
      </c>
      <c r="Z155" s="118" t="str">
        <f>IF('BD2'!$AA155 &lt; 14, "no", "si")</f>
        <v>si</v>
      </c>
      <c r="AA155" s="118">
        <v>15.6</v>
      </c>
      <c r="AB155" s="118">
        <v>4.04</v>
      </c>
      <c r="AC155" s="119" t="s">
        <v>967</v>
      </c>
      <c r="AD155" s="119" t="s">
        <v>957</v>
      </c>
      <c r="AE155" s="118">
        <f t="shared" si="7"/>
        <v>8</v>
      </c>
      <c r="AF155" s="120" t="str">
        <f t="shared" si="8"/>
        <v>Estable</v>
      </c>
    </row>
    <row r="156" spans="1:32" x14ac:dyDescent="0.2">
      <c r="A156" s="121">
        <v>431</v>
      </c>
      <c r="B156" s="122" t="s">
        <v>956</v>
      </c>
      <c r="C156" s="123" t="s">
        <v>429</v>
      </c>
      <c r="D156" s="123" t="s">
        <v>16</v>
      </c>
      <c r="E156" s="124" t="s">
        <v>93</v>
      </c>
      <c r="F156" s="124" t="s">
        <v>569</v>
      </c>
      <c r="G156" s="124" t="s">
        <v>1081</v>
      </c>
      <c r="H156" s="122" t="s">
        <v>8</v>
      </c>
      <c r="I156" s="123">
        <v>21.14179</v>
      </c>
      <c r="J156" s="123">
        <v>-101.7182</v>
      </c>
      <c r="K156" s="122"/>
      <c r="L156" s="125" t="str">
        <f t="shared" si="6"/>
        <v>Ver en Google Maps</v>
      </c>
      <c r="M156" s="122">
        <v>1</v>
      </c>
      <c r="N156" s="130"/>
      <c r="O156" s="109"/>
      <c r="P156" s="109"/>
      <c r="Q156" s="109"/>
      <c r="R156" s="109"/>
      <c r="S156" s="109"/>
      <c r="T156" s="109"/>
      <c r="U156" s="109"/>
      <c r="V156" s="109"/>
      <c r="W156" s="109"/>
      <c r="X156" s="109"/>
      <c r="Y156" s="109"/>
      <c r="Z156" s="109"/>
      <c r="AA156" s="109"/>
      <c r="AB156" s="109"/>
      <c r="AC156" s="109"/>
      <c r="AD156" s="110"/>
      <c r="AE156" s="109"/>
      <c r="AF156" s="111"/>
    </row>
    <row r="157" spans="1:32" x14ac:dyDescent="0.2">
      <c r="A157" s="112">
        <v>432</v>
      </c>
      <c r="B157" s="113" t="s">
        <v>956</v>
      </c>
      <c r="C157" s="114" t="s">
        <v>429</v>
      </c>
      <c r="D157" s="114" t="s">
        <v>16</v>
      </c>
      <c r="E157" s="115" t="s">
        <v>94</v>
      </c>
      <c r="F157" s="115" t="s">
        <v>570</v>
      </c>
      <c r="G157" s="115" t="s">
        <v>1082</v>
      </c>
      <c r="H157" s="113" t="s">
        <v>8</v>
      </c>
      <c r="I157" s="114">
        <v>21.091359000000001</v>
      </c>
      <c r="J157" s="114">
        <v>-101.754165</v>
      </c>
      <c r="K157" s="113"/>
      <c r="L157" s="116" t="str">
        <f t="shared" si="6"/>
        <v>Ver en Google Maps</v>
      </c>
      <c r="M157" s="113">
        <v>1</v>
      </c>
      <c r="N157" s="129"/>
      <c r="O157" s="118"/>
      <c r="P157" s="118"/>
      <c r="Q157" s="118"/>
      <c r="R157" s="118"/>
      <c r="S157" s="118"/>
      <c r="T157" s="118"/>
      <c r="U157" s="118"/>
      <c r="V157" s="118"/>
      <c r="W157" s="118"/>
      <c r="X157" s="118"/>
      <c r="Y157" s="118"/>
      <c r="Z157" s="118"/>
      <c r="AA157" s="118"/>
      <c r="AB157" s="118"/>
      <c r="AC157" s="118"/>
      <c r="AD157" s="119"/>
      <c r="AE157" s="118"/>
      <c r="AF157" s="120"/>
    </row>
    <row r="158" spans="1:32" x14ac:dyDescent="0.2">
      <c r="A158" s="121">
        <v>433</v>
      </c>
      <c r="B158" s="122" t="s">
        <v>956</v>
      </c>
      <c r="C158" s="123" t="s">
        <v>429</v>
      </c>
      <c r="D158" s="123" t="s">
        <v>16</v>
      </c>
      <c r="E158" s="124" t="s">
        <v>95</v>
      </c>
      <c r="F158" s="124" t="s">
        <v>571</v>
      </c>
      <c r="G158" s="124" t="s">
        <v>1023</v>
      </c>
      <c r="H158" s="122" t="s">
        <v>8</v>
      </c>
      <c r="I158" s="123">
        <v>21.059947000000001</v>
      </c>
      <c r="J158" s="123">
        <v>-101.62000399999999</v>
      </c>
      <c r="K158" s="122"/>
      <c r="L158" s="125" t="str">
        <f t="shared" si="6"/>
        <v>Ver en Google Maps</v>
      </c>
      <c r="M158" s="122">
        <v>1</v>
      </c>
      <c r="N158" s="130"/>
      <c r="O158" s="109"/>
      <c r="P158" s="109"/>
      <c r="Q158" s="109"/>
      <c r="R158" s="109"/>
      <c r="S158" s="109"/>
      <c r="T158" s="109"/>
      <c r="U158" s="109"/>
      <c r="V158" s="109"/>
      <c r="W158" s="109"/>
      <c r="X158" s="109"/>
      <c r="Y158" s="109"/>
      <c r="Z158" s="109"/>
      <c r="AA158" s="109"/>
      <c r="AB158" s="109"/>
      <c r="AC158" s="109"/>
      <c r="AD158" s="110"/>
      <c r="AE158" s="109"/>
      <c r="AF158" s="111"/>
    </row>
    <row r="159" spans="1:32" x14ac:dyDescent="0.2">
      <c r="A159" s="112">
        <v>435</v>
      </c>
      <c r="B159" s="113" t="s">
        <v>956</v>
      </c>
      <c r="C159" s="114" t="s">
        <v>429</v>
      </c>
      <c r="D159" s="114" t="s">
        <v>16</v>
      </c>
      <c r="E159" s="115" t="s">
        <v>96</v>
      </c>
      <c r="F159" s="115" t="s">
        <v>572</v>
      </c>
      <c r="G159" s="115" t="s">
        <v>1083</v>
      </c>
      <c r="H159" s="113" t="s">
        <v>8</v>
      </c>
      <c r="I159" s="114">
        <v>21.099641999999999</v>
      </c>
      <c r="J159" s="114">
        <v>-101.702191</v>
      </c>
      <c r="K159" s="113" t="s">
        <v>139</v>
      </c>
      <c r="L159" s="116" t="str">
        <f t="shared" si="6"/>
        <v>Ver en Google Maps</v>
      </c>
      <c r="M159" s="113">
        <v>1</v>
      </c>
      <c r="N159" s="117">
        <v>45964</v>
      </c>
      <c r="O159" s="118">
        <f>DAY('BD2'!$N159)</f>
        <v>3</v>
      </c>
      <c r="P159" s="118">
        <f>MONTH('BD2'!$N159)</f>
        <v>11</v>
      </c>
      <c r="Q159" s="118">
        <f>YEAR('BD2'!$N159)</f>
        <v>2025</v>
      </c>
      <c r="R159" s="118">
        <v>2</v>
      </c>
      <c r="S159" s="118" t="s">
        <v>934</v>
      </c>
      <c r="T159" s="118" t="s">
        <v>934</v>
      </c>
      <c r="U159" s="118" t="s">
        <v>934</v>
      </c>
      <c r="V159" s="118" t="s">
        <v>934</v>
      </c>
      <c r="W159" s="118" t="s">
        <v>934</v>
      </c>
      <c r="X159" s="118" t="s">
        <v>934</v>
      </c>
      <c r="Y159" s="118" t="s">
        <v>934</v>
      </c>
      <c r="Z159" s="118" t="str">
        <f>IF('BD2'!$AA159 &lt; 14, "no", "si")</f>
        <v>no</v>
      </c>
      <c r="AA159" s="118">
        <v>0</v>
      </c>
      <c r="AB159" s="118">
        <v>0</v>
      </c>
      <c r="AC159" s="119" t="s">
        <v>3145</v>
      </c>
      <c r="AD159" s="119" t="s">
        <v>954</v>
      </c>
      <c r="AE159" s="118">
        <f t="shared" si="7"/>
        <v>0</v>
      </c>
      <c r="AF159" s="120" t="str">
        <f t="shared" si="8"/>
        <v>Crítico</v>
      </c>
    </row>
    <row r="160" spans="1:32" x14ac:dyDescent="0.2">
      <c r="A160" s="121">
        <v>436</v>
      </c>
      <c r="B160" s="122" t="s">
        <v>956</v>
      </c>
      <c r="C160" s="123" t="s">
        <v>429</v>
      </c>
      <c r="D160" s="123" t="s">
        <v>17</v>
      </c>
      <c r="E160" s="124" t="s">
        <v>97</v>
      </c>
      <c r="F160" s="124" t="s">
        <v>573</v>
      </c>
      <c r="G160" s="124" t="s">
        <v>1084</v>
      </c>
      <c r="H160" s="122" t="s">
        <v>8</v>
      </c>
      <c r="I160" s="123">
        <v>21.07892</v>
      </c>
      <c r="J160" s="123">
        <v>-101.6183</v>
      </c>
      <c r="K160" s="122"/>
      <c r="L160" s="125" t="str">
        <f t="shared" si="6"/>
        <v>Ver en Google Maps</v>
      </c>
      <c r="M160" s="122">
        <v>1</v>
      </c>
      <c r="N160" s="130"/>
      <c r="O160" s="109"/>
      <c r="P160" s="109"/>
      <c r="Q160" s="109"/>
      <c r="R160" s="109"/>
      <c r="S160" s="109"/>
      <c r="T160" s="109"/>
      <c r="U160" s="109"/>
      <c r="V160" s="109"/>
      <c r="W160" s="109"/>
      <c r="X160" s="109"/>
      <c r="Y160" s="109"/>
      <c r="Z160" s="109"/>
      <c r="AA160" s="109"/>
      <c r="AB160" s="109"/>
      <c r="AC160" s="109"/>
      <c r="AD160" s="110"/>
      <c r="AE160" s="109"/>
      <c r="AF160" s="111"/>
    </row>
    <row r="161" spans="1:32" x14ac:dyDescent="0.2">
      <c r="A161" s="112">
        <v>437</v>
      </c>
      <c r="B161" s="113" t="s">
        <v>956</v>
      </c>
      <c r="C161" s="114" t="s">
        <v>429</v>
      </c>
      <c r="D161" s="114" t="s">
        <v>17</v>
      </c>
      <c r="E161" s="115" t="s">
        <v>98</v>
      </c>
      <c r="F161" s="115" t="s">
        <v>574</v>
      </c>
      <c r="G161" s="115" t="s">
        <v>1085</v>
      </c>
      <c r="H161" s="113" t="s">
        <v>8</v>
      </c>
      <c r="I161" s="114">
        <v>21.072880000000001</v>
      </c>
      <c r="J161" s="114">
        <v>-101.63882</v>
      </c>
      <c r="K161" s="113"/>
      <c r="L161" s="116" t="str">
        <f t="shared" si="6"/>
        <v>Ver en Google Maps</v>
      </c>
      <c r="M161" s="113">
        <v>1</v>
      </c>
      <c r="N161" s="129"/>
      <c r="O161" s="118"/>
      <c r="P161" s="118"/>
      <c r="Q161" s="118"/>
      <c r="R161" s="118"/>
      <c r="S161" s="118"/>
      <c r="T161" s="118"/>
      <c r="U161" s="118"/>
      <c r="V161" s="118"/>
      <c r="W161" s="118"/>
      <c r="X161" s="118"/>
      <c r="Y161" s="118"/>
      <c r="Z161" s="118"/>
      <c r="AA161" s="118"/>
      <c r="AB161" s="118"/>
      <c r="AC161" s="118"/>
      <c r="AD161" s="119"/>
      <c r="AE161" s="118"/>
      <c r="AF161" s="120"/>
    </row>
    <row r="162" spans="1:32" x14ac:dyDescent="0.2">
      <c r="A162" s="121">
        <v>438</v>
      </c>
      <c r="B162" s="122" t="s">
        <v>956</v>
      </c>
      <c r="C162" s="123" t="s">
        <v>429</v>
      </c>
      <c r="D162" s="123" t="s">
        <v>16</v>
      </c>
      <c r="E162" s="124" t="s">
        <v>99</v>
      </c>
      <c r="F162" s="124" t="s">
        <v>575</v>
      </c>
      <c r="G162" s="124" t="s">
        <v>1086</v>
      </c>
      <c r="H162" s="122" t="s">
        <v>8</v>
      </c>
      <c r="I162" s="123">
        <v>21.10294</v>
      </c>
      <c r="J162" s="123">
        <v>-101.60207</v>
      </c>
      <c r="K162" s="122" t="s">
        <v>139</v>
      </c>
      <c r="L162" s="125" t="str">
        <f t="shared" si="6"/>
        <v>Ver en Google Maps</v>
      </c>
      <c r="M162" s="122">
        <v>1</v>
      </c>
      <c r="N162" s="108">
        <v>45957</v>
      </c>
      <c r="O162" s="109">
        <f>DAY('BD2'!$N162)</f>
        <v>27</v>
      </c>
      <c r="P162" s="109">
        <f>MONTH('BD2'!$N162)</f>
        <v>10</v>
      </c>
      <c r="Q162" s="109">
        <f>YEAR('BD2'!$N162)</f>
        <v>2025</v>
      </c>
      <c r="R162" s="109">
        <v>2</v>
      </c>
      <c r="S162" s="109" t="s">
        <v>138</v>
      </c>
      <c r="T162" s="109" t="s">
        <v>138</v>
      </c>
      <c r="U162" s="109" t="s">
        <v>138</v>
      </c>
      <c r="V162" s="109" t="s">
        <v>934</v>
      </c>
      <c r="W162" s="109" t="s">
        <v>934</v>
      </c>
      <c r="X162" s="109" t="s">
        <v>934</v>
      </c>
      <c r="Y162" s="109" t="s">
        <v>934</v>
      </c>
      <c r="Z162" s="109" t="str">
        <f>IF('BD2'!$AA162 &lt; 14, "no", "si")</f>
        <v>no</v>
      </c>
      <c r="AA162" s="109">
        <v>0</v>
      </c>
      <c r="AB162" s="109">
        <v>0</v>
      </c>
      <c r="AC162" s="110" t="s">
        <v>1421</v>
      </c>
      <c r="AD162" s="110" t="s">
        <v>954</v>
      </c>
      <c r="AE162" s="109">
        <f t="shared" si="7"/>
        <v>3</v>
      </c>
      <c r="AF162" s="111" t="str">
        <f t="shared" si="8"/>
        <v>Parcialmente funcional</v>
      </c>
    </row>
    <row r="163" spans="1:32" x14ac:dyDescent="0.2">
      <c r="A163" s="112">
        <v>439</v>
      </c>
      <c r="B163" s="113" t="s">
        <v>956</v>
      </c>
      <c r="C163" s="114" t="s">
        <v>429</v>
      </c>
      <c r="D163" s="114" t="s">
        <v>15</v>
      </c>
      <c r="E163" s="115" t="s">
        <v>100</v>
      </c>
      <c r="F163" s="115" t="s">
        <v>576</v>
      </c>
      <c r="G163" s="115" t="s">
        <v>1087</v>
      </c>
      <c r="H163" s="113" t="s">
        <v>8</v>
      </c>
      <c r="I163" s="114">
        <v>21.124663999999999</v>
      </c>
      <c r="J163" s="114">
        <v>-101.589361</v>
      </c>
      <c r="K163" s="113" t="s">
        <v>139</v>
      </c>
      <c r="L163" s="116" t="str">
        <f t="shared" si="6"/>
        <v>Ver en Google Maps</v>
      </c>
      <c r="M163" s="113">
        <v>2</v>
      </c>
      <c r="N163" s="117">
        <v>45957</v>
      </c>
      <c r="O163" s="118">
        <f>DAY('BD2'!$N163)</f>
        <v>27</v>
      </c>
      <c r="P163" s="118">
        <f>MONTH('BD2'!$N163)</f>
        <v>10</v>
      </c>
      <c r="Q163" s="118">
        <f>YEAR('BD2'!$N163)</f>
        <v>2025</v>
      </c>
      <c r="R163" s="118">
        <v>2</v>
      </c>
      <c r="S163" s="118" t="s">
        <v>138</v>
      </c>
      <c r="T163" s="118" t="s">
        <v>138</v>
      </c>
      <c r="U163" s="118" t="s">
        <v>138</v>
      </c>
      <c r="V163" s="118" t="s">
        <v>138</v>
      </c>
      <c r="W163" s="118" t="s">
        <v>138</v>
      </c>
      <c r="X163" s="118" t="s">
        <v>138</v>
      </c>
      <c r="Y163" s="118" t="s">
        <v>138</v>
      </c>
      <c r="Z163" s="118" t="str">
        <f>IF('BD2'!$AA163 &lt; 14, "no", "si")</f>
        <v>si</v>
      </c>
      <c r="AA163" s="118">
        <v>18.100000000000001</v>
      </c>
      <c r="AB163" s="118">
        <v>15</v>
      </c>
      <c r="AC163" s="119" t="s">
        <v>967</v>
      </c>
      <c r="AD163" s="119" t="s">
        <v>954</v>
      </c>
      <c r="AE163" s="118">
        <f t="shared" si="7"/>
        <v>8</v>
      </c>
      <c r="AF163" s="120" t="str">
        <f t="shared" si="8"/>
        <v>Estable</v>
      </c>
    </row>
    <row r="164" spans="1:32" x14ac:dyDescent="0.2">
      <c r="A164" s="121">
        <v>440</v>
      </c>
      <c r="B164" s="122" t="s">
        <v>956</v>
      </c>
      <c r="C164" s="123" t="s">
        <v>429</v>
      </c>
      <c r="D164" s="123" t="s">
        <v>15</v>
      </c>
      <c r="E164" s="124" t="s">
        <v>101</v>
      </c>
      <c r="F164" s="124" t="s">
        <v>577</v>
      </c>
      <c r="G164" s="124" t="s">
        <v>22</v>
      </c>
      <c r="H164" s="122" t="s">
        <v>8</v>
      </c>
      <c r="I164" s="123">
        <v>21.092580000000002</v>
      </c>
      <c r="J164" s="123">
        <v>-101.58732999999999</v>
      </c>
      <c r="K164" s="122"/>
      <c r="L164" s="125" t="str">
        <f t="shared" si="6"/>
        <v>Ver en Google Maps</v>
      </c>
      <c r="M164" s="122">
        <v>2</v>
      </c>
      <c r="N164" s="130"/>
      <c r="O164" s="109"/>
      <c r="P164" s="109"/>
      <c r="Q164" s="109"/>
      <c r="R164" s="109"/>
      <c r="S164" s="109"/>
      <c r="T164" s="109"/>
      <c r="U164" s="109"/>
      <c r="V164" s="109"/>
      <c r="W164" s="109"/>
      <c r="X164" s="109"/>
      <c r="Y164" s="109"/>
      <c r="Z164" s="109"/>
      <c r="AA164" s="109"/>
      <c r="AB164" s="109"/>
      <c r="AC164" s="109"/>
      <c r="AD164" s="110"/>
      <c r="AE164" s="109"/>
      <c r="AF164" s="111"/>
    </row>
    <row r="165" spans="1:32" x14ac:dyDescent="0.2">
      <c r="A165" s="112">
        <v>442</v>
      </c>
      <c r="B165" s="113" t="s">
        <v>956</v>
      </c>
      <c r="C165" s="114" t="s">
        <v>429</v>
      </c>
      <c r="D165" s="114" t="s">
        <v>16</v>
      </c>
      <c r="E165" s="115" t="s">
        <v>102</v>
      </c>
      <c r="F165" s="115" t="s">
        <v>578</v>
      </c>
      <c r="G165" s="115" t="s">
        <v>1088</v>
      </c>
      <c r="H165" s="113" t="s">
        <v>8</v>
      </c>
      <c r="I165" s="114">
        <v>21.111141</v>
      </c>
      <c r="J165" s="114">
        <v>-101.715396</v>
      </c>
      <c r="K165" s="113"/>
      <c r="L165" s="116" t="str">
        <f t="shared" si="6"/>
        <v>Ver en Google Maps</v>
      </c>
      <c r="M165" s="113">
        <v>1</v>
      </c>
      <c r="N165" s="117"/>
      <c r="O165" s="118"/>
      <c r="P165" s="118"/>
      <c r="Q165" s="118"/>
      <c r="R165" s="118"/>
      <c r="S165" s="118"/>
      <c r="T165" s="118"/>
      <c r="U165" s="118"/>
      <c r="V165" s="118"/>
      <c r="W165" s="118"/>
      <c r="X165" s="118"/>
      <c r="Y165" s="118"/>
      <c r="Z165" s="118"/>
      <c r="AA165" s="118"/>
      <c r="AB165" s="118"/>
      <c r="AC165" s="119"/>
      <c r="AD165" s="119"/>
      <c r="AE165" s="118"/>
      <c r="AF165" s="120"/>
    </row>
    <row r="166" spans="1:32" x14ac:dyDescent="0.2">
      <c r="A166" s="121">
        <v>443</v>
      </c>
      <c r="B166" s="122" t="s">
        <v>956</v>
      </c>
      <c r="C166" s="123" t="s">
        <v>429</v>
      </c>
      <c r="D166" s="123" t="s">
        <v>16</v>
      </c>
      <c r="E166" s="124" t="s">
        <v>103</v>
      </c>
      <c r="F166" s="124" t="s">
        <v>579</v>
      </c>
      <c r="G166" s="124" t="s">
        <v>1089</v>
      </c>
      <c r="H166" s="122" t="s">
        <v>8</v>
      </c>
      <c r="I166" s="123">
        <v>21.115300000000001</v>
      </c>
      <c r="J166" s="123">
        <v>-101.69396</v>
      </c>
      <c r="K166" s="122" t="s">
        <v>139</v>
      </c>
      <c r="L166" s="125" t="str">
        <f t="shared" si="6"/>
        <v>Ver en Google Maps</v>
      </c>
      <c r="M166" s="122">
        <v>1</v>
      </c>
      <c r="N166" s="117">
        <v>45965</v>
      </c>
      <c r="O166" s="109">
        <f>DAY('BD2'!$N166)</f>
        <v>4</v>
      </c>
      <c r="P166" s="109">
        <f>MONTH('BD2'!$N166)</f>
        <v>11</v>
      </c>
      <c r="Q166" s="109">
        <f>YEAR('BD2'!$N166)</f>
        <v>2025</v>
      </c>
      <c r="R166" s="109">
        <v>2</v>
      </c>
      <c r="S166" s="109" t="s">
        <v>138</v>
      </c>
      <c r="T166" s="109" t="s">
        <v>138</v>
      </c>
      <c r="U166" s="109" t="s">
        <v>138</v>
      </c>
      <c r="V166" s="109" t="s">
        <v>138</v>
      </c>
      <c r="W166" s="109" t="s">
        <v>138</v>
      </c>
      <c r="X166" s="109" t="s">
        <v>138</v>
      </c>
      <c r="Y166" s="109" t="s">
        <v>138</v>
      </c>
      <c r="Z166" s="109" t="str">
        <f>IF('BD2'!$AA166 &lt; 14, "no", "si")</f>
        <v>si</v>
      </c>
      <c r="AA166" s="109">
        <v>85.3</v>
      </c>
      <c r="AB166" s="109">
        <v>37.6</v>
      </c>
      <c r="AC166" s="110" t="s">
        <v>967</v>
      </c>
      <c r="AD166" s="110" t="s">
        <v>957</v>
      </c>
      <c r="AE166" s="109">
        <f t="shared" si="7"/>
        <v>8</v>
      </c>
      <c r="AF166" s="111" t="str">
        <f t="shared" si="8"/>
        <v>Estable</v>
      </c>
    </row>
    <row r="167" spans="1:32" x14ac:dyDescent="0.2">
      <c r="A167" s="112">
        <v>445</v>
      </c>
      <c r="B167" s="113" t="s">
        <v>956</v>
      </c>
      <c r="C167" s="114" t="s">
        <v>429</v>
      </c>
      <c r="D167" s="114" t="s">
        <v>16</v>
      </c>
      <c r="E167" s="115" t="s">
        <v>223</v>
      </c>
      <c r="F167" s="115" t="s">
        <v>580</v>
      </c>
      <c r="G167" s="115" t="s">
        <v>1032</v>
      </c>
      <c r="H167" s="113" t="s">
        <v>8</v>
      </c>
      <c r="I167" s="114">
        <v>21.139309999999998</v>
      </c>
      <c r="J167" s="114">
        <v>-101.75396000000001</v>
      </c>
      <c r="K167" s="113" t="s">
        <v>139</v>
      </c>
      <c r="L167" s="116" t="str">
        <f t="shared" si="6"/>
        <v>Ver en Google Maps</v>
      </c>
      <c r="M167" s="113">
        <v>1</v>
      </c>
      <c r="N167" s="117">
        <v>45960</v>
      </c>
      <c r="O167" s="118">
        <f>DAY('BD2'!$N167)</f>
        <v>30</v>
      </c>
      <c r="P167" s="118">
        <f>MONTH('BD2'!$N167)</f>
        <v>10</v>
      </c>
      <c r="Q167" s="118">
        <f>YEAR('BD2'!$N167)</f>
        <v>2025</v>
      </c>
      <c r="R167" s="118">
        <v>2</v>
      </c>
      <c r="S167" s="118" t="s">
        <v>138</v>
      </c>
      <c r="T167" s="118" t="s">
        <v>138</v>
      </c>
      <c r="U167" s="118" t="s">
        <v>138</v>
      </c>
      <c r="V167" s="118" t="s">
        <v>138</v>
      </c>
      <c r="W167" s="118" t="s">
        <v>138</v>
      </c>
      <c r="X167" s="118" t="s">
        <v>138</v>
      </c>
      <c r="Y167" s="118" t="s">
        <v>138</v>
      </c>
      <c r="Z167" s="118" t="str">
        <f>IF('BD2'!$AA167 &lt; 14, "no", "si")</f>
        <v>si</v>
      </c>
      <c r="AA167" s="118">
        <v>29.2</v>
      </c>
      <c r="AB167" s="118">
        <v>5.59</v>
      </c>
      <c r="AC167" s="119" t="s">
        <v>967</v>
      </c>
      <c r="AD167" s="119" t="s">
        <v>954</v>
      </c>
      <c r="AE167" s="118">
        <f t="shared" si="7"/>
        <v>8</v>
      </c>
      <c r="AF167" s="120" t="str">
        <f t="shared" si="8"/>
        <v>Estable</v>
      </c>
    </row>
    <row r="168" spans="1:32" x14ac:dyDescent="0.2">
      <c r="A168" s="121">
        <v>447</v>
      </c>
      <c r="B168" s="122" t="s">
        <v>956</v>
      </c>
      <c r="C168" s="123" t="s">
        <v>429</v>
      </c>
      <c r="D168" s="123" t="s">
        <v>16</v>
      </c>
      <c r="E168" s="124" t="s">
        <v>224</v>
      </c>
      <c r="F168" s="124" t="s">
        <v>581</v>
      </c>
      <c r="G168" s="124" t="s">
        <v>1090</v>
      </c>
      <c r="H168" s="122" t="s">
        <v>8</v>
      </c>
      <c r="I168" s="123">
        <v>21.1433</v>
      </c>
      <c r="J168" s="123">
        <v>-101.70074</v>
      </c>
      <c r="K168" s="122" t="s">
        <v>139</v>
      </c>
      <c r="L168" s="125" t="str">
        <f t="shared" si="6"/>
        <v>Ver en Google Maps</v>
      </c>
      <c r="M168" s="122">
        <v>1</v>
      </c>
      <c r="N168" s="108">
        <v>45958</v>
      </c>
      <c r="O168" s="109">
        <f>DAY('BD2'!$N168)</f>
        <v>28</v>
      </c>
      <c r="P168" s="109">
        <f>MONTH('BD2'!$N168)</f>
        <v>10</v>
      </c>
      <c r="Q168" s="109">
        <f>YEAR('BD2'!$N168)</f>
        <v>2025</v>
      </c>
      <c r="R168" s="109">
        <v>2</v>
      </c>
      <c r="S168" s="109" t="s">
        <v>138</v>
      </c>
      <c r="T168" s="109" t="s">
        <v>138</v>
      </c>
      <c r="U168" s="109" t="s">
        <v>138</v>
      </c>
      <c r="V168" s="109" t="s">
        <v>138</v>
      </c>
      <c r="W168" s="109" t="s">
        <v>138</v>
      </c>
      <c r="X168" s="109" t="s">
        <v>934</v>
      </c>
      <c r="Y168" s="109" t="s">
        <v>138</v>
      </c>
      <c r="Z168" s="109" t="str">
        <f>IF('BD2'!$AA168 &lt; 14, "no", "si")</f>
        <v>si</v>
      </c>
      <c r="AA168" s="109">
        <v>24.1</v>
      </c>
      <c r="AB168" s="109">
        <v>2.9</v>
      </c>
      <c r="AC168" s="110" t="s">
        <v>3112</v>
      </c>
      <c r="AD168" s="110" t="s">
        <v>954</v>
      </c>
      <c r="AE168" s="109">
        <f t="shared" si="7"/>
        <v>7</v>
      </c>
      <c r="AF168" s="111" t="str">
        <f t="shared" si="8"/>
        <v>Funcional con observaciones</v>
      </c>
    </row>
    <row r="169" spans="1:32" x14ac:dyDescent="0.2">
      <c r="A169" s="112">
        <v>448</v>
      </c>
      <c r="B169" s="113" t="s">
        <v>956</v>
      </c>
      <c r="C169" s="114" t="s">
        <v>429</v>
      </c>
      <c r="D169" s="114" t="s">
        <v>16</v>
      </c>
      <c r="E169" s="115" t="s">
        <v>104</v>
      </c>
      <c r="F169" s="115" t="s">
        <v>582</v>
      </c>
      <c r="G169" s="115" t="s">
        <v>1091</v>
      </c>
      <c r="H169" s="113" t="s">
        <v>8</v>
      </c>
      <c r="I169" s="114">
        <v>21.092569999999998</v>
      </c>
      <c r="J169" s="114">
        <v>-101.64555</v>
      </c>
      <c r="K169" s="113"/>
      <c r="L169" s="116" t="str">
        <f t="shared" si="6"/>
        <v>Ver en Google Maps</v>
      </c>
      <c r="M169" s="113">
        <v>1</v>
      </c>
      <c r="N169" s="129"/>
      <c r="O169" s="118"/>
      <c r="P169" s="118"/>
      <c r="Q169" s="118"/>
      <c r="R169" s="118"/>
      <c r="S169" s="118"/>
      <c r="T169" s="118"/>
      <c r="U169" s="118"/>
      <c r="V169" s="118"/>
      <c r="W169" s="118"/>
      <c r="X169" s="118"/>
      <c r="Y169" s="118"/>
      <c r="Z169" s="118"/>
      <c r="AA169" s="118"/>
      <c r="AB169" s="118"/>
      <c r="AC169" s="118"/>
      <c r="AD169" s="119"/>
      <c r="AE169" s="118"/>
      <c r="AF169" s="120"/>
    </row>
    <row r="170" spans="1:32" x14ac:dyDescent="0.2">
      <c r="A170" s="121">
        <v>453</v>
      </c>
      <c r="B170" s="122" t="s">
        <v>956</v>
      </c>
      <c r="C170" s="123" t="s">
        <v>429</v>
      </c>
      <c r="D170" s="123" t="s">
        <v>17</v>
      </c>
      <c r="E170" s="124" t="s">
        <v>105</v>
      </c>
      <c r="F170" s="124" t="s">
        <v>583</v>
      </c>
      <c r="G170" s="124" t="s">
        <v>1092</v>
      </c>
      <c r="H170" s="122" t="s">
        <v>8</v>
      </c>
      <c r="I170" s="123">
        <v>21.057898000000002</v>
      </c>
      <c r="J170" s="123">
        <v>-101.637951</v>
      </c>
      <c r="K170" s="122"/>
      <c r="L170" s="125" t="str">
        <f t="shared" si="6"/>
        <v>Ver en Google Maps</v>
      </c>
      <c r="M170" s="122">
        <v>1</v>
      </c>
      <c r="N170" s="130"/>
      <c r="O170" s="109"/>
      <c r="P170" s="109"/>
      <c r="Q170" s="109"/>
      <c r="R170" s="109"/>
      <c r="S170" s="109"/>
      <c r="T170" s="109"/>
      <c r="U170" s="109"/>
      <c r="V170" s="109"/>
      <c r="W170" s="109"/>
      <c r="X170" s="109"/>
      <c r="Y170" s="109"/>
      <c r="Z170" s="109"/>
      <c r="AA170" s="109"/>
      <c r="AB170" s="109"/>
      <c r="AC170" s="109"/>
      <c r="AD170" s="110"/>
      <c r="AE170" s="109"/>
      <c r="AF170" s="111"/>
    </row>
    <row r="171" spans="1:32" x14ac:dyDescent="0.2">
      <c r="A171" s="112">
        <v>456</v>
      </c>
      <c r="B171" s="113" t="s">
        <v>956</v>
      </c>
      <c r="C171" s="114" t="s">
        <v>429</v>
      </c>
      <c r="D171" s="114" t="s">
        <v>16</v>
      </c>
      <c r="E171" s="115" t="s">
        <v>106</v>
      </c>
      <c r="F171" s="115" t="s">
        <v>584</v>
      </c>
      <c r="G171" s="115" t="s">
        <v>1093</v>
      </c>
      <c r="H171" s="113" t="s">
        <v>8</v>
      </c>
      <c r="I171" s="114">
        <v>21.079899999999999</v>
      </c>
      <c r="J171" s="114">
        <v>-101.65606</v>
      </c>
      <c r="K171" s="113"/>
      <c r="L171" s="116" t="str">
        <f t="shared" si="6"/>
        <v>Ver en Google Maps</v>
      </c>
      <c r="M171" s="113">
        <v>1</v>
      </c>
      <c r="N171" s="129"/>
      <c r="O171" s="118"/>
      <c r="P171" s="118"/>
      <c r="Q171" s="118"/>
      <c r="R171" s="118"/>
      <c r="S171" s="118"/>
      <c r="T171" s="118"/>
      <c r="U171" s="118"/>
      <c r="V171" s="118"/>
      <c r="W171" s="118"/>
      <c r="X171" s="118"/>
      <c r="Y171" s="118"/>
      <c r="Z171" s="118"/>
      <c r="AA171" s="118"/>
      <c r="AB171" s="118"/>
      <c r="AC171" s="118"/>
      <c r="AD171" s="119"/>
      <c r="AE171" s="118"/>
      <c r="AF171" s="120"/>
    </row>
    <row r="172" spans="1:32" x14ac:dyDescent="0.2">
      <c r="A172" s="121">
        <v>458</v>
      </c>
      <c r="B172" s="122" t="s">
        <v>956</v>
      </c>
      <c r="C172" s="123" t="s">
        <v>429</v>
      </c>
      <c r="D172" s="123" t="s">
        <v>16</v>
      </c>
      <c r="E172" s="124" t="s">
        <v>225</v>
      </c>
      <c r="F172" s="124" t="s">
        <v>585</v>
      </c>
      <c r="G172" s="124" t="s">
        <v>984</v>
      </c>
      <c r="H172" s="122" t="s">
        <v>8</v>
      </c>
      <c r="I172" s="123">
        <v>21.141349999999999</v>
      </c>
      <c r="J172" s="123">
        <v>-101.66932</v>
      </c>
      <c r="K172" s="122" t="s">
        <v>139</v>
      </c>
      <c r="L172" s="125" t="str">
        <f t="shared" si="6"/>
        <v>Ver en Google Maps</v>
      </c>
      <c r="M172" s="122">
        <v>1</v>
      </c>
      <c r="N172" s="108">
        <v>45955</v>
      </c>
      <c r="O172" s="109">
        <f>DAY('BD2'!$N172)</f>
        <v>25</v>
      </c>
      <c r="P172" s="109">
        <f>MONTH('BD2'!$N172)</f>
        <v>10</v>
      </c>
      <c r="Q172" s="109">
        <f>YEAR('BD2'!$N172)</f>
        <v>2025</v>
      </c>
      <c r="R172" s="109">
        <v>2</v>
      </c>
      <c r="S172" s="109" t="s">
        <v>138</v>
      </c>
      <c r="T172" s="109" t="s">
        <v>138</v>
      </c>
      <c r="U172" s="109" t="s">
        <v>138</v>
      </c>
      <c r="V172" s="109" t="s">
        <v>138</v>
      </c>
      <c r="W172" s="109" t="s">
        <v>138</v>
      </c>
      <c r="X172" s="109" t="s">
        <v>138</v>
      </c>
      <c r="Y172" s="109" t="s">
        <v>138</v>
      </c>
      <c r="Z172" s="109" t="str">
        <f>IF('BD2'!$AA172 &lt; 14, "no", "si")</f>
        <v>si</v>
      </c>
      <c r="AA172" s="109">
        <v>18.399999999999999</v>
      </c>
      <c r="AB172" s="109">
        <v>5.28</v>
      </c>
      <c r="AC172" s="110" t="s">
        <v>967</v>
      </c>
      <c r="AD172" s="110" t="s">
        <v>954</v>
      </c>
      <c r="AE172" s="109">
        <f t="shared" si="7"/>
        <v>8</v>
      </c>
      <c r="AF172" s="111" t="str">
        <f t="shared" si="8"/>
        <v>Estable</v>
      </c>
    </row>
    <row r="173" spans="1:32" x14ac:dyDescent="0.2">
      <c r="A173" s="112">
        <v>465</v>
      </c>
      <c r="B173" s="113" t="s">
        <v>956</v>
      </c>
      <c r="C173" s="114" t="s">
        <v>429</v>
      </c>
      <c r="D173" s="114" t="s">
        <v>16</v>
      </c>
      <c r="E173" s="115" t="s">
        <v>226</v>
      </c>
      <c r="F173" s="115" t="s">
        <v>586</v>
      </c>
      <c r="G173" s="115" t="s">
        <v>1094</v>
      </c>
      <c r="H173" s="113" t="s">
        <v>8</v>
      </c>
      <c r="I173" s="114">
        <v>21.134138</v>
      </c>
      <c r="J173" s="114">
        <v>-101.756474</v>
      </c>
      <c r="K173" s="113" t="s">
        <v>139</v>
      </c>
      <c r="L173" s="116" t="str">
        <f t="shared" si="6"/>
        <v>Ver en Google Maps</v>
      </c>
      <c r="M173" s="113">
        <v>1</v>
      </c>
      <c r="N173" s="117">
        <v>45960</v>
      </c>
      <c r="O173" s="118">
        <f>DAY('BD2'!$N173)</f>
        <v>30</v>
      </c>
      <c r="P173" s="118">
        <f>MONTH('BD2'!$N173)</f>
        <v>10</v>
      </c>
      <c r="Q173" s="118">
        <f>YEAR('BD2'!$N173)</f>
        <v>2025</v>
      </c>
      <c r="R173" s="118">
        <v>2</v>
      </c>
      <c r="S173" s="118" t="s">
        <v>138</v>
      </c>
      <c r="T173" s="118" t="s">
        <v>138</v>
      </c>
      <c r="U173" s="118" t="s">
        <v>138</v>
      </c>
      <c r="V173" s="118" t="s">
        <v>138</v>
      </c>
      <c r="W173" s="118" t="s">
        <v>138</v>
      </c>
      <c r="X173" s="118" t="s">
        <v>138</v>
      </c>
      <c r="Y173" s="118" t="s">
        <v>138</v>
      </c>
      <c r="Z173" s="118" t="str">
        <f>IF('BD2'!$AA173 &lt; 14, "no", "si")</f>
        <v>no</v>
      </c>
      <c r="AA173" s="118">
        <v>1.67</v>
      </c>
      <c r="AB173" s="118">
        <v>1.87</v>
      </c>
      <c r="AC173" s="119" t="s">
        <v>3110</v>
      </c>
      <c r="AD173" s="119" t="s">
        <v>954</v>
      </c>
      <c r="AE173" s="118">
        <f t="shared" si="7"/>
        <v>7</v>
      </c>
      <c r="AF173" s="120" t="str">
        <f t="shared" si="8"/>
        <v>Funcional con observaciones</v>
      </c>
    </row>
    <row r="174" spans="1:32" x14ac:dyDescent="0.2">
      <c r="A174" s="121">
        <v>466</v>
      </c>
      <c r="B174" s="122" t="s">
        <v>956</v>
      </c>
      <c r="C174" s="123" t="s">
        <v>429</v>
      </c>
      <c r="D174" s="123" t="s">
        <v>16</v>
      </c>
      <c r="E174" s="124" t="s">
        <v>587</v>
      </c>
      <c r="F174" s="124" t="s">
        <v>588</v>
      </c>
      <c r="G174" s="124" t="s">
        <v>1095</v>
      </c>
      <c r="H174" s="122" t="s">
        <v>8</v>
      </c>
      <c r="I174" s="123">
        <v>21.092130000000001</v>
      </c>
      <c r="J174" s="123">
        <v>-101.65734</v>
      </c>
      <c r="K174" s="122"/>
      <c r="L174" s="125" t="str">
        <f t="shared" si="6"/>
        <v>Ver en Google Maps</v>
      </c>
      <c r="M174" s="122">
        <v>1</v>
      </c>
      <c r="N174" s="130"/>
      <c r="O174" s="109"/>
      <c r="P174" s="109"/>
      <c r="Q174" s="109"/>
      <c r="R174" s="109"/>
      <c r="S174" s="109"/>
      <c r="T174" s="109"/>
      <c r="U174" s="109"/>
      <c r="V174" s="109"/>
      <c r="W174" s="109"/>
      <c r="X174" s="109"/>
      <c r="Y174" s="109"/>
      <c r="Z174" s="109"/>
      <c r="AA174" s="109"/>
      <c r="AB174" s="109"/>
      <c r="AC174" s="109"/>
      <c r="AD174" s="110"/>
      <c r="AE174" s="109"/>
      <c r="AF174" s="111"/>
    </row>
    <row r="175" spans="1:32" x14ac:dyDescent="0.2">
      <c r="A175" s="112">
        <v>468</v>
      </c>
      <c r="B175" s="113" t="s">
        <v>956</v>
      </c>
      <c r="C175" s="114" t="s">
        <v>429</v>
      </c>
      <c r="D175" s="114" t="s">
        <v>16</v>
      </c>
      <c r="E175" s="115" t="s">
        <v>227</v>
      </c>
      <c r="F175" s="115" t="s">
        <v>589</v>
      </c>
      <c r="G175" s="115" t="s">
        <v>979</v>
      </c>
      <c r="H175" s="113" t="s">
        <v>8</v>
      </c>
      <c r="I175" s="114">
        <v>21.130089999999999</v>
      </c>
      <c r="J175" s="114">
        <v>-101.63934</v>
      </c>
      <c r="K175" s="113" t="s">
        <v>139</v>
      </c>
      <c r="L175" s="116" t="str">
        <f t="shared" si="6"/>
        <v>Ver en Google Maps</v>
      </c>
      <c r="M175" s="113">
        <v>1</v>
      </c>
      <c r="N175" s="117">
        <v>45955</v>
      </c>
      <c r="O175" s="118">
        <f>DAY('BD2'!$N175)</f>
        <v>25</v>
      </c>
      <c r="P175" s="118">
        <f>MONTH('BD2'!$N175)</f>
        <v>10</v>
      </c>
      <c r="Q175" s="118">
        <f>YEAR('BD2'!$N175)</f>
        <v>2025</v>
      </c>
      <c r="R175" s="118">
        <v>2</v>
      </c>
      <c r="S175" s="118" t="s">
        <v>138</v>
      </c>
      <c r="T175" s="118" t="s">
        <v>138</v>
      </c>
      <c r="U175" s="118" t="s">
        <v>138</v>
      </c>
      <c r="V175" s="118" t="s">
        <v>138</v>
      </c>
      <c r="W175" s="118" t="s">
        <v>138</v>
      </c>
      <c r="X175" s="118" t="s">
        <v>138</v>
      </c>
      <c r="Y175" s="118" t="s">
        <v>138</v>
      </c>
      <c r="Z175" s="118" t="str">
        <f>IF('BD2'!$AA175 &lt; 14, "no", "si")</f>
        <v>si</v>
      </c>
      <c r="AA175" s="118">
        <v>65.900000000000006</v>
      </c>
      <c r="AB175" s="118">
        <v>25.4</v>
      </c>
      <c r="AC175" s="119" t="s">
        <v>967</v>
      </c>
      <c r="AD175" s="119" t="s">
        <v>954</v>
      </c>
      <c r="AE175" s="118">
        <f t="shared" si="7"/>
        <v>8</v>
      </c>
      <c r="AF175" s="120" t="str">
        <f t="shared" si="8"/>
        <v>Estable</v>
      </c>
    </row>
    <row r="176" spans="1:32" x14ac:dyDescent="0.2">
      <c r="A176" s="121">
        <v>469</v>
      </c>
      <c r="B176" s="122" t="s">
        <v>956</v>
      </c>
      <c r="C176" s="123" t="s">
        <v>429</v>
      </c>
      <c r="D176" s="123" t="s">
        <v>16</v>
      </c>
      <c r="E176" s="124" t="s">
        <v>107</v>
      </c>
      <c r="F176" s="124" t="s">
        <v>590</v>
      </c>
      <c r="G176" s="124" t="s">
        <v>1096</v>
      </c>
      <c r="H176" s="122" t="s">
        <v>8</v>
      </c>
      <c r="I176" s="123">
        <v>21.116710000000001</v>
      </c>
      <c r="J176" s="123">
        <v>-101.581414</v>
      </c>
      <c r="K176" s="122"/>
      <c r="L176" s="125" t="str">
        <f t="shared" si="6"/>
        <v>Ver en Google Maps</v>
      </c>
      <c r="M176" s="122">
        <v>1</v>
      </c>
      <c r="N176" s="130"/>
      <c r="O176" s="109"/>
      <c r="P176" s="109"/>
      <c r="Q176" s="109"/>
      <c r="R176" s="109"/>
      <c r="S176" s="109"/>
      <c r="T176" s="109"/>
      <c r="U176" s="109"/>
      <c r="V176" s="109"/>
      <c r="W176" s="109"/>
      <c r="X176" s="109"/>
      <c r="Y176" s="109"/>
      <c r="Z176" s="109"/>
      <c r="AA176" s="109"/>
      <c r="AB176" s="109"/>
      <c r="AC176" s="109"/>
      <c r="AD176" s="110"/>
      <c r="AE176" s="109"/>
      <c r="AF176" s="111"/>
    </row>
    <row r="177" spans="1:32" x14ac:dyDescent="0.2">
      <c r="A177" s="112">
        <v>475</v>
      </c>
      <c r="B177" s="113" t="s">
        <v>956</v>
      </c>
      <c r="C177" s="114" t="s">
        <v>429</v>
      </c>
      <c r="D177" s="114" t="s">
        <v>16</v>
      </c>
      <c r="E177" s="115" t="s">
        <v>108</v>
      </c>
      <c r="F177" s="115" t="s">
        <v>591</v>
      </c>
      <c r="G177" s="115" t="s">
        <v>1097</v>
      </c>
      <c r="H177" s="113" t="s">
        <v>8</v>
      </c>
      <c r="I177" s="114">
        <v>21.070948999999999</v>
      </c>
      <c r="J177" s="114">
        <v>-101.605351</v>
      </c>
      <c r="K177" s="113"/>
      <c r="L177" s="116" t="str">
        <f t="shared" si="6"/>
        <v>Ver en Google Maps</v>
      </c>
      <c r="M177" s="113">
        <v>1</v>
      </c>
      <c r="N177" s="129"/>
      <c r="O177" s="118"/>
      <c r="P177" s="118"/>
      <c r="Q177" s="118"/>
      <c r="R177" s="118"/>
      <c r="S177" s="118"/>
      <c r="T177" s="118"/>
      <c r="U177" s="118"/>
      <c r="V177" s="118"/>
      <c r="W177" s="118"/>
      <c r="X177" s="118"/>
      <c r="Y177" s="118"/>
      <c r="Z177" s="118"/>
      <c r="AA177" s="118"/>
      <c r="AB177" s="118"/>
      <c r="AC177" s="118"/>
      <c r="AD177" s="119"/>
      <c r="AE177" s="118"/>
      <c r="AF177" s="120"/>
    </row>
    <row r="178" spans="1:32" x14ac:dyDescent="0.2">
      <c r="A178" s="121">
        <v>478</v>
      </c>
      <c r="B178" s="122" t="s">
        <v>956</v>
      </c>
      <c r="C178" s="123" t="s">
        <v>429</v>
      </c>
      <c r="D178" s="123" t="s">
        <v>16</v>
      </c>
      <c r="E178" s="124" t="s">
        <v>228</v>
      </c>
      <c r="F178" s="124" t="s">
        <v>592</v>
      </c>
      <c r="G178" s="124" t="s">
        <v>997</v>
      </c>
      <c r="H178" s="122" t="s">
        <v>8</v>
      </c>
      <c r="I178" s="123">
        <v>21.117280000000001</v>
      </c>
      <c r="J178" s="123">
        <v>-101.73036</v>
      </c>
      <c r="K178" s="122" t="s">
        <v>139</v>
      </c>
      <c r="L178" s="125" t="str">
        <f t="shared" si="6"/>
        <v>Ver en Google Maps</v>
      </c>
      <c r="M178" s="122">
        <v>1</v>
      </c>
      <c r="N178" s="108">
        <v>45960</v>
      </c>
      <c r="O178" s="109">
        <f>DAY('BD2'!$N178)</f>
        <v>30</v>
      </c>
      <c r="P178" s="109">
        <f>MONTH('BD2'!$N178)</f>
        <v>10</v>
      </c>
      <c r="Q178" s="109">
        <f>YEAR('BD2'!$N178)</f>
        <v>2025</v>
      </c>
      <c r="R178" s="109">
        <v>2</v>
      </c>
      <c r="S178" s="109" t="s">
        <v>138</v>
      </c>
      <c r="T178" s="109" t="s">
        <v>138</v>
      </c>
      <c r="U178" s="109" t="s">
        <v>138</v>
      </c>
      <c r="V178" s="109" t="s">
        <v>138</v>
      </c>
      <c r="W178" s="109" t="s">
        <v>138</v>
      </c>
      <c r="X178" s="109" t="s">
        <v>138</v>
      </c>
      <c r="Y178" s="109" t="s">
        <v>138</v>
      </c>
      <c r="Z178" s="109" t="str">
        <f>IF('BD2'!$AA178 &lt; 14, "no", "si")</f>
        <v>si</v>
      </c>
      <c r="AA178" s="109">
        <v>98.6</v>
      </c>
      <c r="AB178" s="109">
        <v>52.3</v>
      </c>
      <c r="AC178" s="110" t="s">
        <v>967</v>
      </c>
      <c r="AD178" s="110" t="s">
        <v>954</v>
      </c>
      <c r="AE178" s="109">
        <f t="shared" si="7"/>
        <v>8</v>
      </c>
      <c r="AF178" s="111" t="str">
        <f t="shared" si="8"/>
        <v>Estable</v>
      </c>
    </row>
    <row r="179" spans="1:32" x14ac:dyDescent="0.2">
      <c r="A179" s="112">
        <v>479</v>
      </c>
      <c r="B179" s="113" t="s">
        <v>956</v>
      </c>
      <c r="C179" s="114" t="s">
        <v>429</v>
      </c>
      <c r="D179" s="114" t="s">
        <v>16</v>
      </c>
      <c r="E179" s="115" t="s">
        <v>229</v>
      </c>
      <c r="F179" s="115" t="s">
        <v>593</v>
      </c>
      <c r="G179" s="115" t="s">
        <v>1098</v>
      </c>
      <c r="H179" s="113" t="s">
        <v>8</v>
      </c>
      <c r="I179" s="114">
        <v>21.140689999999999</v>
      </c>
      <c r="J179" s="114">
        <v>-101.73911</v>
      </c>
      <c r="K179" s="113" t="s">
        <v>139</v>
      </c>
      <c r="L179" s="116" t="str">
        <f t="shared" si="6"/>
        <v>Ver en Google Maps</v>
      </c>
      <c r="M179" s="113">
        <v>1</v>
      </c>
      <c r="N179" s="117">
        <v>45960</v>
      </c>
      <c r="O179" s="118">
        <f>DAY('BD2'!$N179)</f>
        <v>30</v>
      </c>
      <c r="P179" s="118">
        <f>MONTH('BD2'!$N179)</f>
        <v>10</v>
      </c>
      <c r="Q179" s="118">
        <f>YEAR('BD2'!$N179)</f>
        <v>2025</v>
      </c>
      <c r="R179" s="118">
        <v>2</v>
      </c>
      <c r="S179" s="118" t="s">
        <v>934</v>
      </c>
      <c r="T179" s="118" t="s">
        <v>934</v>
      </c>
      <c r="U179" s="118" t="s">
        <v>934</v>
      </c>
      <c r="V179" s="118" t="s">
        <v>934</v>
      </c>
      <c r="W179" s="118" t="s">
        <v>934</v>
      </c>
      <c r="X179" s="118" t="s">
        <v>934</v>
      </c>
      <c r="Y179" s="118" t="s">
        <v>934</v>
      </c>
      <c r="Z179" s="118" t="str">
        <f>IF('BD2'!$AA179 &lt; 14, "no", "si")</f>
        <v>no</v>
      </c>
      <c r="AA179" s="118">
        <v>0</v>
      </c>
      <c r="AB179" s="118">
        <v>0</v>
      </c>
      <c r="AC179" s="119" t="s">
        <v>3119</v>
      </c>
      <c r="AD179" s="119" t="s">
        <v>954</v>
      </c>
      <c r="AE179" s="118">
        <f t="shared" si="7"/>
        <v>0</v>
      </c>
      <c r="AF179" s="120" t="str">
        <f t="shared" si="8"/>
        <v>Crítico</v>
      </c>
    </row>
    <row r="180" spans="1:32" x14ac:dyDescent="0.2">
      <c r="A180" s="121">
        <v>483</v>
      </c>
      <c r="B180" s="122" t="s">
        <v>956</v>
      </c>
      <c r="C180" s="123" t="s">
        <v>429</v>
      </c>
      <c r="D180" s="123" t="s">
        <v>16</v>
      </c>
      <c r="E180" s="124" t="s">
        <v>109</v>
      </c>
      <c r="F180" s="124" t="s">
        <v>594</v>
      </c>
      <c r="G180" s="124" t="s">
        <v>1099</v>
      </c>
      <c r="H180" s="122" t="s">
        <v>8</v>
      </c>
      <c r="I180" s="123">
        <v>21.073969999999999</v>
      </c>
      <c r="J180" s="123">
        <v>-101.63544</v>
      </c>
      <c r="K180" s="122"/>
      <c r="L180" s="125" t="str">
        <f t="shared" si="6"/>
        <v>Ver en Google Maps</v>
      </c>
      <c r="M180" s="122">
        <v>1</v>
      </c>
      <c r="N180" s="130"/>
      <c r="O180" s="109"/>
      <c r="P180" s="109"/>
      <c r="Q180" s="109"/>
      <c r="R180" s="109"/>
      <c r="S180" s="109"/>
      <c r="T180" s="109"/>
      <c r="U180" s="109"/>
      <c r="V180" s="109"/>
      <c r="W180" s="109"/>
      <c r="X180" s="109"/>
      <c r="Y180" s="109"/>
      <c r="Z180" s="109"/>
      <c r="AA180" s="109"/>
      <c r="AB180" s="109"/>
      <c r="AC180" s="109"/>
      <c r="AD180" s="110"/>
      <c r="AE180" s="109"/>
      <c r="AF180" s="111"/>
    </row>
    <row r="181" spans="1:32" x14ac:dyDescent="0.2">
      <c r="A181" s="112">
        <v>484</v>
      </c>
      <c r="B181" s="113" t="s">
        <v>956</v>
      </c>
      <c r="C181" s="114" t="s">
        <v>429</v>
      </c>
      <c r="D181" s="114" t="s">
        <v>16</v>
      </c>
      <c r="E181" s="115" t="s">
        <v>110</v>
      </c>
      <c r="F181" s="115" t="s">
        <v>595</v>
      </c>
      <c r="G181" s="115" t="s">
        <v>1100</v>
      </c>
      <c r="H181" s="113" t="s">
        <v>8</v>
      </c>
      <c r="I181" s="114">
        <v>21.057490000000001</v>
      </c>
      <c r="J181" s="114">
        <v>-101.61726</v>
      </c>
      <c r="K181" s="113"/>
      <c r="L181" s="116" t="str">
        <f t="shared" si="6"/>
        <v>Ver en Google Maps</v>
      </c>
      <c r="M181" s="113">
        <v>1</v>
      </c>
      <c r="N181" s="129"/>
      <c r="O181" s="118"/>
      <c r="P181" s="118"/>
      <c r="Q181" s="118"/>
      <c r="R181" s="118"/>
      <c r="S181" s="118"/>
      <c r="T181" s="118"/>
      <c r="U181" s="118"/>
      <c r="V181" s="118"/>
      <c r="W181" s="118"/>
      <c r="X181" s="118"/>
      <c r="Y181" s="118"/>
      <c r="Z181" s="118"/>
      <c r="AA181" s="118"/>
      <c r="AB181" s="118"/>
      <c r="AC181" s="118"/>
      <c r="AD181" s="119"/>
      <c r="AE181" s="118"/>
      <c r="AF181" s="120"/>
    </row>
    <row r="182" spans="1:32" x14ac:dyDescent="0.2">
      <c r="A182" s="121">
        <v>486</v>
      </c>
      <c r="B182" s="122" t="s">
        <v>956</v>
      </c>
      <c r="C182" s="123" t="s">
        <v>429</v>
      </c>
      <c r="D182" s="123" t="s">
        <v>16</v>
      </c>
      <c r="E182" s="124" t="s">
        <v>111</v>
      </c>
      <c r="F182" s="124" t="s">
        <v>596</v>
      </c>
      <c r="G182" s="124" t="s">
        <v>1082</v>
      </c>
      <c r="H182" s="122" t="s">
        <v>8</v>
      </c>
      <c r="I182" s="123">
        <v>21.096468000000002</v>
      </c>
      <c r="J182" s="123">
        <v>-101.74959200000001</v>
      </c>
      <c r="K182" s="122"/>
      <c r="L182" s="125" t="str">
        <f t="shared" si="6"/>
        <v>Ver en Google Maps</v>
      </c>
      <c r="M182" s="122">
        <v>1</v>
      </c>
      <c r="N182" s="130"/>
      <c r="O182" s="109"/>
      <c r="P182" s="109"/>
      <c r="Q182" s="109"/>
      <c r="R182" s="109"/>
      <c r="S182" s="109"/>
      <c r="T182" s="109"/>
      <c r="U182" s="109"/>
      <c r="V182" s="109"/>
      <c r="W182" s="109"/>
      <c r="X182" s="109"/>
      <c r="Y182" s="109"/>
      <c r="Z182" s="109"/>
      <c r="AA182" s="109"/>
      <c r="AB182" s="109"/>
      <c r="AC182" s="109"/>
      <c r="AD182" s="110"/>
      <c r="AE182" s="109"/>
      <c r="AF182" s="111"/>
    </row>
    <row r="183" spans="1:32" x14ac:dyDescent="0.2">
      <c r="A183" s="112">
        <v>487</v>
      </c>
      <c r="B183" s="113" t="s">
        <v>956</v>
      </c>
      <c r="C183" s="114" t="s">
        <v>429</v>
      </c>
      <c r="D183" s="114" t="s">
        <v>16</v>
      </c>
      <c r="E183" s="115" t="s">
        <v>230</v>
      </c>
      <c r="F183" s="115" t="s">
        <v>597</v>
      </c>
      <c r="G183" s="115" t="s">
        <v>1036</v>
      </c>
      <c r="H183" s="113" t="s">
        <v>8</v>
      </c>
      <c r="I183" s="114">
        <v>21.128869999999999</v>
      </c>
      <c r="J183" s="114">
        <v>-101.72011000000001</v>
      </c>
      <c r="K183" s="113" t="s">
        <v>139</v>
      </c>
      <c r="L183" s="116" t="str">
        <f t="shared" si="6"/>
        <v>Ver en Google Maps</v>
      </c>
      <c r="M183" s="113">
        <v>1</v>
      </c>
      <c r="N183" s="117">
        <v>45960</v>
      </c>
      <c r="O183" s="118">
        <f>DAY('BD2'!$N183)</f>
        <v>30</v>
      </c>
      <c r="P183" s="118">
        <f>MONTH('BD2'!$N183)</f>
        <v>10</v>
      </c>
      <c r="Q183" s="118">
        <f>YEAR('BD2'!$N183)</f>
        <v>2025</v>
      </c>
      <c r="R183" s="118">
        <v>2</v>
      </c>
      <c r="S183" s="118" t="s">
        <v>138</v>
      </c>
      <c r="T183" s="118" t="s">
        <v>138</v>
      </c>
      <c r="U183" s="118" t="s">
        <v>138</v>
      </c>
      <c r="V183" s="118" t="s">
        <v>138</v>
      </c>
      <c r="W183" s="118" t="s">
        <v>138</v>
      </c>
      <c r="X183" s="118" t="s">
        <v>138</v>
      </c>
      <c r="Y183" s="118" t="s">
        <v>138</v>
      </c>
      <c r="Z183" s="118" t="str">
        <f>IF('BD2'!$AA183 &lt; 14, "no", "si")</f>
        <v>si</v>
      </c>
      <c r="AA183" s="118">
        <v>55.8</v>
      </c>
      <c r="AB183" s="118">
        <v>11.7</v>
      </c>
      <c r="AC183" s="119" t="s">
        <v>967</v>
      </c>
      <c r="AD183" s="119" t="s">
        <v>957</v>
      </c>
      <c r="AE183" s="118">
        <f t="shared" si="7"/>
        <v>8</v>
      </c>
      <c r="AF183" s="120" t="str">
        <f t="shared" si="8"/>
        <v>Estable</v>
      </c>
    </row>
    <row r="184" spans="1:32" x14ac:dyDescent="0.2">
      <c r="A184" s="121">
        <v>488</v>
      </c>
      <c r="B184" s="122" t="s">
        <v>956</v>
      </c>
      <c r="C184" s="123" t="s">
        <v>429</v>
      </c>
      <c r="D184" s="123" t="s">
        <v>16</v>
      </c>
      <c r="E184" s="124" t="s">
        <v>112</v>
      </c>
      <c r="F184" s="124" t="s">
        <v>598</v>
      </c>
      <c r="G184" s="124" t="s">
        <v>1028</v>
      </c>
      <c r="H184" s="122" t="s">
        <v>8</v>
      </c>
      <c r="I184" s="123">
        <v>21.108599999999999</v>
      </c>
      <c r="J184" s="123">
        <v>-101.72571000000001</v>
      </c>
      <c r="K184" s="122" t="s">
        <v>3057</v>
      </c>
      <c r="L184" s="125" t="str">
        <f t="shared" si="6"/>
        <v>Ver en Google Maps</v>
      </c>
      <c r="M184" s="122">
        <v>1</v>
      </c>
      <c r="N184" s="108"/>
      <c r="O184" s="109">
        <f>DAY('BD2'!$N184)</f>
        <v>0</v>
      </c>
      <c r="P184" s="109">
        <f>MONTH('BD2'!$N184)</f>
        <v>1</v>
      </c>
      <c r="Q184" s="109">
        <f>YEAR('BD2'!$N184)</f>
        <v>1900</v>
      </c>
      <c r="R184" s="109">
        <v>2</v>
      </c>
      <c r="S184" s="109"/>
      <c r="T184" s="109"/>
      <c r="U184" s="109"/>
      <c r="V184" s="109"/>
      <c r="W184" s="109"/>
      <c r="X184" s="109"/>
      <c r="Y184" s="109"/>
      <c r="Z184" s="109" t="str">
        <f>IF('BD2'!$AA184 &lt; 14, "no", "si")</f>
        <v>no</v>
      </c>
      <c r="AA184" s="109"/>
      <c r="AB184" s="109"/>
      <c r="AC184" s="110" t="s">
        <v>949</v>
      </c>
      <c r="AD184" s="110" t="s">
        <v>954</v>
      </c>
      <c r="AE184" s="109">
        <f t="shared" si="7"/>
        <v>0</v>
      </c>
      <c r="AF184" s="111" t="str">
        <f t="shared" si="8"/>
        <v>Crítico</v>
      </c>
    </row>
    <row r="185" spans="1:32" x14ac:dyDescent="0.2">
      <c r="A185" s="112">
        <v>489</v>
      </c>
      <c r="B185" s="113" t="s">
        <v>956</v>
      </c>
      <c r="C185" s="114" t="s">
        <v>429</v>
      </c>
      <c r="D185" s="114" t="s">
        <v>16</v>
      </c>
      <c r="E185" s="115" t="s">
        <v>113</v>
      </c>
      <c r="F185" s="115" t="s">
        <v>599</v>
      </c>
      <c r="G185" s="115" t="s">
        <v>1043</v>
      </c>
      <c r="H185" s="113" t="s">
        <v>8</v>
      </c>
      <c r="I185" s="114">
        <v>21.095780000000001</v>
      </c>
      <c r="J185" s="114">
        <v>-101.59815999999999</v>
      </c>
      <c r="K185" s="113" t="s">
        <v>139</v>
      </c>
      <c r="L185" s="116" t="str">
        <f t="shared" si="6"/>
        <v>Ver en Google Maps</v>
      </c>
      <c r="M185" s="113">
        <v>1</v>
      </c>
      <c r="N185" s="117">
        <v>45957</v>
      </c>
      <c r="O185" s="118">
        <f>DAY('BD2'!$N185)</f>
        <v>27</v>
      </c>
      <c r="P185" s="118">
        <f>MONTH('BD2'!$N185)</f>
        <v>10</v>
      </c>
      <c r="Q185" s="118">
        <f>YEAR('BD2'!$N185)</f>
        <v>2025</v>
      </c>
      <c r="R185" s="118">
        <v>2</v>
      </c>
      <c r="S185" s="118" t="s">
        <v>138</v>
      </c>
      <c r="T185" s="118" t="s">
        <v>138</v>
      </c>
      <c r="U185" s="118" t="s">
        <v>138</v>
      </c>
      <c r="V185" s="118" t="s">
        <v>138</v>
      </c>
      <c r="W185" s="118" t="s">
        <v>138</v>
      </c>
      <c r="X185" s="118" t="s">
        <v>138</v>
      </c>
      <c r="Y185" s="118" t="s">
        <v>138</v>
      </c>
      <c r="Z185" s="118" t="str">
        <f>IF('BD2'!$AA185 &lt; 14, "no", "si")</f>
        <v>no</v>
      </c>
      <c r="AA185" s="118">
        <v>4.87</v>
      </c>
      <c r="AB185" s="118">
        <v>0</v>
      </c>
      <c r="AC185" s="119" t="s">
        <v>1412</v>
      </c>
      <c r="AD185" s="119" t="s">
        <v>954</v>
      </c>
      <c r="AE185" s="118">
        <f t="shared" si="7"/>
        <v>7</v>
      </c>
      <c r="AF185" s="120" t="str">
        <f t="shared" si="8"/>
        <v>Funcional con observaciones</v>
      </c>
    </row>
    <row r="186" spans="1:32" x14ac:dyDescent="0.2">
      <c r="A186" s="121">
        <v>490</v>
      </c>
      <c r="B186" s="122" t="s">
        <v>956</v>
      </c>
      <c r="C186" s="123" t="s">
        <v>429</v>
      </c>
      <c r="D186" s="123" t="s">
        <v>16</v>
      </c>
      <c r="E186" s="124" t="s">
        <v>114</v>
      </c>
      <c r="F186" s="124" t="s">
        <v>600</v>
      </c>
      <c r="G186" s="124" t="s">
        <v>1039</v>
      </c>
      <c r="H186" s="122" t="s">
        <v>8</v>
      </c>
      <c r="I186" s="123">
        <v>21.08605</v>
      </c>
      <c r="J186" s="123">
        <v>-101.62849</v>
      </c>
      <c r="K186" s="122"/>
      <c r="L186" s="125" t="str">
        <f t="shared" si="6"/>
        <v>Ver en Google Maps</v>
      </c>
      <c r="M186" s="122">
        <v>1</v>
      </c>
      <c r="N186" s="130"/>
      <c r="O186" s="109"/>
      <c r="P186" s="109"/>
      <c r="Q186" s="109"/>
      <c r="R186" s="109"/>
      <c r="S186" s="109"/>
      <c r="T186" s="109"/>
      <c r="U186" s="109"/>
      <c r="V186" s="109"/>
      <c r="W186" s="109"/>
      <c r="X186" s="109"/>
      <c r="Y186" s="109"/>
      <c r="Z186" s="109"/>
      <c r="AA186" s="109"/>
      <c r="AB186" s="109"/>
      <c r="AC186" s="109"/>
      <c r="AD186" s="110"/>
      <c r="AE186" s="109"/>
      <c r="AF186" s="111"/>
    </row>
    <row r="187" spans="1:32" x14ac:dyDescent="0.2">
      <c r="A187" s="112">
        <v>491</v>
      </c>
      <c r="B187" s="113" t="s">
        <v>956</v>
      </c>
      <c r="C187" s="114" t="s">
        <v>429</v>
      </c>
      <c r="D187" s="114" t="s">
        <v>16</v>
      </c>
      <c r="E187" s="115" t="s">
        <v>115</v>
      </c>
      <c r="F187" s="115" t="s">
        <v>601</v>
      </c>
      <c r="G187" s="115" t="s">
        <v>1101</v>
      </c>
      <c r="H187" s="113" t="s">
        <v>8</v>
      </c>
      <c r="I187" s="114">
        <v>21.105329999999999</v>
      </c>
      <c r="J187" s="114">
        <v>-101.73175999999999</v>
      </c>
      <c r="K187" s="113" t="s">
        <v>139</v>
      </c>
      <c r="L187" s="116" t="str">
        <f t="shared" si="6"/>
        <v>Ver en Google Maps</v>
      </c>
      <c r="M187" s="113">
        <v>1</v>
      </c>
      <c r="N187" s="117">
        <v>45964</v>
      </c>
      <c r="O187" s="118">
        <f>DAY('BD2'!$N187)</f>
        <v>3</v>
      </c>
      <c r="P187" s="118">
        <f>MONTH('BD2'!$N187)</f>
        <v>11</v>
      </c>
      <c r="Q187" s="118">
        <f>YEAR('BD2'!$N187)</f>
        <v>2025</v>
      </c>
      <c r="R187" s="118">
        <v>2</v>
      </c>
      <c r="S187" s="118" t="s">
        <v>138</v>
      </c>
      <c r="T187" s="118" t="s">
        <v>138</v>
      </c>
      <c r="U187" s="118" t="s">
        <v>138</v>
      </c>
      <c r="V187" s="118" t="s">
        <v>138</v>
      </c>
      <c r="W187" s="118" t="s">
        <v>138</v>
      </c>
      <c r="X187" s="118" t="s">
        <v>138</v>
      </c>
      <c r="Y187" s="118" t="s">
        <v>934</v>
      </c>
      <c r="Z187" s="118" t="str">
        <f>IF('BD2'!$AA187 &lt; 14, "no", "si")</f>
        <v>si</v>
      </c>
      <c r="AA187" s="118">
        <v>31.4</v>
      </c>
      <c r="AB187" s="118">
        <v>13.5</v>
      </c>
      <c r="AC187" s="119" t="s">
        <v>967</v>
      </c>
      <c r="AD187" s="119" t="s">
        <v>957</v>
      </c>
      <c r="AE187" s="118">
        <f t="shared" si="7"/>
        <v>7</v>
      </c>
      <c r="AF187" s="120" t="str">
        <f t="shared" si="8"/>
        <v>Funcional con observaciones</v>
      </c>
    </row>
    <row r="188" spans="1:32" x14ac:dyDescent="0.2">
      <c r="A188" s="121">
        <v>493</v>
      </c>
      <c r="B188" s="122" t="s">
        <v>956</v>
      </c>
      <c r="C188" s="123" t="s">
        <v>429</v>
      </c>
      <c r="D188" s="123" t="s">
        <v>17</v>
      </c>
      <c r="E188" s="124" t="s">
        <v>116</v>
      </c>
      <c r="F188" s="124" t="s">
        <v>602</v>
      </c>
      <c r="G188" s="124" t="s">
        <v>117</v>
      </c>
      <c r="H188" s="122" t="s">
        <v>8</v>
      </c>
      <c r="I188" s="123">
        <v>21.0822</v>
      </c>
      <c r="J188" s="123">
        <v>-101.586</v>
      </c>
      <c r="K188" s="122"/>
      <c r="L188" s="125" t="str">
        <f t="shared" si="6"/>
        <v>Ver en Google Maps</v>
      </c>
      <c r="M188" s="122">
        <v>1</v>
      </c>
      <c r="N188" s="130"/>
      <c r="O188" s="109"/>
      <c r="P188" s="109"/>
      <c r="Q188" s="109"/>
      <c r="R188" s="109"/>
      <c r="S188" s="109"/>
      <c r="T188" s="109"/>
      <c r="U188" s="109"/>
      <c r="V188" s="109"/>
      <c r="W188" s="109"/>
      <c r="X188" s="109"/>
      <c r="Y188" s="109"/>
      <c r="Z188" s="109"/>
      <c r="AA188" s="109"/>
      <c r="AB188" s="109"/>
      <c r="AC188" s="109"/>
      <c r="AD188" s="110"/>
      <c r="AE188" s="109"/>
      <c r="AF188" s="111"/>
    </row>
    <row r="189" spans="1:32" x14ac:dyDescent="0.2">
      <c r="A189" s="112">
        <v>494</v>
      </c>
      <c r="B189" s="113" t="s">
        <v>956</v>
      </c>
      <c r="C189" s="114" t="s">
        <v>429</v>
      </c>
      <c r="D189" s="114" t="s">
        <v>16</v>
      </c>
      <c r="E189" s="115" t="s">
        <v>118</v>
      </c>
      <c r="F189" s="115" t="s">
        <v>603</v>
      </c>
      <c r="G189" s="115" t="s">
        <v>1102</v>
      </c>
      <c r="H189" s="113" t="s">
        <v>8</v>
      </c>
      <c r="I189" s="114">
        <v>21.07273</v>
      </c>
      <c r="J189" s="114">
        <v>-101.62917</v>
      </c>
      <c r="K189" s="113"/>
      <c r="L189" s="116" t="str">
        <f t="shared" si="6"/>
        <v>Ver en Google Maps</v>
      </c>
      <c r="M189" s="113">
        <v>1</v>
      </c>
      <c r="N189" s="129"/>
      <c r="O189" s="118"/>
      <c r="P189" s="118"/>
      <c r="Q189" s="118"/>
      <c r="R189" s="118"/>
      <c r="S189" s="118"/>
      <c r="T189" s="118"/>
      <c r="U189" s="118"/>
      <c r="V189" s="118"/>
      <c r="W189" s="118"/>
      <c r="X189" s="118"/>
      <c r="Y189" s="118"/>
      <c r="Z189" s="118"/>
      <c r="AA189" s="118"/>
      <c r="AB189" s="118"/>
      <c r="AC189" s="118"/>
      <c r="AD189" s="119"/>
      <c r="AE189" s="118"/>
      <c r="AF189" s="120"/>
    </row>
    <row r="190" spans="1:32" x14ac:dyDescent="0.2">
      <c r="A190" s="121">
        <v>496</v>
      </c>
      <c r="B190" s="122" t="s">
        <v>956</v>
      </c>
      <c r="C190" s="123" t="s">
        <v>429</v>
      </c>
      <c r="D190" s="123" t="s">
        <v>16</v>
      </c>
      <c r="E190" s="124" t="s">
        <v>119</v>
      </c>
      <c r="F190" s="124" t="s">
        <v>604</v>
      </c>
      <c r="G190" s="124" t="s">
        <v>1042</v>
      </c>
      <c r="H190" s="122" t="s">
        <v>8</v>
      </c>
      <c r="I190" s="123">
        <v>21.072880000000001</v>
      </c>
      <c r="J190" s="123">
        <v>-101.6448</v>
      </c>
      <c r="K190" s="122"/>
      <c r="L190" s="125" t="str">
        <f t="shared" si="6"/>
        <v>Ver en Google Maps</v>
      </c>
      <c r="M190" s="122">
        <v>1</v>
      </c>
      <c r="N190" s="130"/>
      <c r="O190" s="109"/>
      <c r="P190" s="109"/>
      <c r="Q190" s="109"/>
      <c r="R190" s="109"/>
      <c r="S190" s="109"/>
      <c r="T190" s="109"/>
      <c r="U190" s="109"/>
      <c r="V190" s="109"/>
      <c r="W190" s="109"/>
      <c r="X190" s="109"/>
      <c r="Y190" s="109"/>
      <c r="Z190" s="109"/>
      <c r="AA190" s="109"/>
      <c r="AB190" s="109"/>
      <c r="AC190" s="109"/>
      <c r="AD190" s="110"/>
      <c r="AE190" s="109"/>
      <c r="AF190" s="111"/>
    </row>
    <row r="191" spans="1:32" x14ac:dyDescent="0.2">
      <c r="A191" s="112">
        <v>499</v>
      </c>
      <c r="B191" s="113" t="s">
        <v>956</v>
      </c>
      <c r="C191" s="114" t="s">
        <v>429</v>
      </c>
      <c r="D191" s="114" t="s">
        <v>16</v>
      </c>
      <c r="E191" s="115" t="s">
        <v>231</v>
      </c>
      <c r="F191" s="115" t="s">
        <v>605</v>
      </c>
      <c r="G191" s="115" t="s">
        <v>1103</v>
      </c>
      <c r="H191" s="113" t="s">
        <v>8</v>
      </c>
      <c r="I191" s="114">
        <v>21.143799999999999</v>
      </c>
      <c r="J191" s="114">
        <v>-101.74875</v>
      </c>
      <c r="K191" s="113" t="s">
        <v>139</v>
      </c>
      <c r="L191" s="116" t="str">
        <f t="shared" si="6"/>
        <v>Ver en Google Maps</v>
      </c>
      <c r="M191" s="113">
        <v>1</v>
      </c>
      <c r="N191" s="117">
        <v>45960</v>
      </c>
      <c r="O191" s="118">
        <f>DAY('BD2'!$N191)</f>
        <v>30</v>
      </c>
      <c r="P191" s="118">
        <f>MONTH('BD2'!$N191)</f>
        <v>10</v>
      </c>
      <c r="Q191" s="118">
        <f>YEAR('BD2'!$N191)</f>
        <v>2025</v>
      </c>
      <c r="R191" s="118">
        <v>2</v>
      </c>
      <c r="S191" s="118" t="s">
        <v>138</v>
      </c>
      <c r="T191" s="118" t="s">
        <v>138</v>
      </c>
      <c r="U191" s="118" t="s">
        <v>138</v>
      </c>
      <c r="V191" s="118" t="s">
        <v>138</v>
      </c>
      <c r="W191" s="118" t="s">
        <v>138</v>
      </c>
      <c r="X191" s="118" t="s">
        <v>138</v>
      </c>
      <c r="Y191" s="118" t="s">
        <v>138</v>
      </c>
      <c r="Z191" s="118" t="str">
        <f>IF('BD2'!$AA191 &lt; 14, "no", "si")</f>
        <v>si</v>
      </c>
      <c r="AA191" s="118">
        <v>105</v>
      </c>
      <c r="AB191" s="118">
        <v>17.5</v>
      </c>
      <c r="AC191" s="119" t="s">
        <v>967</v>
      </c>
      <c r="AD191" s="119" t="s">
        <v>954</v>
      </c>
      <c r="AE191" s="118">
        <f t="shared" si="7"/>
        <v>8</v>
      </c>
      <c r="AF191" s="120" t="str">
        <f t="shared" si="8"/>
        <v>Estable</v>
      </c>
    </row>
    <row r="192" spans="1:32" x14ac:dyDescent="0.2">
      <c r="A192" s="121">
        <v>500</v>
      </c>
      <c r="B192" s="122" t="s">
        <v>956</v>
      </c>
      <c r="C192" s="123" t="s">
        <v>429</v>
      </c>
      <c r="D192" s="123" t="s">
        <v>16</v>
      </c>
      <c r="E192" s="124" t="s">
        <v>120</v>
      </c>
      <c r="F192" s="124" t="s">
        <v>606</v>
      </c>
      <c r="G192" s="124" t="s">
        <v>121</v>
      </c>
      <c r="H192" s="122" t="s">
        <v>8</v>
      </c>
      <c r="I192" s="123">
        <v>21.103470000000002</v>
      </c>
      <c r="J192" s="123">
        <v>-101.61317</v>
      </c>
      <c r="K192" s="122" t="s">
        <v>139</v>
      </c>
      <c r="L192" s="125" t="str">
        <f t="shared" si="6"/>
        <v>Ver en Google Maps</v>
      </c>
      <c r="M192" s="122">
        <v>1</v>
      </c>
      <c r="N192" s="108">
        <v>45957</v>
      </c>
      <c r="O192" s="109">
        <f>DAY('BD2'!$N192)</f>
        <v>27</v>
      </c>
      <c r="P192" s="109">
        <f>MONTH('BD2'!$N192)</f>
        <v>10</v>
      </c>
      <c r="Q192" s="109">
        <f>YEAR('BD2'!$N192)</f>
        <v>2025</v>
      </c>
      <c r="R192" s="109">
        <v>2</v>
      </c>
      <c r="S192" s="109" t="s">
        <v>138</v>
      </c>
      <c r="T192" s="109" t="s">
        <v>138</v>
      </c>
      <c r="U192" s="109" t="s">
        <v>138</v>
      </c>
      <c r="V192" s="109" t="s">
        <v>138</v>
      </c>
      <c r="W192" s="109" t="s">
        <v>138</v>
      </c>
      <c r="X192" s="109" t="s">
        <v>138</v>
      </c>
      <c r="Y192" s="109" t="s">
        <v>138</v>
      </c>
      <c r="Z192" s="109" t="str">
        <f>IF('BD2'!$AA192 &lt; 14, "no", "si")</f>
        <v>si</v>
      </c>
      <c r="AA192" s="109">
        <v>82.8</v>
      </c>
      <c r="AB192" s="109">
        <v>18.600000000000001</v>
      </c>
      <c r="AC192" s="110" t="s">
        <v>967</v>
      </c>
      <c r="AD192" s="110" t="s">
        <v>954</v>
      </c>
      <c r="AE192" s="109">
        <f t="shared" si="7"/>
        <v>8</v>
      </c>
      <c r="AF192" s="111" t="str">
        <f t="shared" si="8"/>
        <v>Estable</v>
      </c>
    </row>
    <row r="193" spans="1:32" x14ac:dyDescent="0.2">
      <c r="A193" s="112">
        <v>501</v>
      </c>
      <c r="B193" s="113" t="s">
        <v>956</v>
      </c>
      <c r="C193" s="114" t="s">
        <v>429</v>
      </c>
      <c r="D193" s="114" t="s">
        <v>16</v>
      </c>
      <c r="E193" s="115" t="s">
        <v>122</v>
      </c>
      <c r="F193" s="115" t="s">
        <v>607</v>
      </c>
      <c r="G193" s="115" t="s">
        <v>1104</v>
      </c>
      <c r="H193" s="113" t="s">
        <v>8</v>
      </c>
      <c r="I193" s="114">
        <v>21.080819999999999</v>
      </c>
      <c r="J193" s="114">
        <v>-101.61803</v>
      </c>
      <c r="K193" s="113"/>
      <c r="L193" s="116" t="str">
        <f t="shared" si="6"/>
        <v>Ver en Google Maps</v>
      </c>
      <c r="M193" s="113">
        <v>1</v>
      </c>
      <c r="N193" s="129"/>
      <c r="O193" s="118"/>
      <c r="P193" s="118"/>
      <c r="Q193" s="118"/>
      <c r="R193" s="118"/>
      <c r="S193" s="118"/>
      <c r="T193" s="118"/>
      <c r="U193" s="118"/>
      <c r="V193" s="118"/>
      <c r="W193" s="118"/>
      <c r="X193" s="118"/>
      <c r="Y193" s="118"/>
      <c r="Z193" s="118"/>
      <c r="AA193" s="118"/>
      <c r="AB193" s="118"/>
      <c r="AC193" s="118"/>
      <c r="AD193" s="119"/>
      <c r="AE193" s="118"/>
      <c r="AF193" s="120"/>
    </row>
    <row r="194" spans="1:32" x14ac:dyDescent="0.2">
      <c r="A194" s="121">
        <v>502</v>
      </c>
      <c r="B194" s="122" t="s">
        <v>956</v>
      </c>
      <c r="C194" s="123" t="s">
        <v>429</v>
      </c>
      <c r="D194" s="123" t="s">
        <v>16</v>
      </c>
      <c r="E194" s="124" t="s">
        <v>123</v>
      </c>
      <c r="F194" s="124" t="s">
        <v>608</v>
      </c>
      <c r="G194" s="124" t="s">
        <v>22</v>
      </c>
      <c r="H194" s="122" t="s">
        <v>8</v>
      </c>
      <c r="I194" s="123">
        <v>21.092179999999999</v>
      </c>
      <c r="J194" s="123">
        <v>-101.5907</v>
      </c>
      <c r="K194" s="122"/>
      <c r="L194" s="125" t="str">
        <f t="shared" si="6"/>
        <v>Ver en Google Maps</v>
      </c>
      <c r="M194" s="122">
        <v>1</v>
      </c>
      <c r="N194" s="130"/>
      <c r="O194" s="109"/>
      <c r="P194" s="109"/>
      <c r="Q194" s="109"/>
      <c r="R194" s="109"/>
      <c r="S194" s="109"/>
      <c r="T194" s="109"/>
      <c r="U194" s="109"/>
      <c r="V194" s="109"/>
      <c r="W194" s="109"/>
      <c r="X194" s="109"/>
      <c r="Y194" s="109"/>
      <c r="Z194" s="109"/>
      <c r="AA194" s="109"/>
      <c r="AB194" s="109"/>
      <c r="AC194" s="109"/>
      <c r="AD194" s="110"/>
      <c r="AE194" s="109"/>
      <c r="AF194" s="111"/>
    </row>
    <row r="195" spans="1:32" x14ac:dyDescent="0.2">
      <c r="A195" s="112">
        <v>504</v>
      </c>
      <c r="B195" s="113" t="s">
        <v>956</v>
      </c>
      <c r="C195" s="114" t="s">
        <v>429</v>
      </c>
      <c r="D195" s="114" t="s">
        <v>15</v>
      </c>
      <c r="E195" s="115" t="s">
        <v>232</v>
      </c>
      <c r="F195" s="115" t="s">
        <v>609</v>
      </c>
      <c r="G195" s="115" t="s">
        <v>1105</v>
      </c>
      <c r="H195" s="113" t="s">
        <v>8</v>
      </c>
      <c r="I195" s="114">
        <v>21.12556</v>
      </c>
      <c r="J195" s="114">
        <v>-101.68339</v>
      </c>
      <c r="K195" s="113" t="s">
        <v>139</v>
      </c>
      <c r="L195" s="116" t="str">
        <f t="shared" ref="L195:L258" si="9">HYPERLINK("https://www.google.com/maps?q=" &amp; I195 &amp; "," &amp; J195, "Ver en Google Maps")</f>
        <v>Ver en Google Maps</v>
      </c>
      <c r="M195" s="113">
        <v>2</v>
      </c>
      <c r="N195" s="117">
        <v>45954</v>
      </c>
      <c r="O195" s="118">
        <f>DAY('BD2'!$N195)</f>
        <v>24</v>
      </c>
      <c r="P195" s="118">
        <f>MONTH('BD2'!$N195)</f>
        <v>10</v>
      </c>
      <c r="Q195" s="118">
        <f>YEAR('BD2'!$N195)</f>
        <v>2025</v>
      </c>
      <c r="R195" s="118">
        <v>2</v>
      </c>
      <c r="S195" s="118" t="s">
        <v>138</v>
      </c>
      <c r="T195" s="118" t="s">
        <v>138</v>
      </c>
      <c r="U195" s="118" t="s">
        <v>138</v>
      </c>
      <c r="V195" s="118" t="s">
        <v>138</v>
      </c>
      <c r="W195" s="118" t="s">
        <v>138</v>
      </c>
      <c r="X195" s="118" t="s">
        <v>138</v>
      </c>
      <c r="Y195" s="118" t="s">
        <v>138</v>
      </c>
      <c r="Z195" s="118" t="str">
        <f>IF('BD2'!$AA195 &lt; 14, "no", "si")</f>
        <v>si</v>
      </c>
      <c r="AA195" s="118">
        <v>21.9</v>
      </c>
      <c r="AB195" s="118">
        <v>5.9</v>
      </c>
      <c r="AC195" s="119" t="s">
        <v>967</v>
      </c>
      <c r="AD195" s="119" t="s">
        <v>954</v>
      </c>
      <c r="AE195" s="118">
        <f t="shared" ref="AE195:AE258" si="10">COUNTIF(S195:Z195, "si")</f>
        <v>8</v>
      </c>
      <c r="AF195" s="120" t="str">
        <f t="shared" si="8"/>
        <v>Estable</v>
      </c>
    </row>
    <row r="196" spans="1:32" x14ac:dyDescent="0.2">
      <c r="A196" s="121">
        <v>510</v>
      </c>
      <c r="B196" s="122" t="s">
        <v>956</v>
      </c>
      <c r="C196" s="123" t="s">
        <v>429</v>
      </c>
      <c r="D196" s="123" t="s">
        <v>15</v>
      </c>
      <c r="E196" s="124" t="s">
        <v>124</v>
      </c>
      <c r="F196" s="124" t="s">
        <v>610</v>
      </c>
      <c r="G196" s="124" t="s">
        <v>1003</v>
      </c>
      <c r="H196" s="122" t="s">
        <v>8</v>
      </c>
      <c r="I196" s="123">
        <v>21.094529999999999</v>
      </c>
      <c r="J196" s="123">
        <v>-101.64948</v>
      </c>
      <c r="K196" s="122"/>
      <c r="L196" s="125" t="str">
        <f t="shared" si="9"/>
        <v>Ver en Google Maps</v>
      </c>
      <c r="M196" s="122">
        <v>2</v>
      </c>
      <c r="N196" s="130"/>
      <c r="O196" s="109"/>
      <c r="P196" s="109"/>
      <c r="Q196" s="109"/>
      <c r="R196" s="109"/>
      <c r="S196" s="109"/>
      <c r="T196" s="109"/>
      <c r="U196" s="109"/>
      <c r="V196" s="109"/>
      <c r="W196" s="109"/>
      <c r="X196" s="109"/>
      <c r="Y196" s="109"/>
      <c r="Z196" s="109"/>
      <c r="AA196" s="109"/>
      <c r="AB196" s="109"/>
      <c r="AC196" s="109"/>
      <c r="AD196" s="110"/>
      <c r="AE196" s="109"/>
      <c r="AF196" s="111"/>
    </row>
    <row r="197" spans="1:32" x14ac:dyDescent="0.2">
      <c r="A197" s="112">
        <v>514</v>
      </c>
      <c r="B197" s="113" t="s">
        <v>956</v>
      </c>
      <c r="C197" s="114" t="s">
        <v>429</v>
      </c>
      <c r="D197" s="114" t="s">
        <v>15</v>
      </c>
      <c r="E197" s="115" t="s">
        <v>125</v>
      </c>
      <c r="F197" s="115" t="s">
        <v>611</v>
      </c>
      <c r="G197" s="115" t="s">
        <v>1088</v>
      </c>
      <c r="H197" s="113" t="s">
        <v>8</v>
      </c>
      <c r="I197" s="114">
        <v>21.107859999999999</v>
      </c>
      <c r="J197" s="114">
        <v>-101.71378</v>
      </c>
      <c r="K197" s="113"/>
      <c r="L197" s="116" t="str">
        <f t="shared" si="9"/>
        <v>Ver en Google Maps</v>
      </c>
      <c r="M197" s="113">
        <v>2</v>
      </c>
      <c r="N197" s="129"/>
      <c r="O197" s="118"/>
      <c r="P197" s="118"/>
      <c r="Q197" s="118"/>
      <c r="R197" s="118"/>
      <c r="S197" s="118"/>
      <c r="T197" s="118"/>
      <c r="U197" s="118"/>
      <c r="V197" s="118"/>
      <c r="W197" s="118"/>
      <c r="X197" s="118"/>
      <c r="Y197" s="118"/>
      <c r="Z197" s="118"/>
      <c r="AA197" s="118"/>
      <c r="AB197" s="118"/>
      <c r="AC197" s="118"/>
      <c r="AD197" s="119"/>
      <c r="AE197" s="118"/>
      <c r="AF197" s="120"/>
    </row>
    <row r="198" spans="1:32" x14ac:dyDescent="0.2">
      <c r="A198" s="121">
        <v>516</v>
      </c>
      <c r="B198" s="122" t="s">
        <v>956</v>
      </c>
      <c r="C198" s="123" t="s">
        <v>429</v>
      </c>
      <c r="D198" s="123" t="s">
        <v>15</v>
      </c>
      <c r="E198" s="124" t="s">
        <v>233</v>
      </c>
      <c r="F198" s="124" t="s">
        <v>612</v>
      </c>
      <c r="G198" s="124" t="s">
        <v>997</v>
      </c>
      <c r="H198" s="122" t="s">
        <v>8</v>
      </c>
      <c r="I198" s="123">
        <v>21.120560000000001</v>
      </c>
      <c r="J198" s="123">
        <v>-101.73050000000001</v>
      </c>
      <c r="K198" s="122"/>
      <c r="L198" s="125" t="str">
        <f t="shared" si="9"/>
        <v>Ver en Google Maps</v>
      </c>
      <c r="M198" s="122">
        <v>2</v>
      </c>
      <c r="N198" s="130"/>
      <c r="O198" s="109"/>
      <c r="P198" s="109"/>
      <c r="Q198" s="109"/>
      <c r="R198" s="109"/>
      <c r="S198" s="109"/>
      <c r="T198" s="109"/>
      <c r="U198" s="109"/>
      <c r="V198" s="109"/>
      <c r="W198" s="109"/>
      <c r="X198" s="109"/>
      <c r="Y198" s="109"/>
      <c r="Z198" s="109"/>
      <c r="AA198" s="109"/>
      <c r="AB198" s="109"/>
      <c r="AC198" s="109"/>
      <c r="AD198" s="110"/>
      <c r="AE198" s="109"/>
      <c r="AF198" s="111"/>
    </row>
    <row r="199" spans="1:32" x14ac:dyDescent="0.2">
      <c r="A199" s="112">
        <v>519</v>
      </c>
      <c r="B199" s="113" t="s">
        <v>956</v>
      </c>
      <c r="C199" s="114" t="s">
        <v>429</v>
      </c>
      <c r="D199" s="114" t="s">
        <v>15</v>
      </c>
      <c r="E199" s="115" t="s">
        <v>234</v>
      </c>
      <c r="F199" s="115" t="s">
        <v>613</v>
      </c>
      <c r="G199" s="115" t="s">
        <v>1083</v>
      </c>
      <c r="H199" s="113" t="s">
        <v>8</v>
      </c>
      <c r="I199" s="114">
        <v>21.1022</v>
      </c>
      <c r="J199" s="114">
        <v>-101.69911999999999</v>
      </c>
      <c r="K199" s="113"/>
      <c r="L199" s="116" t="str">
        <f t="shared" si="9"/>
        <v>Ver en Google Maps</v>
      </c>
      <c r="M199" s="113">
        <v>2</v>
      </c>
      <c r="N199" s="129"/>
      <c r="O199" s="118"/>
      <c r="P199" s="118"/>
      <c r="Q199" s="118"/>
      <c r="R199" s="118"/>
      <c r="S199" s="118"/>
      <c r="T199" s="118"/>
      <c r="U199" s="118"/>
      <c r="V199" s="118"/>
      <c r="W199" s="118"/>
      <c r="X199" s="118"/>
      <c r="Y199" s="118"/>
      <c r="Z199" s="118"/>
      <c r="AA199" s="118"/>
      <c r="AB199" s="118"/>
      <c r="AC199" s="118"/>
      <c r="AD199" s="119"/>
      <c r="AE199" s="118"/>
      <c r="AF199" s="120"/>
    </row>
    <row r="200" spans="1:32" x14ac:dyDescent="0.2">
      <c r="A200" s="121">
        <v>522</v>
      </c>
      <c r="B200" s="122" t="s">
        <v>956</v>
      </c>
      <c r="C200" s="123" t="s">
        <v>429</v>
      </c>
      <c r="D200" s="123" t="s">
        <v>15</v>
      </c>
      <c r="E200" s="124" t="s">
        <v>235</v>
      </c>
      <c r="F200" s="124" t="s">
        <v>614</v>
      </c>
      <c r="G200" s="124" t="s">
        <v>1016</v>
      </c>
      <c r="H200" s="122" t="s">
        <v>8</v>
      </c>
      <c r="I200" s="123">
        <v>21.086290000000002</v>
      </c>
      <c r="J200" s="123">
        <v>-101.63558999999999</v>
      </c>
      <c r="K200" s="122"/>
      <c r="L200" s="125" t="str">
        <f t="shared" si="9"/>
        <v>Ver en Google Maps</v>
      </c>
      <c r="M200" s="122">
        <v>2</v>
      </c>
      <c r="N200" s="130"/>
      <c r="O200" s="109"/>
      <c r="P200" s="109"/>
      <c r="Q200" s="109"/>
      <c r="R200" s="109"/>
      <c r="S200" s="109"/>
      <c r="T200" s="109"/>
      <c r="U200" s="109"/>
      <c r="V200" s="109"/>
      <c r="W200" s="109"/>
      <c r="X200" s="109"/>
      <c r="Y200" s="109"/>
      <c r="Z200" s="109"/>
      <c r="AA200" s="109"/>
      <c r="AB200" s="109"/>
      <c r="AC200" s="109"/>
      <c r="AD200" s="110"/>
      <c r="AE200" s="109"/>
      <c r="AF200" s="111"/>
    </row>
    <row r="201" spans="1:32" x14ac:dyDescent="0.2">
      <c r="A201" s="112">
        <v>523</v>
      </c>
      <c r="B201" s="113" t="s">
        <v>956</v>
      </c>
      <c r="C201" s="114" t="s">
        <v>429</v>
      </c>
      <c r="D201" s="114" t="s">
        <v>15</v>
      </c>
      <c r="E201" s="115" t="s">
        <v>236</v>
      </c>
      <c r="F201" s="115" t="s">
        <v>615</v>
      </c>
      <c r="G201" s="115" t="s">
        <v>1106</v>
      </c>
      <c r="H201" s="113" t="s">
        <v>8</v>
      </c>
      <c r="I201" s="114">
        <v>21.127389999999998</v>
      </c>
      <c r="J201" s="114">
        <v>-101.74548</v>
      </c>
      <c r="K201" s="113"/>
      <c r="L201" s="116" t="str">
        <f t="shared" si="9"/>
        <v>Ver en Google Maps</v>
      </c>
      <c r="M201" s="113">
        <v>2</v>
      </c>
      <c r="N201" s="129"/>
      <c r="O201" s="118"/>
      <c r="P201" s="118"/>
      <c r="Q201" s="118"/>
      <c r="R201" s="118"/>
      <c r="S201" s="118"/>
      <c r="T201" s="118"/>
      <c r="U201" s="118"/>
      <c r="V201" s="118"/>
      <c r="W201" s="118"/>
      <c r="X201" s="118"/>
      <c r="Y201" s="118"/>
      <c r="Z201" s="118"/>
      <c r="AA201" s="118"/>
      <c r="AB201" s="118"/>
      <c r="AC201" s="118"/>
      <c r="AD201" s="119"/>
      <c r="AE201" s="118"/>
      <c r="AF201" s="120"/>
    </row>
    <row r="202" spans="1:32" x14ac:dyDescent="0.2">
      <c r="A202" s="121">
        <v>524</v>
      </c>
      <c r="B202" s="122" t="s">
        <v>956</v>
      </c>
      <c r="C202" s="123" t="s">
        <v>429</v>
      </c>
      <c r="D202" s="123" t="s">
        <v>15</v>
      </c>
      <c r="E202" s="124" t="s">
        <v>237</v>
      </c>
      <c r="F202" s="124" t="s">
        <v>616</v>
      </c>
      <c r="G202" s="124" t="s">
        <v>389</v>
      </c>
      <c r="H202" s="122" t="s">
        <v>8</v>
      </c>
      <c r="I202" s="123">
        <v>21.125060000000001</v>
      </c>
      <c r="J202" s="123">
        <v>-101.63764</v>
      </c>
      <c r="K202" s="122" t="s">
        <v>139</v>
      </c>
      <c r="L202" s="125" t="str">
        <f t="shared" si="9"/>
        <v>Ver en Google Maps</v>
      </c>
      <c r="M202" s="122">
        <v>2</v>
      </c>
      <c r="N202" s="108">
        <v>45955</v>
      </c>
      <c r="O202" s="109">
        <f>DAY('BD2'!$N202)</f>
        <v>25</v>
      </c>
      <c r="P202" s="109">
        <f>MONTH('BD2'!$N202)</f>
        <v>10</v>
      </c>
      <c r="Q202" s="109">
        <f>YEAR('BD2'!$N202)</f>
        <v>2025</v>
      </c>
      <c r="R202" s="109">
        <v>2</v>
      </c>
      <c r="S202" s="109" t="s">
        <v>138</v>
      </c>
      <c r="T202" s="109" t="s">
        <v>138</v>
      </c>
      <c r="U202" s="109" t="s">
        <v>138</v>
      </c>
      <c r="V202" s="109" t="s">
        <v>138</v>
      </c>
      <c r="W202" s="109" t="s">
        <v>138</v>
      </c>
      <c r="X202" s="109" t="s">
        <v>138</v>
      </c>
      <c r="Y202" s="109" t="s">
        <v>138</v>
      </c>
      <c r="Z202" s="109" t="str">
        <f>IF('BD2'!$AA202 &lt; 14, "no", "si")</f>
        <v>si</v>
      </c>
      <c r="AA202" s="109">
        <v>30.8</v>
      </c>
      <c r="AB202" s="109">
        <v>3.31</v>
      </c>
      <c r="AC202" s="110" t="s">
        <v>967</v>
      </c>
      <c r="AD202" s="110" t="s">
        <v>954</v>
      </c>
      <c r="AE202" s="109">
        <f t="shared" si="10"/>
        <v>8</v>
      </c>
      <c r="AF202" s="111" t="str">
        <f t="shared" ref="AF196:AF259" si="11">IF(AE202=8,"Estable",(IF(AE202=7,"Funcional con observaciones", (IF(AE202=6,"Funcional con observaciones",(IF(AE202=5,"Rendimiento bajo",(IF(AE202=4,"Parcialmente funcional",(IF(AE202=3,"Parcialmente funcional",(IF(AE202=2,"Inoperativo",(IF(AE202=1,"Inoperativo","Crítico")))))))))))))))</f>
        <v>Estable</v>
      </c>
    </row>
    <row r="203" spans="1:32" x14ac:dyDescent="0.2">
      <c r="A203" s="112">
        <v>525</v>
      </c>
      <c r="B203" s="113" t="s">
        <v>956</v>
      </c>
      <c r="C203" s="114" t="s">
        <v>429</v>
      </c>
      <c r="D203" s="114" t="s">
        <v>17</v>
      </c>
      <c r="E203" s="115" t="s">
        <v>126</v>
      </c>
      <c r="F203" s="115" t="s">
        <v>617</v>
      </c>
      <c r="G203" s="115" t="s">
        <v>1107</v>
      </c>
      <c r="H203" s="113" t="s">
        <v>8</v>
      </c>
      <c r="I203" s="114">
        <v>21.092911999999998</v>
      </c>
      <c r="J203" s="114">
        <v>-101.68994600000001</v>
      </c>
      <c r="K203" s="113"/>
      <c r="L203" s="116" t="str">
        <f t="shared" si="9"/>
        <v>Ver en Google Maps</v>
      </c>
      <c r="M203" s="113">
        <v>1</v>
      </c>
      <c r="N203" s="129"/>
      <c r="O203" s="118"/>
      <c r="P203" s="118"/>
      <c r="Q203" s="118"/>
      <c r="R203" s="118"/>
      <c r="S203" s="118"/>
      <c r="T203" s="118"/>
      <c r="U203" s="118"/>
      <c r="V203" s="118"/>
      <c r="W203" s="118"/>
      <c r="X203" s="118"/>
      <c r="Y203" s="118"/>
      <c r="Z203" s="118"/>
      <c r="AA203" s="118"/>
      <c r="AB203" s="118"/>
      <c r="AC203" s="118"/>
      <c r="AD203" s="119"/>
      <c r="AE203" s="118"/>
      <c r="AF203" s="120"/>
    </row>
    <row r="204" spans="1:32" x14ac:dyDescent="0.2">
      <c r="A204" s="121">
        <v>532</v>
      </c>
      <c r="B204" s="122" t="s">
        <v>956</v>
      </c>
      <c r="C204" s="123" t="s">
        <v>429</v>
      </c>
      <c r="D204" s="123" t="s">
        <v>15</v>
      </c>
      <c r="E204" s="124" t="s">
        <v>238</v>
      </c>
      <c r="F204" s="124" t="s">
        <v>618</v>
      </c>
      <c r="G204" s="124" t="s">
        <v>1108</v>
      </c>
      <c r="H204" s="122" t="s">
        <v>8</v>
      </c>
      <c r="I204" s="123">
        <v>21.101707999999999</v>
      </c>
      <c r="J204" s="123">
        <v>-101.605785</v>
      </c>
      <c r="K204" s="122"/>
      <c r="L204" s="125" t="str">
        <f t="shared" si="9"/>
        <v>Ver en Google Maps</v>
      </c>
      <c r="M204" s="122">
        <v>2</v>
      </c>
      <c r="N204" s="130"/>
      <c r="O204" s="109"/>
      <c r="P204" s="109"/>
      <c r="Q204" s="109"/>
      <c r="R204" s="109"/>
      <c r="S204" s="109"/>
      <c r="T204" s="109"/>
      <c r="U204" s="109"/>
      <c r="V204" s="109"/>
      <c r="W204" s="109"/>
      <c r="X204" s="109"/>
      <c r="Y204" s="109"/>
      <c r="Z204" s="109"/>
      <c r="AA204" s="109"/>
      <c r="AB204" s="109"/>
      <c r="AC204" s="109"/>
      <c r="AD204" s="110"/>
      <c r="AE204" s="109"/>
      <c r="AF204" s="111"/>
    </row>
    <row r="205" spans="1:32" x14ac:dyDescent="0.2">
      <c r="A205" s="112">
        <v>533</v>
      </c>
      <c r="B205" s="113" t="s">
        <v>956</v>
      </c>
      <c r="C205" s="114" t="s">
        <v>429</v>
      </c>
      <c r="D205" s="114" t="s">
        <v>17</v>
      </c>
      <c r="E205" s="115" t="s">
        <v>239</v>
      </c>
      <c r="F205" s="115" t="s">
        <v>619</v>
      </c>
      <c r="G205" s="115" t="s">
        <v>240</v>
      </c>
      <c r="H205" s="113" t="s">
        <v>8</v>
      </c>
      <c r="I205" s="114">
        <v>21.133927</v>
      </c>
      <c r="J205" s="114">
        <v>-101.756713</v>
      </c>
      <c r="K205" s="113"/>
      <c r="L205" s="116" t="str">
        <f t="shared" si="9"/>
        <v>Ver en Google Maps</v>
      </c>
      <c r="M205" s="113">
        <v>1</v>
      </c>
      <c r="N205" s="129"/>
      <c r="O205" s="118"/>
      <c r="P205" s="118"/>
      <c r="Q205" s="118"/>
      <c r="R205" s="118"/>
      <c r="S205" s="118"/>
      <c r="T205" s="118"/>
      <c r="U205" s="118"/>
      <c r="V205" s="118"/>
      <c r="W205" s="118"/>
      <c r="X205" s="118"/>
      <c r="Y205" s="118"/>
      <c r="Z205" s="118"/>
      <c r="AA205" s="118"/>
      <c r="AB205" s="118"/>
      <c r="AC205" s="118"/>
      <c r="AD205" s="119"/>
      <c r="AE205" s="118"/>
      <c r="AF205" s="120"/>
    </row>
    <row r="206" spans="1:32" x14ac:dyDescent="0.2">
      <c r="A206" s="121">
        <v>534</v>
      </c>
      <c r="B206" s="122" t="s">
        <v>956</v>
      </c>
      <c r="C206" s="123" t="s">
        <v>429</v>
      </c>
      <c r="D206" s="123" t="s">
        <v>17</v>
      </c>
      <c r="E206" s="124" t="s">
        <v>241</v>
      </c>
      <c r="F206" s="124" t="s">
        <v>620</v>
      </c>
      <c r="G206" s="124" t="s">
        <v>1086</v>
      </c>
      <c r="H206" s="122" t="s">
        <v>8</v>
      </c>
      <c r="I206" s="123">
        <v>21.10286</v>
      </c>
      <c r="J206" s="123">
        <v>-101.602296</v>
      </c>
      <c r="K206" s="122"/>
      <c r="L206" s="125" t="str">
        <f t="shared" si="9"/>
        <v>Ver en Google Maps</v>
      </c>
      <c r="M206" s="122">
        <v>1</v>
      </c>
      <c r="N206" s="130"/>
      <c r="O206" s="109"/>
      <c r="P206" s="109"/>
      <c r="Q206" s="109"/>
      <c r="R206" s="109"/>
      <c r="S206" s="109"/>
      <c r="T206" s="109"/>
      <c r="U206" s="109"/>
      <c r="V206" s="109"/>
      <c r="W206" s="109"/>
      <c r="X206" s="109"/>
      <c r="Y206" s="109"/>
      <c r="Z206" s="109"/>
      <c r="AA206" s="109"/>
      <c r="AB206" s="109"/>
      <c r="AC206" s="109"/>
      <c r="AD206" s="110"/>
      <c r="AE206" s="109"/>
      <c r="AF206" s="111"/>
    </row>
    <row r="207" spans="1:32" x14ac:dyDescent="0.2">
      <c r="A207" s="112">
        <v>535</v>
      </c>
      <c r="B207" s="113" t="s">
        <v>956</v>
      </c>
      <c r="C207" s="114" t="s">
        <v>429</v>
      </c>
      <c r="D207" s="114" t="s">
        <v>17</v>
      </c>
      <c r="E207" s="115" t="s">
        <v>242</v>
      </c>
      <c r="F207" s="115" t="s">
        <v>621</v>
      </c>
      <c r="G207" s="115" t="s">
        <v>1109</v>
      </c>
      <c r="H207" s="113" t="s">
        <v>8</v>
      </c>
      <c r="I207" s="114">
        <v>21.103814</v>
      </c>
      <c r="J207" s="114">
        <v>-101.71387799999999</v>
      </c>
      <c r="K207" s="113"/>
      <c r="L207" s="116" t="str">
        <f t="shared" si="9"/>
        <v>Ver en Google Maps</v>
      </c>
      <c r="M207" s="113">
        <v>1</v>
      </c>
      <c r="N207" s="129"/>
      <c r="O207" s="118"/>
      <c r="P207" s="118"/>
      <c r="Q207" s="118"/>
      <c r="R207" s="118"/>
      <c r="S207" s="118"/>
      <c r="T207" s="118"/>
      <c r="U207" s="118"/>
      <c r="V207" s="118"/>
      <c r="W207" s="118"/>
      <c r="X207" s="118"/>
      <c r="Y207" s="118"/>
      <c r="Z207" s="118"/>
      <c r="AA207" s="118"/>
      <c r="AB207" s="118"/>
      <c r="AC207" s="118"/>
      <c r="AD207" s="119"/>
      <c r="AE207" s="118"/>
      <c r="AF207" s="120"/>
    </row>
    <row r="208" spans="1:32" x14ac:dyDescent="0.2">
      <c r="A208" s="121">
        <v>536</v>
      </c>
      <c r="B208" s="122" t="s">
        <v>956</v>
      </c>
      <c r="C208" s="123" t="s">
        <v>429</v>
      </c>
      <c r="D208" s="123" t="s">
        <v>17</v>
      </c>
      <c r="E208" s="124" t="s">
        <v>243</v>
      </c>
      <c r="F208" s="124" t="s">
        <v>622</v>
      </c>
      <c r="G208" s="124" t="s">
        <v>1110</v>
      </c>
      <c r="H208" s="122" t="s">
        <v>8</v>
      </c>
      <c r="I208" s="123">
        <v>21.079481000000001</v>
      </c>
      <c r="J208" s="123">
        <v>-101.642551</v>
      </c>
      <c r="K208" s="122"/>
      <c r="L208" s="125" t="str">
        <f t="shared" si="9"/>
        <v>Ver en Google Maps</v>
      </c>
      <c r="M208" s="122">
        <v>1</v>
      </c>
      <c r="N208" s="130"/>
      <c r="O208" s="109"/>
      <c r="P208" s="109"/>
      <c r="Q208" s="109"/>
      <c r="R208" s="109"/>
      <c r="S208" s="109"/>
      <c r="T208" s="109"/>
      <c r="U208" s="109"/>
      <c r="V208" s="109"/>
      <c r="W208" s="109"/>
      <c r="X208" s="109"/>
      <c r="Y208" s="109"/>
      <c r="Z208" s="109"/>
      <c r="AA208" s="109"/>
      <c r="AB208" s="109"/>
      <c r="AC208" s="109"/>
      <c r="AD208" s="110"/>
      <c r="AE208" s="109"/>
      <c r="AF208" s="111"/>
    </row>
    <row r="209" spans="1:32" x14ac:dyDescent="0.2">
      <c r="A209" s="112">
        <v>537</v>
      </c>
      <c r="B209" s="113" t="s">
        <v>956</v>
      </c>
      <c r="C209" s="114" t="s">
        <v>429</v>
      </c>
      <c r="D209" s="114" t="s">
        <v>17</v>
      </c>
      <c r="E209" s="115" t="s">
        <v>244</v>
      </c>
      <c r="F209" s="115" t="s">
        <v>623</v>
      </c>
      <c r="G209" s="115" t="s">
        <v>1111</v>
      </c>
      <c r="H209" s="113" t="s">
        <v>8</v>
      </c>
      <c r="I209" s="114">
        <v>21.123792999999999</v>
      </c>
      <c r="J209" s="114">
        <v>-101.643002</v>
      </c>
      <c r="K209" s="113" t="s">
        <v>139</v>
      </c>
      <c r="L209" s="116" t="str">
        <f t="shared" si="9"/>
        <v>Ver en Google Maps</v>
      </c>
      <c r="M209" s="113">
        <v>1</v>
      </c>
      <c r="N209" s="117">
        <v>45957</v>
      </c>
      <c r="O209" s="118">
        <f>DAY('BD2'!$N209)</f>
        <v>27</v>
      </c>
      <c r="P209" s="118">
        <f>MONTH('BD2'!$N209)</f>
        <v>10</v>
      </c>
      <c r="Q209" s="118">
        <f>YEAR('BD2'!$N209)</f>
        <v>2025</v>
      </c>
      <c r="R209" s="118">
        <v>2</v>
      </c>
      <c r="S209" s="118" t="s">
        <v>138</v>
      </c>
      <c r="T209" s="118" t="s">
        <v>138</v>
      </c>
      <c r="U209" s="118" t="s">
        <v>138</v>
      </c>
      <c r="V209" s="118" t="s">
        <v>138</v>
      </c>
      <c r="W209" s="118" t="s">
        <v>138</v>
      </c>
      <c r="X209" s="118" t="s">
        <v>138</v>
      </c>
      <c r="Y209" s="118" t="s">
        <v>138</v>
      </c>
      <c r="Z209" s="118" t="str">
        <f>IF('BD2'!$AA209 &lt; 14, "no", "si")</f>
        <v>si</v>
      </c>
      <c r="AA209" s="118">
        <v>125</v>
      </c>
      <c r="AB209" s="118">
        <v>102</v>
      </c>
      <c r="AC209" s="119" t="s">
        <v>971</v>
      </c>
      <c r="AD209" s="119" t="s">
        <v>957</v>
      </c>
      <c r="AE209" s="118">
        <f t="shared" si="10"/>
        <v>8</v>
      </c>
      <c r="AF209" s="120" t="str">
        <f t="shared" si="11"/>
        <v>Estable</v>
      </c>
    </row>
    <row r="210" spans="1:32" x14ac:dyDescent="0.2">
      <c r="A210" s="121">
        <v>545</v>
      </c>
      <c r="B210" s="122" t="s">
        <v>956</v>
      </c>
      <c r="C210" s="123" t="s">
        <v>429</v>
      </c>
      <c r="D210" s="123" t="s">
        <v>17</v>
      </c>
      <c r="E210" s="124" t="s">
        <v>245</v>
      </c>
      <c r="F210" s="124" t="s">
        <v>624</v>
      </c>
      <c r="G210" s="124" t="s">
        <v>1112</v>
      </c>
      <c r="H210" s="122" t="s">
        <v>8</v>
      </c>
      <c r="I210" s="123">
        <v>21.092140000000001</v>
      </c>
      <c r="J210" s="123">
        <v>-101.60608000000001</v>
      </c>
      <c r="K210" s="122"/>
      <c r="L210" s="125" t="str">
        <f t="shared" si="9"/>
        <v>Ver en Google Maps</v>
      </c>
      <c r="M210" s="122">
        <v>1</v>
      </c>
      <c r="N210" s="130"/>
      <c r="O210" s="109"/>
      <c r="P210" s="109"/>
      <c r="Q210" s="109"/>
      <c r="R210" s="109"/>
      <c r="S210" s="109"/>
      <c r="T210" s="109"/>
      <c r="U210" s="109"/>
      <c r="V210" s="109"/>
      <c r="W210" s="109"/>
      <c r="X210" s="109"/>
      <c r="Y210" s="109"/>
      <c r="Z210" s="109"/>
      <c r="AA210" s="109"/>
      <c r="AB210" s="109"/>
      <c r="AC210" s="109"/>
      <c r="AD210" s="110"/>
      <c r="AE210" s="109"/>
      <c r="AF210" s="111"/>
    </row>
    <row r="211" spans="1:32" x14ac:dyDescent="0.2">
      <c r="A211" s="112">
        <v>549</v>
      </c>
      <c r="B211" s="113" t="s">
        <v>956</v>
      </c>
      <c r="C211" s="114" t="s">
        <v>429</v>
      </c>
      <c r="D211" s="114" t="s">
        <v>17</v>
      </c>
      <c r="E211" s="115" t="s">
        <v>246</v>
      </c>
      <c r="F211" s="115" t="s">
        <v>625</v>
      </c>
      <c r="G211" s="115" t="s">
        <v>1036</v>
      </c>
      <c r="H211" s="113" t="s">
        <v>8</v>
      </c>
      <c r="I211" s="114">
        <v>21.126629999999999</v>
      </c>
      <c r="J211" s="114">
        <v>-101.71639</v>
      </c>
      <c r="K211" s="113"/>
      <c r="L211" s="116" t="str">
        <f t="shared" si="9"/>
        <v>Ver en Google Maps</v>
      </c>
      <c r="M211" s="113">
        <v>1</v>
      </c>
      <c r="N211" s="129"/>
      <c r="O211" s="118"/>
      <c r="P211" s="118"/>
      <c r="Q211" s="118"/>
      <c r="R211" s="118"/>
      <c r="S211" s="118"/>
      <c r="T211" s="118"/>
      <c r="U211" s="118"/>
      <c r="V211" s="118"/>
      <c r="W211" s="118"/>
      <c r="X211" s="118"/>
      <c r="Y211" s="118"/>
      <c r="Z211" s="118"/>
      <c r="AA211" s="118"/>
      <c r="AB211" s="118"/>
      <c r="AC211" s="118"/>
      <c r="AD211" s="119"/>
      <c r="AE211" s="118"/>
      <c r="AF211" s="120"/>
    </row>
    <row r="212" spans="1:32" x14ac:dyDescent="0.2">
      <c r="A212" s="121">
        <v>550</v>
      </c>
      <c r="B212" s="122" t="s">
        <v>956</v>
      </c>
      <c r="C212" s="123" t="s">
        <v>429</v>
      </c>
      <c r="D212" s="123" t="s">
        <v>17</v>
      </c>
      <c r="E212" s="124" t="s">
        <v>247</v>
      </c>
      <c r="F212" s="124" t="s">
        <v>626</v>
      </c>
      <c r="G212" s="124" t="s">
        <v>980</v>
      </c>
      <c r="H212" s="122" t="s">
        <v>8</v>
      </c>
      <c r="I212" s="123">
        <v>21.12866</v>
      </c>
      <c r="J212" s="123">
        <v>-101.74576999999999</v>
      </c>
      <c r="K212" s="122"/>
      <c r="L212" s="125" t="str">
        <f t="shared" si="9"/>
        <v>Ver en Google Maps</v>
      </c>
      <c r="M212" s="122">
        <v>1</v>
      </c>
      <c r="N212" s="130"/>
      <c r="O212" s="109"/>
      <c r="P212" s="109"/>
      <c r="Q212" s="109"/>
      <c r="R212" s="109"/>
      <c r="S212" s="109"/>
      <c r="T212" s="109"/>
      <c r="U212" s="109"/>
      <c r="V212" s="109"/>
      <c r="W212" s="109"/>
      <c r="X212" s="109"/>
      <c r="Y212" s="109"/>
      <c r="Z212" s="109"/>
      <c r="AA212" s="109"/>
      <c r="AB212" s="109"/>
      <c r="AC212" s="109"/>
      <c r="AD212" s="110"/>
      <c r="AE212" s="109"/>
      <c r="AF212" s="111"/>
    </row>
    <row r="213" spans="1:32" x14ac:dyDescent="0.2">
      <c r="A213" s="112">
        <v>552</v>
      </c>
      <c r="B213" s="113" t="s">
        <v>956</v>
      </c>
      <c r="C213" s="114" t="s">
        <v>429</v>
      </c>
      <c r="D213" s="114" t="s">
        <v>17</v>
      </c>
      <c r="E213" s="115" t="s">
        <v>248</v>
      </c>
      <c r="F213" s="115" t="s">
        <v>627</v>
      </c>
      <c r="G213" s="115" t="s">
        <v>1074</v>
      </c>
      <c r="H213" s="113" t="s">
        <v>8</v>
      </c>
      <c r="I213" s="114">
        <v>21.109089999999998</v>
      </c>
      <c r="J213" s="114">
        <v>-101.70023</v>
      </c>
      <c r="K213" s="113" t="s">
        <v>139</v>
      </c>
      <c r="L213" s="116" t="str">
        <f t="shared" si="9"/>
        <v>Ver en Google Maps</v>
      </c>
      <c r="M213" s="113">
        <v>1</v>
      </c>
      <c r="N213" s="117">
        <v>45965</v>
      </c>
      <c r="O213" s="118">
        <f>DAY('BD2'!$N213)</f>
        <v>4</v>
      </c>
      <c r="P213" s="118">
        <f>MONTH('BD2'!$N213)</f>
        <v>11</v>
      </c>
      <c r="Q213" s="118">
        <f>YEAR('BD2'!$N213)</f>
        <v>2025</v>
      </c>
      <c r="R213" s="118">
        <v>2</v>
      </c>
      <c r="S213" s="118" t="s">
        <v>138</v>
      </c>
      <c r="T213" s="118" t="s">
        <v>138</v>
      </c>
      <c r="U213" s="118" t="s">
        <v>138</v>
      </c>
      <c r="V213" s="118" t="s">
        <v>138</v>
      </c>
      <c r="W213" s="118" t="s">
        <v>138</v>
      </c>
      <c r="X213" s="118" t="s">
        <v>138</v>
      </c>
      <c r="Y213" s="118" t="s">
        <v>138</v>
      </c>
      <c r="Z213" s="118" t="str">
        <f>IF('BD2'!$AA213 &lt; 14, "no", "si")</f>
        <v>si</v>
      </c>
      <c r="AA213" s="118">
        <v>33.5</v>
      </c>
      <c r="AB213" s="118">
        <v>38.200000000000003</v>
      </c>
      <c r="AC213" s="119" t="s">
        <v>967</v>
      </c>
      <c r="AD213" s="119" t="s">
        <v>957</v>
      </c>
      <c r="AE213" s="118">
        <f t="shared" si="10"/>
        <v>8</v>
      </c>
      <c r="AF213" s="120" t="str">
        <f t="shared" si="11"/>
        <v>Estable</v>
      </c>
    </row>
    <row r="214" spans="1:32" x14ac:dyDescent="0.2">
      <c r="A214" s="121">
        <v>557</v>
      </c>
      <c r="B214" s="122" t="s">
        <v>956</v>
      </c>
      <c r="C214" s="123" t="s">
        <v>429</v>
      </c>
      <c r="D214" s="123" t="s">
        <v>17</v>
      </c>
      <c r="E214" s="124" t="s">
        <v>249</v>
      </c>
      <c r="F214" s="124" t="s">
        <v>628</v>
      </c>
      <c r="G214" s="124" t="s">
        <v>1113</v>
      </c>
      <c r="H214" s="122" t="s">
        <v>8</v>
      </c>
      <c r="I214" s="123">
        <v>21.13841</v>
      </c>
      <c r="J214" s="123">
        <v>-101.70959999999999</v>
      </c>
      <c r="K214" s="122" t="s">
        <v>139</v>
      </c>
      <c r="L214" s="125" t="str">
        <f t="shared" si="9"/>
        <v>Ver en Google Maps</v>
      </c>
      <c r="M214" s="122">
        <v>1</v>
      </c>
      <c r="N214" s="108">
        <v>45958</v>
      </c>
      <c r="O214" s="109">
        <f>DAY('BD2'!$N214)</f>
        <v>28</v>
      </c>
      <c r="P214" s="109">
        <f>MONTH('BD2'!$N214)</f>
        <v>10</v>
      </c>
      <c r="Q214" s="109">
        <f>YEAR('BD2'!$N214)</f>
        <v>2025</v>
      </c>
      <c r="R214" s="109">
        <v>2</v>
      </c>
      <c r="S214" s="109" t="s">
        <v>138</v>
      </c>
      <c r="T214" s="109" t="s">
        <v>138</v>
      </c>
      <c r="U214" s="109" t="s">
        <v>138</v>
      </c>
      <c r="V214" s="109" t="s">
        <v>138</v>
      </c>
      <c r="W214" s="109" t="s">
        <v>138</v>
      </c>
      <c r="X214" s="109" t="s">
        <v>138</v>
      </c>
      <c r="Y214" s="109" t="s">
        <v>138</v>
      </c>
      <c r="Z214" s="109" t="str">
        <f>IF('BD2'!$AA214 &lt; 14, "no", "si")</f>
        <v>si</v>
      </c>
      <c r="AA214" s="109">
        <v>14.7</v>
      </c>
      <c r="AB214" s="109">
        <v>2.17</v>
      </c>
      <c r="AC214" s="110" t="s">
        <v>967</v>
      </c>
      <c r="AD214" s="110" t="s">
        <v>954</v>
      </c>
      <c r="AE214" s="109">
        <f t="shared" si="10"/>
        <v>8</v>
      </c>
      <c r="AF214" s="111" t="str">
        <f t="shared" si="11"/>
        <v>Estable</v>
      </c>
    </row>
    <row r="215" spans="1:32" x14ac:dyDescent="0.2">
      <c r="A215" s="112">
        <v>558</v>
      </c>
      <c r="B215" s="113" t="s">
        <v>956</v>
      </c>
      <c r="C215" s="114" t="s">
        <v>429</v>
      </c>
      <c r="D215" s="114" t="s">
        <v>17</v>
      </c>
      <c r="E215" s="115" t="s">
        <v>250</v>
      </c>
      <c r="F215" s="115" t="s">
        <v>629</v>
      </c>
      <c r="G215" s="115" t="s">
        <v>1114</v>
      </c>
      <c r="H215" s="113" t="s">
        <v>8</v>
      </c>
      <c r="I215" s="114">
        <v>21.120460000000001</v>
      </c>
      <c r="J215" s="114">
        <v>-101.65685999999999</v>
      </c>
      <c r="K215" s="113" t="s">
        <v>139</v>
      </c>
      <c r="L215" s="116" t="str">
        <f t="shared" si="9"/>
        <v>Ver en Google Maps</v>
      </c>
      <c r="M215" s="113">
        <v>1</v>
      </c>
      <c r="N215" s="117">
        <v>45955</v>
      </c>
      <c r="O215" s="118">
        <f>DAY('BD2'!$N215)</f>
        <v>25</v>
      </c>
      <c r="P215" s="118">
        <f>MONTH('BD2'!$N215)</f>
        <v>10</v>
      </c>
      <c r="Q215" s="118">
        <f>YEAR('BD2'!$N215)</f>
        <v>2025</v>
      </c>
      <c r="R215" s="118">
        <v>2</v>
      </c>
      <c r="S215" s="118" t="s">
        <v>138</v>
      </c>
      <c r="T215" s="118" t="s">
        <v>138</v>
      </c>
      <c r="U215" s="118" t="s">
        <v>138</v>
      </c>
      <c r="V215" s="118" t="s">
        <v>138</v>
      </c>
      <c r="W215" s="118" t="s">
        <v>138</v>
      </c>
      <c r="X215" s="118" t="s">
        <v>138</v>
      </c>
      <c r="Y215" s="118" t="s">
        <v>138</v>
      </c>
      <c r="Z215" s="118" t="str">
        <f>IF('BD2'!$AA215 &lt; 14, "no", "si")</f>
        <v>si</v>
      </c>
      <c r="AA215" s="118">
        <v>23.6</v>
      </c>
      <c r="AB215" s="118">
        <v>15.7</v>
      </c>
      <c r="AC215" s="119" t="s">
        <v>967</v>
      </c>
      <c r="AD215" s="119" t="s">
        <v>957</v>
      </c>
      <c r="AE215" s="118">
        <f t="shared" si="10"/>
        <v>8</v>
      </c>
      <c r="AF215" s="120" t="str">
        <f t="shared" si="11"/>
        <v>Estable</v>
      </c>
    </row>
    <row r="216" spans="1:32" x14ac:dyDescent="0.2">
      <c r="A216" s="121">
        <v>559</v>
      </c>
      <c r="B216" s="122" t="s">
        <v>956</v>
      </c>
      <c r="C216" s="123" t="s">
        <v>429</v>
      </c>
      <c r="D216" s="123" t="s">
        <v>17</v>
      </c>
      <c r="E216" s="124" t="s">
        <v>251</v>
      </c>
      <c r="F216" s="124" t="s">
        <v>630</v>
      </c>
      <c r="G216" s="124" t="s">
        <v>1115</v>
      </c>
      <c r="H216" s="122" t="s">
        <v>8</v>
      </c>
      <c r="I216" s="123">
        <v>21.124780000000001</v>
      </c>
      <c r="J216" s="123">
        <v>-101.70632999999999</v>
      </c>
      <c r="K216" s="122" t="s">
        <v>139</v>
      </c>
      <c r="L216" s="125" t="str">
        <f t="shared" si="9"/>
        <v>Ver en Google Maps</v>
      </c>
      <c r="M216" s="122">
        <v>1</v>
      </c>
      <c r="N216" s="108">
        <v>45958</v>
      </c>
      <c r="O216" s="109">
        <f>DAY('BD2'!$N216)</f>
        <v>28</v>
      </c>
      <c r="P216" s="109">
        <f>MONTH('BD2'!$N216)</f>
        <v>10</v>
      </c>
      <c r="Q216" s="109">
        <f>YEAR('BD2'!$N216)</f>
        <v>2025</v>
      </c>
      <c r="R216" s="109">
        <v>2</v>
      </c>
      <c r="S216" s="109" t="s">
        <v>138</v>
      </c>
      <c r="T216" s="109" t="s">
        <v>138</v>
      </c>
      <c r="U216" s="109" t="s">
        <v>138</v>
      </c>
      <c r="V216" s="109" t="s">
        <v>138</v>
      </c>
      <c r="W216" s="109" t="s">
        <v>138</v>
      </c>
      <c r="X216" s="109" t="s">
        <v>138</v>
      </c>
      <c r="Y216" s="109" t="s">
        <v>138</v>
      </c>
      <c r="Z216" s="109" t="str">
        <f>IF('BD2'!$AA216 &lt; 14, "no", "si")</f>
        <v>si</v>
      </c>
      <c r="AA216" s="109">
        <v>95.4</v>
      </c>
      <c r="AB216" s="109">
        <v>19.3</v>
      </c>
      <c r="AC216" s="110" t="s">
        <v>967</v>
      </c>
      <c r="AD216" s="110" t="s">
        <v>954</v>
      </c>
      <c r="AE216" s="109">
        <f t="shared" si="10"/>
        <v>8</v>
      </c>
      <c r="AF216" s="111" t="str">
        <f t="shared" si="11"/>
        <v>Estable</v>
      </c>
    </row>
    <row r="217" spans="1:32" x14ac:dyDescent="0.2">
      <c r="A217" s="112">
        <v>563</v>
      </c>
      <c r="B217" s="113" t="s">
        <v>956</v>
      </c>
      <c r="C217" s="114" t="s">
        <v>429</v>
      </c>
      <c r="D217" s="114" t="s">
        <v>17</v>
      </c>
      <c r="E217" s="115" t="s">
        <v>127</v>
      </c>
      <c r="F217" s="115" t="s">
        <v>631</v>
      </c>
      <c r="G217" s="115" t="s">
        <v>128</v>
      </c>
      <c r="H217" s="113" t="s">
        <v>8</v>
      </c>
      <c r="I217" s="114">
        <v>21.113769999999999</v>
      </c>
      <c r="J217" s="114">
        <v>-101.62838000000001</v>
      </c>
      <c r="K217" s="113" t="s">
        <v>139</v>
      </c>
      <c r="L217" s="116" t="str">
        <f t="shared" si="9"/>
        <v>Ver en Google Maps</v>
      </c>
      <c r="M217" s="113">
        <v>1</v>
      </c>
      <c r="N217" s="117">
        <v>45957</v>
      </c>
      <c r="O217" s="118">
        <f>DAY('BD2'!$N217)</f>
        <v>27</v>
      </c>
      <c r="P217" s="118">
        <f>MONTH('BD2'!$N217)</f>
        <v>10</v>
      </c>
      <c r="Q217" s="118">
        <f>YEAR('BD2'!$N217)</f>
        <v>2025</v>
      </c>
      <c r="R217" s="118">
        <v>2</v>
      </c>
      <c r="S217" s="118" t="s">
        <v>138</v>
      </c>
      <c r="T217" s="118" t="s">
        <v>138</v>
      </c>
      <c r="U217" s="118" t="s">
        <v>138</v>
      </c>
      <c r="V217" s="118" t="s">
        <v>138</v>
      </c>
      <c r="W217" s="118" t="s">
        <v>138</v>
      </c>
      <c r="X217" s="118" t="s">
        <v>138</v>
      </c>
      <c r="Y217" s="118" t="s">
        <v>138</v>
      </c>
      <c r="Z217" s="118" t="str">
        <f>IF('BD2'!$AA217 &lt; 14, "no", "si")</f>
        <v>si</v>
      </c>
      <c r="AA217" s="118">
        <v>116</v>
      </c>
      <c r="AB217" s="118">
        <v>82.8</v>
      </c>
      <c r="AC217" s="119" t="s">
        <v>967</v>
      </c>
      <c r="AD217" s="119" t="s">
        <v>954</v>
      </c>
      <c r="AE217" s="118">
        <f t="shared" si="10"/>
        <v>8</v>
      </c>
      <c r="AF217" s="120" t="str">
        <f t="shared" si="11"/>
        <v>Estable</v>
      </c>
    </row>
    <row r="218" spans="1:32" x14ac:dyDescent="0.2">
      <c r="A218" s="121">
        <v>564</v>
      </c>
      <c r="B218" s="122" t="s">
        <v>956</v>
      </c>
      <c r="C218" s="123" t="s">
        <v>429</v>
      </c>
      <c r="D218" s="123" t="s">
        <v>17</v>
      </c>
      <c r="E218" s="124" t="s">
        <v>252</v>
      </c>
      <c r="F218" s="124" t="s">
        <v>632</v>
      </c>
      <c r="G218" s="124" t="s">
        <v>993</v>
      </c>
      <c r="H218" s="122" t="s">
        <v>8</v>
      </c>
      <c r="I218" s="123">
        <v>21.126570000000001</v>
      </c>
      <c r="J218" s="123">
        <v>-101.70193</v>
      </c>
      <c r="K218" s="122" t="s">
        <v>139</v>
      </c>
      <c r="L218" s="125" t="str">
        <f t="shared" si="9"/>
        <v>Ver en Google Maps</v>
      </c>
      <c r="M218" s="122">
        <v>1</v>
      </c>
      <c r="N218" s="108">
        <v>45958</v>
      </c>
      <c r="O218" s="109">
        <f>DAY('BD2'!$N218)</f>
        <v>28</v>
      </c>
      <c r="P218" s="109">
        <f>MONTH('BD2'!$N218)</f>
        <v>10</v>
      </c>
      <c r="Q218" s="109">
        <f>YEAR('BD2'!$N218)</f>
        <v>2025</v>
      </c>
      <c r="R218" s="109">
        <v>2</v>
      </c>
      <c r="S218" s="109" t="s">
        <v>138</v>
      </c>
      <c r="T218" s="109" t="s">
        <v>138</v>
      </c>
      <c r="U218" s="109" t="s">
        <v>138</v>
      </c>
      <c r="V218" s="109" t="s">
        <v>138</v>
      </c>
      <c r="W218" s="109" t="s">
        <v>138</v>
      </c>
      <c r="X218" s="109" t="s">
        <v>138</v>
      </c>
      <c r="Y218" s="109" t="s">
        <v>138</v>
      </c>
      <c r="Z218" s="109" t="str">
        <f>IF('BD2'!$AA218 &lt; 14, "no", "si")</f>
        <v>no</v>
      </c>
      <c r="AA218" s="109">
        <v>0</v>
      </c>
      <c r="AB218" s="109">
        <v>0</v>
      </c>
      <c r="AC218" s="110" t="s">
        <v>3109</v>
      </c>
      <c r="AD218" s="110" t="s">
        <v>954</v>
      </c>
      <c r="AE218" s="109">
        <f t="shared" si="10"/>
        <v>7</v>
      </c>
      <c r="AF218" s="111" t="str">
        <f t="shared" si="11"/>
        <v>Funcional con observaciones</v>
      </c>
    </row>
    <row r="219" spans="1:32" x14ac:dyDescent="0.2">
      <c r="A219" s="112">
        <v>569</v>
      </c>
      <c r="B219" s="113" t="s">
        <v>956</v>
      </c>
      <c r="C219" s="114" t="s">
        <v>429</v>
      </c>
      <c r="D219" s="114" t="s">
        <v>17</v>
      </c>
      <c r="E219" s="115" t="s">
        <v>129</v>
      </c>
      <c r="F219" s="115" t="s">
        <v>633</v>
      </c>
      <c r="G219" s="115" t="s">
        <v>1008</v>
      </c>
      <c r="H219" s="113" t="s">
        <v>8</v>
      </c>
      <c r="I219" s="114">
        <v>21.108460000000001</v>
      </c>
      <c r="J219" s="114">
        <v>-101.69477999999999</v>
      </c>
      <c r="K219" s="113" t="s">
        <v>139</v>
      </c>
      <c r="L219" s="116" t="str">
        <f t="shared" si="9"/>
        <v>Ver en Google Maps</v>
      </c>
      <c r="M219" s="113">
        <v>1</v>
      </c>
      <c r="N219" s="117">
        <v>45965</v>
      </c>
      <c r="O219" s="118">
        <f>DAY('BD2'!$N219)</f>
        <v>4</v>
      </c>
      <c r="P219" s="118">
        <f>MONTH('BD2'!$N219)</f>
        <v>11</v>
      </c>
      <c r="Q219" s="118">
        <f>YEAR('BD2'!$N219)</f>
        <v>2025</v>
      </c>
      <c r="R219" s="118">
        <v>2</v>
      </c>
      <c r="S219" s="118" t="s">
        <v>138</v>
      </c>
      <c r="T219" s="118" t="s">
        <v>138</v>
      </c>
      <c r="U219" s="118" t="s">
        <v>138</v>
      </c>
      <c r="V219" s="118" t="s">
        <v>138</v>
      </c>
      <c r="W219" s="118" t="s">
        <v>138</v>
      </c>
      <c r="X219" s="118" t="s">
        <v>138</v>
      </c>
      <c r="Y219" s="118" t="s">
        <v>138</v>
      </c>
      <c r="Z219" s="118" t="str">
        <f>IF('BD2'!$AA219 &lt; 14, "no", "si")</f>
        <v>si</v>
      </c>
      <c r="AA219" s="118">
        <v>90.1</v>
      </c>
      <c r="AB219" s="118">
        <v>54.6</v>
      </c>
      <c r="AC219" s="119" t="s">
        <v>967</v>
      </c>
      <c r="AD219" s="119" t="s">
        <v>954</v>
      </c>
      <c r="AE219" s="118">
        <f t="shared" si="10"/>
        <v>8</v>
      </c>
      <c r="AF219" s="120" t="str">
        <f t="shared" si="11"/>
        <v>Estable</v>
      </c>
    </row>
    <row r="220" spans="1:32" x14ac:dyDescent="0.2">
      <c r="A220" s="121">
        <v>570</v>
      </c>
      <c r="B220" s="122" t="s">
        <v>956</v>
      </c>
      <c r="C220" s="123" t="s">
        <v>429</v>
      </c>
      <c r="D220" s="123" t="s">
        <v>17</v>
      </c>
      <c r="E220" s="124" t="s">
        <v>253</v>
      </c>
      <c r="F220" s="124" t="s">
        <v>634</v>
      </c>
      <c r="G220" s="124" t="s">
        <v>1116</v>
      </c>
      <c r="H220" s="122" t="s">
        <v>8</v>
      </c>
      <c r="I220" s="123">
        <v>21.098859999999998</v>
      </c>
      <c r="J220" s="123">
        <v>-101.64806</v>
      </c>
      <c r="K220" s="122" t="s">
        <v>139</v>
      </c>
      <c r="L220" s="125" t="str">
        <f t="shared" si="9"/>
        <v>Ver en Google Maps</v>
      </c>
      <c r="M220" s="122">
        <v>1</v>
      </c>
      <c r="N220" s="108">
        <v>45964</v>
      </c>
      <c r="O220" s="109">
        <f>DAY('BD2'!$N220)</f>
        <v>3</v>
      </c>
      <c r="P220" s="109">
        <f>MONTH('BD2'!$N220)</f>
        <v>11</v>
      </c>
      <c r="Q220" s="109">
        <f>YEAR('BD2'!$N220)</f>
        <v>2025</v>
      </c>
      <c r="R220" s="109">
        <v>2</v>
      </c>
      <c r="S220" s="109" t="s">
        <v>138</v>
      </c>
      <c r="T220" s="109" t="s">
        <v>138</v>
      </c>
      <c r="U220" s="109" t="s">
        <v>138</v>
      </c>
      <c r="V220" s="109" t="s">
        <v>934</v>
      </c>
      <c r="W220" s="109" t="s">
        <v>138</v>
      </c>
      <c r="X220" s="109" t="s">
        <v>934</v>
      </c>
      <c r="Y220" s="109" t="s">
        <v>934</v>
      </c>
      <c r="Z220" s="109" t="str">
        <f>IF('BD2'!$AA220 &lt; 14, "no", "si")</f>
        <v>no</v>
      </c>
      <c r="AA220" s="109">
        <v>0</v>
      </c>
      <c r="AB220" s="109">
        <v>0</v>
      </c>
      <c r="AC220" s="110" t="s">
        <v>3146</v>
      </c>
      <c r="AD220" s="110" t="s">
        <v>954</v>
      </c>
      <c r="AE220" s="109">
        <f t="shared" si="10"/>
        <v>4</v>
      </c>
      <c r="AF220" s="111" t="str">
        <f t="shared" si="11"/>
        <v>Parcialmente funcional</v>
      </c>
    </row>
    <row r="221" spans="1:32" x14ac:dyDescent="0.2">
      <c r="A221" s="112">
        <v>575</v>
      </c>
      <c r="B221" s="113" t="s">
        <v>956</v>
      </c>
      <c r="C221" s="114" t="s">
        <v>429</v>
      </c>
      <c r="D221" s="114" t="s">
        <v>17</v>
      </c>
      <c r="E221" s="115" t="s">
        <v>254</v>
      </c>
      <c r="F221" s="115" t="s">
        <v>635</v>
      </c>
      <c r="G221" s="115" t="s">
        <v>1054</v>
      </c>
      <c r="H221" s="113" t="s">
        <v>8</v>
      </c>
      <c r="I221" s="114">
        <v>21.10624</v>
      </c>
      <c r="J221" s="114">
        <v>-101.64685</v>
      </c>
      <c r="K221" s="113" t="s">
        <v>139</v>
      </c>
      <c r="L221" s="116" t="str">
        <f t="shared" si="9"/>
        <v>Ver en Google Maps</v>
      </c>
      <c r="M221" s="113">
        <v>1</v>
      </c>
      <c r="N221" s="117">
        <v>45960</v>
      </c>
      <c r="O221" s="118">
        <f>DAY('BD2'!$N221)</f>
        <v>30</v>
      </c>
      <c r="P221" s="118">
        <f>MONTH('BD2'!$N221)</f>
        <v>10</v>
      </c>
      <c r="Q221" s="118">
        <f>YEAR('BD2'!$N221)</f>
        <v>2025</v>
      </c>
      <c r="R221" s="118">
        <v>2</v>
      </c>
      <c r="S221" s="118" t="s">
        <v>138</v>
      </c>
      <c r="T221" s="118" t="s">
        <v>138</v>
      </c>
      <c r="U221" s="118" t="s">
        <v>138</v>
      </c>
      <c r="V221" s="118" t="s">
        <v>138</v>
      </c>
      <c r="W221" s="118" t="s">
        <v>138</v>
      </c>
      <c r="X221" s="118" t="s">
        <v>138</v>
      </c>
      <c r="Y221" s="118" t="s">
        <v>138</v>
      </c>
      <c r="Z221" s="118" t="str">
        <f>IF('BD2'!$AA221 &lt; 14, "no", "si")</f>
        <v>si</v>
      </c>
      <c r="AA221" s="118">
        <v>24.5</v>
      </c>
      <c r="AB221" s="118">
        <v>8.5500000000000007</v>
      </c>
      <c r="AC221" s="119" t="s">
        <v>967</v>
      </c>
      <c r="AD221" s="119" t="s">
        <v>954</v>
      </c>
      <c r="AE221" s="118">
        <f t="shared" si="10"/>
        <v>8</v>
      </c>
      <c r="AF221" s="120" t="str">
        <f t="shared" si="11"/>
        <v>Estable</v>
      </c>
    </row>
    <row r="222" spans="1:32" x14ac:dyDescent="0.2">
      <c r="A222" s="121">
        <v>577</v>
      </c>
      <c r="B222" s="122" t="s">
        <v>956</v>
      </c>
      <c r="C222" s="123" t="s">
        <v>429</v>
      </c>
      <c r="D222" s="123" t="s">
        <v>17</v>
      </c>
      <c r="E222" s="124" t="s">
        <v>130</v>
      </c>
      <c r="F222" s="124" t="s">
        <v>636</v>
      </c>
      <c r="G222" s="124" t="s">
        <v>1117</v>
      </c>
      <c r="H222" s="122" t="s">
        <v>8</v>
      </c>
      <c r="I222" s="123">
        <v>21.122833</v>
      </c>
      <c r="J222" s="123">
        <v>-101.651342</v>
      </c>
      <c r="K222" s="122" t="s">
        <v>139</v>
      </c>
      <c r="L222" s="125" t="str">
        <f t="shared" si="9"/>
        <v>Ver en Google Maps</v>
      </c>
      <c r="M222" s="122">
        <v>1</v>
      </c>
      <c r="N222" s="108">
        <v>45955</v>
      </c>
      <c r="O222" s="109">
        <f>DAY('BD2'!$N222)</f>
        <v>25</v>
      </c>
      <c r="P222" s="109">
        <f>MONTH('BD2'!$N222)</f>
        <v>10</v>
      </c>
      <c r="Q222" s="109">
        <f>YEAR('BD2'!$N222)</f>
        <v>2025</v>
      </c>
      <c r="R222" s="109">
        <v>2</v>
      </c>
      <c r="S222" s="109" t="s">
        <v>934</v>
      </c>
      <c r="T222" s="109" t="s">
        <v>934</v>
      </c>
      <c r="U222" s="109" t="s">
        <v>934</v>
      </c>
      <c r="V222" s="109" t="s">
        <v>934</v>
      </c>
      <c r="W222" s="109" t="s">
        <v>934</v>
      </c>
      <c r="X222" s="109" t="s">
        <v>934</v>
      </c>
      <c r="Y222" s="109" t="s">
        <v>934</v>
      </c>
      <c r="Z222" s="109" t="str">
        <f>IF('BD2'!$AA222 &lt; 14, "no", "si")</f>
        <v>no</v>
      </c>
      <c r="AA222" s="109">
        <v>0</v>
      </c>
      <c r="AB222" s="109">
        <v>0</v>
      </c>
      <c r="AC222" s="110" t="s">
        <v>3091</v>
      </c>
      <c r="AD222" s="110" t="s">
        <v>957</v>
      </c>
      <c r="AE222" s="109">
        <f t="shared" si="10"/>
        <v>0</v>
      </c>
      <c r="AF222" s="111" t="str">
        <f t="shared" si="11"/>
        <v>Crítico</v>
      </c>
    </row>
    <row r="223" spans="1:32" x14ac:dyDescent="0.2">
      <c r="A223" s="112">
        <v>578</v>
      </c>
      <c r="B223" s="113" t="s">
        <v>956</v>
      </c>
      <c r="C223" s="114" t="s">
        <v>429</v>
      </c>
      <c r="D223" s="114" t="s">
        <v>17</v>
      </c>
      <c r="E223" s="115" t="s">
        <v>131</v>
      </c>
      <c r="F223" s="115" t="s">
        <v>637</v>
      </c>
      <c r="G223" s="115" t="s">
        <v>1118</v>
      </c>
      <c r="H223" s="113" t="s">
        <v>8</v>
      </c>
      <c r="I223" s="114">
        <v>21.072230000000001</v>
      </c>
      <c r="J223" s="114">
        <v>-101.63207</v>
      </c>
      <c r="K223" s="113"/>
      <c r="L223" s="116" t="str">
        <f t="shared" si="9"/>
        <v>Ver en Google Maps</v>
      </c>
      <c r="M223" s="113">
        <v>1</v>
      </c>
      <c r="N223" s="129"/>
      <c r="O223" s="118"/>
      <c r="P223" s="118"/>
      <c r="Q223" s="118"/>
      <c r="R223" s="118"/>
      <c r="S223" s="118"/>
      <c r="T223" s="118"/>
      <c r="U223" s="118"/>
      <c r="V223" s="118"/>
      <c r="W223" s="118"/>
      <c r="X223" s="118"/>
      <c r="Y223" s="118"/>
      <c r="Z223" s="118"/>
      <c r="AA223" s="118"/>
      <c r="AB223" s="118"/>
      <c r="AC223" s="118"/>
      <c r="AD223" s="119"/>
      <c r="AE223" s="118"/>
      <c r="AF223" s="120"/>
    </row>
    <row r="224" spans="1:32" x14ac:dyDescent="0.2">
      <c r="A224" s="121">
        <v>591</v>
      </c>
      <c r="B224" s="122" t="s">
        <v>956</v>
      </c>
      <c r="C224" s="123" t="s">
        <v>429</v>
      </c>
      <c r="D224" s="123" t="s">
        <v>17</v>
      </c>
      <c r="E224" s="124" t="s">
        <v>255</v>
      </c>
      <c r="F224" s="124" t="s">
        <v>638</v>
      </c>
      <c r="G224" s="124" t="s">
        <v>1048</v>
      </c>
      <c r="H224" s="122" t="s">
        <v>8</v>
      </c>
      <c r="I224" s="123">
        <v>21.099219999999999</v>
      </c>
      <c r="J224" s="123">
        <v>-101.69707</v>
      </c>
      <c r="K224" s="122" t="s">
        <v>139</v>
      </c>
      <c r="L224" s="125" t="str">
        <f t="shared" si="9"/>
        <v>Ver en Google Maps</v>
      </c>
      <c r="M224" s="122">
        <v>1</v>
      </c>
      <c r="N224" s="108">
        <v>45964</v>
      </c>
      <c r="O224" s="109">
        <f>DAY('BD2'!$N224)</f>
        <v>3</v>
      </c>
      <c r="P224" s="109">
        <f>MONTH('BD2'!$N224)</f>
        <v>11</v>
      </c>
      <c r="Q224" s="109">
        <f>YEAR('BD2'!$N224)</f>
        <v>2025</v>
      </c>
      <c r="R224" s="109">
        <v>2</v>
      </c>
      <c r="S224" s="109" t="s">
        <v>138</v>
      </c>
      <c r="T224" s="109" t="s">
        <v>138</v>
      </c>
      <c r="U224" s="109" t="s">
        <v>138</v>
      </c>
      <c r="V224" s="109" t="s">
        <v>138</v>
      </c>
      <c r="W224" s="109" t="s">
        <v>138</v>
      </c>
      <c r="X224" s="109" t="s">
        <v>138</v>
      </c>
      <c r="Y224" s="109" t="s">
        <v>138</v>
      </c>
      <c r="Z224" s="109" t="str">
        <f>IF('BD2'!$AA224 &lt; 14, "no", "si")</f>
        <v>si</v>
      </c>
      <c r="AA224" s="109">
        <v>70.400000000000006</v>
      </c>
      <c r="AB224" s="109">
        <v>8.48</v>
      </c>
      <c r="AC224" s="110" t="s">
        <v>967</v>
      </c>
      <c r="AD224" s="110" t="s">
        <v>957</v>
      </c>
      <c r="AE224" s="109">
        <f t="shared" si="10"/>
        <v>8</v>
      </c>
      <c r="AF224" s="111" t="str">
        <f t="shared" si="11"/>
        <v>Estable</v>
      </c>
    </row>
    <row r="225" spans="1:32" x14ac:dyDescent="0.2">
      <c r="A225" s="112">
        <v>592</v>
      </c>
      <c r="B225" s="113" t="s">
        <v>956</v>
      </c>
      <c r="C225" s="114" t="s">
        <v>429</v>
      </c>
      <c r="D225" s="114" t="s">
        <v>17</v>
      </c>
      <c r="E225" s="115" t="s">
        <v>256</v>
      </c>
      <c r="F225" s="115" t="s">
        <v>639</v>
      </c>
      <c r="G225" s="115" t="s">
        <v>1119</v>
      </c>
      <c r="H225" s="113" t="s">
        <v>8</v>
      </c>
      <c r="I225" s="114">
        <v>21.12124</v>
      </c>
      <c r="J225" s="114">
        <v>-101.71771</v>
      </c>
      <c r="K225" s="113" t="s">
        <v>139</v>
      </c>
      <c r="L225" s="116" t="str">
        <f t="shared" si="9"/>
        <v>Ver en Google Maps</v>
      </c>
      <c r="M225" s="113">
        <v>1</v>
      </c>
      <c r="N225" s="117">
        <v>45964</v>
      </c>
      <c r="O225" s="118">
        <f>DAY('BD2'!$N225)</f>
        <v>3</v>
      </c>
      <c r="P225" s="118">
        <f>MONTH('BD2'!$N225)</f>
        <v>11</v>
      </c>
      <c r="Q225" s="118">
        <f>YEAR('BD2'!$N225)</f>
        <v>2025</v>
      </c>
      <c r="R225" s="118">
        <v>2</v>
      </c>
      <c r="S225" s="118" t="s">
        <v>138</v>
      </c>
      <c r="T225" s="118" t="s">
        <v>138</v>
      </c>
      <c r="U225" s="118" t="s">
        <v>138</v>
      </c>
      <c r="V225" s="118" t="s">
        <v>138</v>
      </c>
      <c r="W225" s="118" t="s">
        <v>138</v>
      </c>
      <c r="X225" s="118" t="s">
        <v>138</v>
      </c>
      <c r="Y225" s="118" t="s">
        <v>138</v>
      </c>
      <c r="Z225" s="118" t="str">
        <f>IF('BD2'!$AA225 &lt; 14, "no", "si")</f>
        <v>si</v>
      </c>
      <c r="AA225" s="118">
        <v>83.4</v>
      </c>
      <c r="AB225" s="118">
        <v>33.6</v>
      </c>
      <c r="AC225" s="119" t="s">
        <v>967</v>
      </c>
      <c r="AD225" s="119" t="s">
        <v>954</v>
      </c>
      <c r="AE225" s="118">
        <f t="shared" si="10"/>
        <v>8</v>
      </c>
      <c r="AF225" s="120" t="str">
        <f t="shared" si="11"/>
        <v>Estable</v>
      </c>
    </row>
    <row r="226" spans="1:32" x14ac:dyDescent="0.2">
      <c r="A226" s="121">
        <v>596</v>
      </c>
      <c r="B226" s="122" t="s">
        <v>956</v>
      </c>
      <c r="C226" s="123" t="s">
        <v>429</v>
      </c>
      <c r="D226" s="123" t="s">
        <v>17</v>
      </c>
      <c r="E226" s="124" t="s">
        <v>257</v>
      </c>
      <c r="F226" s="124" t="s">
        <v>640</v>
      </c>
      <c r="G226" s="124" t="s">
        <v>121</v>
      </c>
      <c r="H226" s="122" t="s">
        <v>8</v>
      </c>
      <c r="I226" s="123">
        <v>21.104310000000002</v>
      </c>
      <c r="J226" s="123">
        <v>-101.61639</v>
      </c>
      <c r="K226" s="122"/>
      <c r="L226" s="125" t="str">
        <f t="shared" si="9"/>
        <v>Ver en Google Maps</v>
      </c>
      <c r="M226" s="122">
        <v>1</v>
      </c>
      <c r="N226" s="130"/>
      <c r="O226" s="109"/>
      <c r="P226" s="109"/>
      <c r="Q226" s="109"/>
      <c r="R226" s="109"/>
      <c r="S226" s="109"/>
      <c r="T226" s="109"/>
      <c r="U226" s="109"/>
      <c r="V226" s="109"/>
      <c r="W226" s="109"/>
      <c r="X226" s="109"/>
      <c r="Y226" s="109"/>
      <c r="Z226" s="109"/>
      <c r="AA226" s="109"/>
      <c r="AB226" s="109"/>
      <c r="AC226" s="109"/>
      <c r="AD226" s="110"/>
      <c r="AE226" s="109"/>
      <c r="AF226" s="111"/>
    </row>
    <row r="227" spans="1:32" x14ac:dyDescent="0.2">
      <c r="A227" s="112">
        <v>599</v>
      </c>
      <c r="B227" s="113" t="s">
        <v>956</v>
      </c>
      <c r="C227" s="114" t="s">
        <v>429</v>
      </c>
      <c r="D227" s="114" t="s">
        <v>17</v>
      </c>
      <c r="E227" s="115" t="s">
        <v>258</v>
      </c>
      <c r="F227" s="115" t="s">
        <v>641</v>
      </c>
      <c r="G227" s="115" t="s">
        <v>1101</v>
      </c>
      <c r="H227" s="113" t="s">
        <v>8</v>
      </c>
      <c r="I227" s="114">
        <v>21.1051</v>
      </c>
      <c r="J227" s="114">
        <v>-101.73101</v>
      </c>
      <c r="K227" s="113" t="s">
        <v>139</v>
      </c>
      <c r="L227" s="116" t="str">
        <f t="shared" si="9"/>
        <v>Ver en Google Maps</v>
      </c>
      <c r="M227" s="113">
        <v>1</v>
      </c>
      <c r="N227" s="117">
        <v>45964</v>
      </c>
      <c r="O227" s="118">
        <f>DAY('BD2'!$N227)</f>
        <v>3</v>
      </c>
      <c r="P227" s="118">
        <f>MONTH('BD2'!$N227)</f>
        <v>11</v>
      </c>
      <c r="Q227" s="118">
        <f>YEAR('BD2'!$N227)</f>
        <v>2025</v>
      </c>
      <c r="R227" s="118">
        <v>2</v>
      </c>
      <c r="S227" s="118" t="s">
        <v>138</v>
      </c>
      <c r="T227" s="118" t="s">
        <v>138</v>
      </c>
      <c r="U227" s="118" t="s">
        <v>138</v>
      </c>
      <c r="V227" s="118" t="s">
        <v>138</v>
      </c>
      <c r="W227" s="118" t="s">
        <v>138</v>
      </c>
      <c r="X227" s="118" t="s">
        <v>138</v>
      </c>
      <c r="Y227" s="118" t="s">
        <v>138</v>
      </c>
      <c r="Z227" s="118" t="str">
        <f>IF('BD2'!$AA227 &lt; 14, "no", "si")</f>
        <v>si</v>
      </c>
      <c r="AA227" s="118">
        <v>58.3</v>
      </c>
      <c r="AB227" s="118">
        <v>39.5</v>
      </c>
      <c r="AC227" s="119" t="s">
        <v>967</v>
      </c>
      <c r="AD227" s="119" t="s">
        <v>954</v>
      </c>
      <c r="AE227" s="118">
        <f t="shared" si="10"/>
        <v>8</v>
      </c>
      <c r="AF227" s="120" t="str">
        <f t="shared" si="11"/>
        <v>Estable</v>
      </c>
    </row>
    <row r="228" spans="1:32" x14ac:dyDescent="0.2">
      <c r="A228" s="121">
        <v>601</v>
      </c>
      <c r="B228" s="122" t="s">
        <v>956</v>
      </c>
      <c r="C228" s="123" t="s">
        <v>429</v>
      </c>
      <c r="D228" s="123" t="s">
        <v>17</v>
      </c>
      <c r="E228" s="124" t="s">
        <v>259</v>
      </c>
      <c r="F228" s="124" t="s">
        <v>642</v>
      </c>
      <c r="G228" s="124" t="s">
        <v>1025</v>
      </c>
      <c r="H228" s="122" t="s">
        <v>8</v>
      </c>
      <c r="I228" s="123">
        <v>21.12068</v>
      </c>
      <c r="J228" s="123">
        <v>-101.6384</v>
      </c>
      <c r="K228" s="122" t="s">
        <v>139</v>
      </c>
      <c r="L228" s="125" t="str">
        <f t="shared" si="9"/>
        <v>Ver en Google Maps</v>
      </c>
      <c r="M228" s="122">
        <v>1</v>
      </c>
      <c r="N228" s="108">
        <v>45955</v>
      </c>
      <c r="O228" s="109">
        <f>DAY('BD2'!$N228)</f>
        <v>25</v>
      </c>
      <c r="P228" s="109">
        <f>MONTH('BD2'!$N228)</f>
        <v>10</v>
      </c>
      <c r="Q228" s="109">
        <f>YEAR('BD2'!$N228)</f>
        <v>2025</v>
      </c>
      <c r="R228" s="109">
        <v>2</v>
      </c>
      <c r="S228" s="109" t="s">
        <v>138</v>
      </c>
      <c r="T228" s="109" t="s">
        <v>138</v>
      </c>
      <c r="U228" s="109" t="s">
        <v>138</v>
      </c>
      <c r="V228" s="109" t="s">
        <v>138</v>
      </c>
      <c r="W228" s="109" t="s">
        <v>138</v>
      </c>
      <c r="X228" s="109" t="s">
        <v>138</v>
      </c>
      <c r="Y228" s="109" t="s">
        <v>138</v>
      </c>
      <c r="Z228" s="109" t="str">
        <f>IF('BD2'!$AA228 &lt; 14, "no", "si")</f>
        <v>no</v>
      </c>
      <c r="AA228" s="109">
        <v>0</v>
      </c>
      <c r="AB228" s="109">
        <v>0</v>
      </c>
      <c r="AC228" s="110" t="s">
        <v>3090</v>
      </c>
      <c r="AD228" s="110" t="s">
        <v>954</v>
      </c>
      <c r="AE228" s="109">
        <f t="shared" si="10"/>
        <v>7</v>
      </c>
      <c r="AF228" s="111" t="str">
        <f t="shared" si="11"/>
        <v>Funcional con observaciones</v>
      </c>
    </row>
    <row r="229" spans="1:32" x14ac:dyDescent="0.2">
      <c r="A229" s="112">
        <v>602</v>
      </c>
      <c r="B229" s="113" t="s">
        <v>956</v>
      </c>
      <c r="C229" s="114" t="s">
        <v>429</v>
      </c>
      <c r="D229" s="114" t="s">
        <v>17</v>
      </c>
      <c r="E229" s="115" t="s">
        <v>260</v>
      </c>
      <c r="F229" s="115" t="s">
        <v>643</v>
      </c>
      <c r="G229" s="115" t="s">
        <v>70</v>
      </c>
      <c r="H229" s="113" t="s">
        <v>8</v>
      </c>
      <c r="I229" s="114">
        <v>21.10586</v>
      </c>
      <c r="J229" s="114">
        <v>-101.68668</v>
      </c>
      <c r="K229" s="113" t="s">
        <v>139</v>
      </c>
      <c r="L229" s="116" t="str">
        <f t="shared" si="9"/>
        <v>Ver en Google Maps</v>
      </c>
      <c r="M229" s="113">
        <v>1</v>
      </c>
      <c r="N229" s="117">
        <v>45964</v>
      </c>
      <c r="O229" s="118">
        <f>DAY('BD2'!$N229)</f>
        <v>3</v>
      </c>
      <c r="P229" s="118">
        <f>MONTH('BD2'!$N229)</f>
        <v>11</v>
      </c>
      <c r="Q229" s="118">
        <f>YEAR('BD2'!$N229)</f>
        <v>2025</v>
      </c>
      <c r="R229" s="118">
        <v>2</v>
      </c>
      <c r="S229" s="118" t="s">
        <v>934</v>
      </c>
      <c r="T229" s="118" t="s">
        <v>934</v>
      </c>
      <c r="U229" s="118" t="s">
        <v>934</v>
      </c>
      <c r="V229" s="118" t="s">
        <v>934</v>
      </c>
      <c r="W229" s="118" t="s">
        <v>934</v>
      </c>
      <c r="X229" s="118" t="s">
        <v>934</v>
      </c>
      <c r="Y229" s="118" t="s">
        <v>934</v>
      </c>
      <c r="Z229" s="118" t="str">
        <f>IF('BD2'!$AA229 &lt; 14, "no", "si")</f>
        <v>no</v>
      </c>
      <c r="AA229" s="118">
        <v>0</v>
      </c>
      <c r="AB229" s="118">
        <v>0</v>
      </c>
      <c r="AC229" s="119" t="s">
        <v>3147</v>
      </c>
      <c r="AD229" s="119" t="s">
        <v>954</v>
      </c>
      <c r="AE229" s="118">
        <f t="shared" si="10"/>
        <v>0</v>
      </c>
      <c r="AF229" s="120" t="str">
        <f t="shared" si="11"/>
        <v>Crítico</v>
      </c>
    </row>
    <row r="230" spans="1:32" x14ac:dyDescent="0.2">
      <c r="A230" s="121">
        <v>606</v>
      </c>
      <c r="B230" s="122" t="s">
        <v>956</v>
      </c>
      <c r="C230" s="123" t="s">
        <v>429</v>
      </c>
      <c r="D230" s="123" t="s">
        <v>17</v>
      </c>
      <c r="E230" s="124" t="s">
        <v>261</v>
      </c>
      <c r="F230" s="124" t="s">
        <v>644</v>
      </c>
      <c r="G230" s="124" t="s">
        <v>1120</v>
      </c>
      <c r="H230" s="122" t="s">
        <v>8</v>
      </c>
      <c r="I230" s="123">
        <v>21.098980000000001</v>
      </c>
      <c r="J230" s="123">
        <v>-101.70238000000001</v>
      </c>
      <c r="K230" s="122" t="s">
        <v>139</v>
      </c>
      <c r="L230" s="125" t="str">
        <f t="shared" si="9"/>
        <v>Ver en Google Maps</v>
      </c>
      <c r="M230" s="122">
        <v>1</v>
      </c>
      <c r="N230" s="108">
        <v>45964</v>
      </c>
      <c r="O230" s="109">
        <f>DAY('BD2'!$N230)</f>
        <v>3</v>
      </c>
      <c r="P230" s="109">
        <f>MONTH('BD2'!$N230)</f>
        <v>11</v>
      </c>
      <c r="Q230" s="109">
        <f>YEAR('BD2'!$N230)</f>
        <v>2025</v>
      </c>
      <c r="R230" s="109">
        <v>2</v>
      </c>
      <c r="S230" s="109" t="s">
        <v>138</v>
      </c>
      <c r="T230" s="109" t="s">
        <v>138</v>
      </c>
      <c r="U230" s="109" t="s">
        <v>138</v>
      </c>
      <c r="V230" s="109" t="s">
        <v>138</v>
      </c>
      <c r="W230" s="109" t="s">
        <v>138</v>
      </c>
      <c r="X230" s="109" t="s">
        <v>138</v>
      </c>
      <c r="Y230" s="109" t="s">
        <v>138</v>
      </c>
      <c r="Z230" s="109" t="str">
        <f>IF('BD2'!$AA230 &lt; 14, "no", "si")</f>
        <v>si</v>
      </c>
      <c r="AA230" s="109">
        <v>83.7</v>
      </c>
      <c r="AB230" s="109">
        <v>6.33</v>
      </c>
      <c r="AC230" s="110" t="s">
        <v>967</v>
      </c>
      <c r="AD230" s="110" t="s">
        <v>954</v>
      </c>
      <c r="AE230" s="109">
        <f t="shared" si="10"/>
        <v>8</v>
      </c>
      <c r="AF230" s="111" t="str">
        <f t="shared" si="11"/>
        <v>Estable</v>
      </c>
    </row>
    <row r="231" spans="1:32" x14ac:dyDescent="0.2">
      <c r="A231" s="112">
        <v>607</v>
      </c>
      <c r="B231" s="113" t="s">
        <v>956</v>
      </c>
      <c r="C231" s="114" t="s">
        <v>429</v>
      </c>
      <c r="D231" s="114" t="s">
        <v>16</v>
      </c>
      <c r="E231" s="115" t="s">
        <v>262</v>
      </c>
      <c r="F231" s="115" t="s">
        <v>645</v>
      </c>
      <c r="G231" s="115" t="s">
        <v>1022</v>
      </c>
      <c r="H231" s="113" t="s">
        <v>8</v>
      </c>
      <c r="I231" s="114">
        <v>21.094570000000001</v>
      </c>
      <c r="J231" s="114">
        <v>-101.72092000000001</v>
      </c>
      <c r="K231" s="113"/>
      <c r="L231" s="116" t="str">
        <f t="shared" si="9"/>
        <v>Ver en Google Maps</v>
      </c>
      <c r="M231" s="113">
        <v>1</v>
      </c>
      <c r="N231" s="129"/>
      <c r="O231" s="118"/>
      <c r="P231" s="118"/>
      <c r="Q231" s="118"/>
      <c r="R231" s="118"/>
      <c r="S231" s="118"/>
      <c r="T231" s="118"/>
      <c r="U231" s="118"/>
      <c r="V231" s="118"/>
      <c r="W231" s="118"/>
      <c r="X231" s="118"/>
      <c r="Y231" s="118"/>
      <c r="Z231" s="118"/>
      <c r="AA231" s="118"/>
      <c r="AB231" s="118"/>
      <c r="AC231" s="118"/>
      <c r="AD231" s="119"/>
      <c r="AE231" s="118"/>
      <c r="AF231" s="120"/>
    </row>
    <row r="232" spans="1:32" x14ac:dyDescent="0.2">
      <c r="A232" s="121">
        <v>632</v>
      </c>
      <c r="B232" s="122" t="s">
        <v>956</v>
      </c>
      <c r="C232" s="123" t="s">
        <v>429</v>
      </c>
      <c r="D232" s="123" t="s">
        <v>16</v>
      </c>
      <c r="E232" s="124" t="s">
        <v>263</v>
      </c>
      <c r="F232" s="124" t="s">
        <v>646</v>
      </c>
      <c r="G232" s="124" t="s">
        <v>360</v>
      </c>
      <c r="H232" s="122" t="s">
        <v>8</v>
      </c>
      <c r="I232" s="123">
        <v>21.120360000000002</v>
      </c>
      <c r="J232" s="123">
        <v>-101.68349000000001</v>
      </c>
      <c r="K232" s="122" t="s">
        <v>139</v>
      </c>
      <c r="L232" s="125" t="str">
        <f t="shared" si="9"/>
        <v>Ver en Google Maps</v>
      </c>
      <c r="M232" s="122">
        <v>1</v>
      </c>
      <c r="N232" s="108">
        <v>45954</v>
      </c>
      <c r="O232" s="109">
        <f>DAY('BD2'!$N232)</f>
        <v>24</v>
      </c>
      <c r="P232" s="109">
        <f>MONTH('BD2'!$N232)</f>
        <v>10</v>
      </c>
      <c r="Q232" s="109">
        <f>YEAR('BD2'!$N232)</f>
        <v>2025</v>
      </c>
      <c r="R232" s="109">
        <v>2</v>
      </c>
      <c r="S232" s="109" t="s">
        <v>138</v>
      </c>
      <c r="T232" s="109" t="s">
        <v>138</v>
      </c>
      <c r="U232" s="109" t="s">
        <v>138</v>
      </c>
      <c r="V232" s="109" t="s">
        <v>138</v>
      </c>
      <c r="W232" s="109" t="s">
        <v>138</v>
      </c>
      <c r="X232" s="109" t="s">
        <v>138</v>
      </c>
      <c r="Y232" s="109" t="s">
        <v>138</v>
      </c>
      <c r="Z232" s="109" t="str">
        <f>IF('BD2'!$AA232 &lt; 14, "no", "si")</f>
        <v>si</v>
      </c>
      <c r="AA232" s="109">
        <v>27.8</v>
      </c>
      <c r="AB232" s="109">
        <v>1.96</v>
      </c>
      <c r="AC232" s="110" t="s">
        <v>967</v>
      </c>
      <c r="AD232" s="110" t="s">
        <v>954</v>
      </c>
      <c r="AE232" s="109">
        <f t="shared" si="10"/>
        <v>8</v>
      </c>
      <c r="AF232" s="111" t="str">
        <f t="shared" si="11"/>
        <v>Estable</v>
      </c>
    </row>
    <row r="233" spans="1:32" x14ac:dyDescent="0.2">
      <c r="A233" s="112">
        <v>633</v>
      </c>
      <c r="B233" s="113" t="s">
        <v>956</v>
      </c>
      <c r="C233" s="114" t="s">
        <v>429</v>
      </c>
      <c r="D233" s="114" t="s">
        <v>16</v>
      </c>
      <c r="E233" s="115" t="s">
        <v>264</v>
      </c>
      <c r="F233" s="115" t="s">
        <v>647</v>
      </c>
      <c r="G233" s="115" t="s">
        <v>1121</v>
      </c>
      <c r="H233" s="113" t="s">
        <v>8</v>
      </c>
      <c r="I233" s="114">
        <v>21.107585</v>
      </c>
      <c r="J233" s="114">
        <v>-101.687496</v>
      </c>
      <c r="K233" s="113"/>
      <c r="L233" s="116" t="str">
        <f t="shared" si="9"/>
        <v>Ver en Google Maps</v>
      </c>
      <c r="M233" s="113">
        <v>1</v>
      </c>
      <c r="N233" s="129"/>
      <c r="O233" s="118"/>
      <c r="P233" s="118"/>
      <c r="Q233" s="118"/>
      <c r="R233" s="118"/>
      <c r="S233" s="118"/>
      <c r="T233" s="118"/>
      <c r="U233" s="118"/>
      <c r="V233" s="118"/>
      <c r="W233" s="118"/>
      <c r="X233" s="118"/>
      <c r="Y233" s="118"/>
      <c r="Z233" s="118"/>
      <c r="AA233" s="118"/>
      <c r="AB233" s="118"/>
      <c r="AC233" s="118"/>
      <c r="AD233" s="119"/>
      <c r="AE233" s="118"/>
      <c r="AF233" s="120"/>
    </row>
    <row r="234" spans="1:32" x14ac:dyDescent="0.2">
      <c r="A234" s="121">
        <v>634</v>
      </c>
      <c r="B234" s="122" t="s">
        <v>956</v>
      </c>
      <c r="C234" s="123" t="s">
        <v>429</v>
      </c>
      <c r="D234" s="123" t="s">
        <v>16</v>
      </c>
      <c r="E234" s="124" t="s">
        <v>265</v>
      </c>
      <c r="F234" s="124" t="s">
        <v>648</v>
      </c>
      <c r="G234" s="124" t="s">
        <v>70</v>
      </c>
      <c r="H234" s="122" t="s">
        <v>8</v>
      </c>
      <c r="I234" s="123">
        <v>21.098849999999999</v>
      </c>
      <c r="J234" s="123">
        <v>-101.68664</v>
      </c>
      <c r="K234" s="122"/>
      <c r="L234" s="125" t="str">
        <f t="shared" si="9"/>
        <v>Ver en Google Maps</v>
      </c>
      <c r="M234" s="122">
        <v>1</v>
      </c>
      <c r="N234" s="130"/>
      <c r="O234" s="109"/>
      <c r="P234" s="109"/>
      <c r="Q234" s="109"/>
      <c r="R234" s="109"/>
      <c r="S234" s="109"/>
      <c r="T234" s="109"/>
      <c r="U234" s="109"/>
      <c r="V234" s="109"/>
      <c r="W234" s="109"/>
      <c r="X234" s="109"/>
      <c r="Y234" s="109"/>
      <c r="Z234" s="109"/>
      <c r="AA234" s="109"/>
      <c r="AB234" s="109"/>
      <c r="AC234" s="109"/>
      <c r="AD234" s="110"/>
      <c r="AE234" s="109"/>
      <c r="AF234" s="111"/>
    </row>
    <row r="235" spans="1:32" x14ac:dyDescent="0.2">
      <c r="A235" s="112">
        <v>635</v>
      </c>
      <c r="B235" s="113" t="s">
        <v>956</v>
      </c>
      <c r="C235" s="114" t="s">
        <v>429</v>
      </c>
      <c r="D235" s="114" t="s">
        <v>16</v>
      </c>
      <c r="E235" s="115" t="s">
        <v>266</v>
      </c>
      <c r="F235" s="115" t="s">
        <v>649</v>
      </c>
      <c r="G235" s="115" t="s">
        <v>360</v>
      </c>
      <c r="H235" s="113" t="s">
        <v>8</v>
      </c>
      <c r="I235" s="114">
        <v>21.1252</v>
      </c>
      <c r="J235" s="114">
        <v>-101.68554</v>
      </c>
      <c r="K235" s="113" t="s">
        <v>139</v>
      </c>
      <c r="L235" s="116" t="str">
        <f t="shared" si="9"/>
        <v>Ver en Google Maps</v>
      </c>
      <c r="M235" s="113">
        <v>2</v>
      </c>
      <c r="N235" s="117">
        <v>45954</v>
      </c>
      <c r="O235" s="118">
        <f>DAY('BD2'!$N235)</f>
        <v>24</v>
      </c>
      <c r="P235" s="118">
        <f>MONTH('BD2'!$N235)</f>
        <v>10</v>
      </c>
      <c r="Q235" s="118">
        <f>YEAR('BD2'!$N235)</f>
        <v>2025</v>
      </c>
      <c r="R235" s="118">
        <v>2</v>
      </c>
      <c r="S235" s="118" t="s">
        <v>138</v>
      </c>
      <c r="T235" s="118" t="s">
        <v>138</v>
      </c>
      <c r="U235" s="118" t="s">
        <v>138</v>
      </c>
      <c r="V235" s="118" t="s">
        <v>138</v>
      </c>
      <c r="W235" s="118" t="s">
        <v>138</v>
      </c>
      <c r="X235" s="118" t="s">
        <v>138</v>
      </c>
      <c r="Y235" s="118" t="s">
        <v>138</v>
      </c>
      <c r="Z235" s="118" t="str">
        <f>IF('BD2'!$AA235 &lt; 14, "no", "si")</f>
        <v>si</v>
      </c>
      <c r="AA235" s="118">
        <v>45.5</v>
      </c>
      <c r="AB235" s="118">
        <v>18.899999999999999</v>
      </c>
      <c r="AC235" s="119" t="s">
        <v>967</v>
      </c>
      <c r="AD235" s="119" t="s">
        <v>954</v>
      </c>
      <c r="AE235" s="118">
        <f t="shared" si="10"/>
        <v>8</v>
      </c>
      <c r="AF235" s="120" t="str">
        <f t="shared" si="11"/>
        <v>Estable</v>
      </c>
    </row>
    <row r="236" spans="1:32" x14ac:dyDescent="0.2">
      <c r="A236" s="121">
        <v>636</v>
      </c>
      <c r="B236" s="122" t="s">
        <v>956</v>
      </c>
      <c r="C236" s="123" t="s">
        <v>429</v>
      </c>
      <c r="D236" s="123" t="s">
        <v>16</v>
      </c>
      <c r="E236" s="124" t="s">
        <v>267</v>
      </c>
      <c r="F236" s="124" t="s">
        <v>650</v>
      </c>
      <c r="G236" s="124" t="s">
        <v>1122</v>
      </c>
      <c r="H236" s="122" t="s">
        <v>8</v>
      </c>
      <c r="I236" s="123">
        <v>21.122340000000001</v>
      </c>
      <c r="J236" s="123">
        <v>-101.71411999999999</v>
      </c>
      <c r="K236" s="122" t="s">
        <v>139</v>
      </c>
      <c r="L236" s="125" t="str">
        <f t="shared" si="9"/>
        <v>Ver en Google Maps</v>
      </c>
      <c r="M236" s="122">
        <v>1</v>
      </c>
      <c r="N236" s="108">
        <v>45964</v>
      </c>
      <c r="O236" s="109">
        <f>DAY('BD2'!$N236)</f>
        <v>3</v>
      </c>
      <c r="P236" s="109">
        <f>MONTH('BD2'!$N236)</f>
        <v>11</v>
      </c>
      <c r="Q236" s="109">
        <f>YEAR('BD2'!$N236)</f>
        <v>2025</v>
      </c>
      <c r="R236" s="109">
        <v>2</v>
      </c>
      <c r="S236" s="109" t="s">
        <v>138</v>
      </c>
      <c r="T236" s="109" t="s">
        <v>138</v>
      </c>
      <c r="U236" s="109" t="s">
        <v>138</v>
      </c>
      <c r="V236" s="109" t="s">
        <v>138</v>
      </c>
      <c r="W236" s="109" t="s">
        <v>138</v>
      </c>
      <c r="X236" s="109" t="s">
        <v>138</v>
      </c>
      <c r="Y236" s="109" t="s">
        <v>138</v>
      </c>
      <c r="Z236" s="109" t="str">
        <f>IF('BD2'!$AA236 &lt; 14, "no", "si")</f>
        <v>si</v>
      </c>
      <c r="AA236" s="109">
        <v>19.100000000000001</v>
      </c>
      <c r="AB236" s="109">
        <v>15.2</v>
      </c>
      <c r="AC236" s="110" t="s">
        <v>967</v>
      </c>
      <c r="AD236" s="110" t="s">
        <v>954</v>
      </c>
      <c r="AE236" s="109">
        <f t="shared" si="10"/>
        <v>8</v>
      </c>
      <c r="AF236" s="111" t="str">
        <f t="shared" si="11"/>
        <v>Estable</v>
      </c>
    </row>
    <row r="237" spans="1:32" x14ac:dyDescent="0.2">
      <c r="A237" s="112">
        <v>637</v>
      </c>
      <c r="B237" s="113" t="s">
        <v>956</v>
      </c>
      <c r="C237" s="114" t="s">
        <v>429</v>
      </c>
      <c r="D237" s="114" t="s">
        <v>17</v>
      </c>
      <c r="E237" s="115" t="s">
        <v>268</v>
      </c>
      <c r="F237" s="115" t="s">
        <v>651</v>
      </c>
      <c r="G237" s="115" t="s">
        <v>269</v>
      </c>
      <c r="H237" s="113" t="s">
        <v>8</v>
      </c>
      <c r="I237" s="114">
        <v>21.086980000000001</v>
      </c>
      <c r="J237" s="114">
        <v>-101.69011999999999</v>
      </c>
      <c r="K237" s="113"/>
      <c r="L237" s="116" t="str">
        <f t="shared" si="9"/>
        <v>Ver en Google Maps</v>
      </c>
      <c r="M237" s="113">
        <v>1</v>
      </c>
      <c r="N237" s="129"/>
      <c r="O237" s="118"/>
      <c r="P237" s="118"/>
      <c r="Q237" s="118"/>
      <c r="R237" s="118"/>
      <c r="S237" s="118"/>
      <c r="T237" s="118"/>
      <c r="U237" s="118"/>
      <c r="V237" s="118"/>
      <c r="W237" s="118"/>
      <c r="X237" s="118"/>
      <c r="Y237" s="118"/>
      <c r="Z237" s="118"/>
      <c r="AA237" s="118"/>
      <c r="AB237" s="118"/>
      <c r="AC237" s="118"/>
      <c r="AD237" s="119"/>
      <c r="AE237" s="118"/>
      <c r="AF237" s="120"/>
    </row>
    <row r="238" spans="1:32" x14ac:dyDescent="0.2">
      <c r="A238" s="121">
        <v>638</v>
      </c>
      <c r="B238" s="122" t="s">
        <v>956</v>
      </c>
      <c r="C238" s="123" t="s">
        <v>429</v>
      </c>
      <c r="D238" s="123" t="s">
        <v>16</v>
      </c>
      <c r="E238" s="124" t="s">
        <v>270</v>
      </c>
      <c r="F238" s="124" t="s">
        <v>652</v>
      </c>
      <c r="G238" s="124" t="s">
        <v>360</v>
      </c>
      <c r="H238" s="122" t="s">
        <v>8</v>
      </c>
      <c r="I238" s="123">
        <v>21.123449999999998</v>
      </c>
      <c r="J238" s="123">
        <v>-101.68464</v>
      </c>
      <c r="K238" s="122" t="s">
        <v>139</v>
      </c>
      <c r="L238" s="125" t="str">
        <f t="shared" si="9"/>
        <v>Ver en Google Maps</v>
      </c>
      <c r="M238" s="122">
        <v>1</v>
      </c>
      <c r="N238" s="108">
        <v>45954</v>
      </c>
      <c r="O238" s="109">
        <f>DAY('BD2'!$N238)</f>
        <v>24</v>
      </c>
      <c r="P238" s="109">
        <f>MONTH('BD2'!$N238)</f>
        <v>10</v>
      </c>
      <c r="Q238" s="109">
        <f>YEAR('BD2'!$N238)</f>
        <v>2025</v>
      </c>
      <c r="R238" s="109">
        <v>2</v>
      </c>
      <c r="S238" s="109" t="s">
        <v>138</v>
      </c>
      <c r="T238" s="109" t="s">
        <v>138</v>
      </c>
      <c r="U238" s="109" t="s">
        <v>138</v>
      </c>
      <c r="V238" s="109" t="s">
        <v>934</v>
      </c>
      <c r="W238" s="109" t="s">
        <v>138</v>
      </c>
      <c r="X238" s="109" t="s">
        <v>934</v>
      </c>
      <c r="Y238" s="109" t="s">
        <v>934</v>
      </c>
      <c r="Z238" s="109" t="str">
        <f>IF('BD2'!$AA238 &lt; 14, "no", "si")</f>
        <v>no</v>
      </c>
      <c r="AA238" s="109">
        <v>0</v>
      </c>
      <c r="AB238" s="109">
        <v>0</v>
      </c>
      <c r="AC238" s="110" t="s">
        <v>3078</v>
      </c>
      <c r="AD238" s="110" t="s">
        <v>954</v>
      </c>
      <c r="AE238" s="109">
        <f t="shared" si="10"/>
        <v>4</v>
      </c>
      <c r="AF238" s="111" t="str">
        <f t="shared" si="11"/>
        <v>Parcialmente funcional</v>
      </c>
    </row>
    <row r="239" spans="1:32" x14ac:dyDescent="0.2">
      <c r="A239" s="112">
        <v>639</v>
      </c>
      <c r="B239" s="113" t="s">
        <v>956</v>
      </c>
      <c r="C239" s="114" t="s">
        <v>429</v>
      </c>
      <c r="D239" s="114" t="s">
        <v>16</v>
      </c>
      <c r="E239" s="115" t="s">
        <v>271</v>
      </c>
      <c r="F239" s="115" t="s">
        <v>653</v>
      </c>
      <c r="G239" s="115" t="s">
        <v>1044</v>
      </c>
      <c r="H239" s="113" t="s">
        <v>8</v>
      </c>
      <c r="I239" s="114">
        <v>21.076744000000001</v>
      </c>
      <c r="J239" s="114">
        <v>-101.629318</v>
      </c>
      <c r="K239" s="113"/>
      <c r="L239" s="116" t="str">
        <f t="shared" si="9"/>
        <v>Ver en Google Maps</v>
      </c>
      <c r="M239" s="113">
        <v>1</v>
      </c>
      <c r="N239" s="129"/>
      <c r="O239" s="118"/>
      <c r="P239" s="118"/>
      <c r="Q239" s="118"/>
      <c r="R239" s="118"/>
      <c r="S239" s="118"/>
      <c r="T239" s="118"/>
      <c r="U239" s="118"/>
      <c r="V239" s="118"/>
      <c r="W239" s="118"/>
      <c r="X239" s="118"/>
      <c r="Y239" s="118"/>
      <c r="Z239" s="118"/>
      <c r="AA239" s="118"/>
      <c r="AB239" s="118"/>
      <c r="AC239" s="118"/>
      <c r="AD239" s="119"/>
      <c r="AE239" s="118"/>
      <c r="AF239" s="120"/>
    </row>
    <row r="240" spans="1:32" x14ac:dyDescent="0.2">
      <c r="A240" s="121">
        <v>640</v>
      </c>
      <c r="B240" s="122" t="s">
        <v>956</v>
      </c>
      <c r="C240" s="123" t="s">
        <v>429</v>
      </c>
      <c r="D240" s="123" t="s">
        <v>16</v>
      </c>
      <c r="E240" s="124" t="s">
        <v>272</v>
      </c>
      <c r="F240" s="124" t="s">
        <v>654</v>
      </c>
      <c r="G240" s="124" t="s">
        <v>360</v>
      </c>
      <c r="H240" s="122" t="s">
        <v>8</v>
      </c>
      <c r="I240" s="123">
        <v>21.118549999999999</v>
      </c>
      <c r="J240" s="123">
        <v>-101.68189</v>
      </c>
      <c r="K240" s="122" t="s">
        <v>139</v>
      </c>
      <c r="L240" s="125" t="str">
        <f t="shared" si="9"/>
        <v>Ver en Google Maps</v>
      </c>
      <c r="M240" s="122">
        <v>1</v>
      </c>
      <c r="N240" s="108">
        <v>45954</v>
      </c>
      <c r="O240" s="109">
        <f>DAY('BD2'!$N240)</f>
        <v>24</v>
      </c>
      <c r="P240" s="109">
        <f>MONTH('BD2'!$N240)</f>
        <v>10</v>
      </c>
      <c r="Q240" s="109">
        <f>YEAR('BD2'!$N240)</f>
        <v>2025</v>
      </c>
      <c r="R240" s="109">
        <v>2</v>
      </c>
      <c r="S240" s="109" t="s">
        <v>138</v>
      </c>
      <c r="T240" s="109" t="s">
        <v>934</v>
      </c>
      <c r="U240" s="109" t="s">
        <v>138</v>
      </c>
      <c r="V240" s="109" t="s">
        <v>934</v>
      </c>
      <c r="W240" s="109" t="s">
        <v>138</v>
      </c>
      <c r="X240" s="109" t="s">
        <v>934</v>
      </c>
      <c r="Y240" s="109" t="s">
        <v>934</v>
      </c>
      <c r="Z240" s="109" t="str">
        <f>IF('BD2'!$AA240 &lt; 14, "no", "si")</f>
        <v>no</v>
      </c>
      <c r="AA240" s="109">
        <v>0</v>
      </c>
      <c r="AB240" s="109">
        <v>0</v>
      </c>
      <c r="AC240" s="110" t="s">
        <v>1404</v>
      </c>
      <c r="AD240" s="110" t="s">
        <v>954</v>
      </c>
      <c r="AE240" s="109">
        <f t="shared" si="10"/>
        <v>3</v>
      </c>
      <c r="AF240" s="111" t="str">
        <f t="shared" si="11"/>
        <v>Parcialmente funcional</v>
      </c>
    </row>
    <row r="241" spans="1:32" x14ac:dyDescent="0.2">
      <c r="A241" s="112">
        <v>641</v>
      </c>
      <c r="B241" s="113" t="s">
        <v>956</v>
      </c>
      <c r="C241" s="114" t="s">
        <v>429</v>
      </c>
      <c r="D241" s="114" t="s">
        <v>16</v>
      </c>
      <c r="E241" s="115" t="s">
        <v>273</v>
      </c>
      <c r="F241" s="115" t="s">
        <v>655</v>
      </c>
      <c r="G241" s="115" t="s">
        <v>993</v>
      </c>
      <c r="H241" s="113" t="s">
        <v>8</v>
      </c>
      <c r="I241" s="114">
        <v>21.127901999999999</v>
      </c>
      <c r="J241" s="114">
        <v>-101.696945</v>
      </c>
      <c r="K241" s="113"/>
      <c r="L241" s="116" t="str">
        <f t="shared" si="9"/>
        <v>Ver en Google Maps</v>
      </c>
      <c r="M241" s="113">
        <v>1</v>
      </c>
      <c r="N241" s="129"/>
      <c r="O241" s="118"/>
      <c r="P241" s="118"/>
      <c r="Q241" s="118"/>
      <c r="R241" s="118"/>
      <c r="S241" s="118"/>
      <c r="T241" s="118"/>
      <c r="U241" s="118"/>
      <c r="V241" s="118"/>
      <c r="W241" s="118"/>
      <c r="X241" s="118"/>
      <c r="Y241" s="118"/>
      <c r="Z241" s="118"/>
      <c r="AA241" s="118"/>
      <c r="AB241" s="118"/>
      <c r="AC241" s="118"/>
      <c r="AD241" s="119"/>
      <c r="AE241" s="118"/>
      <c r="AF241" s="120"/>
    </row>
    <row r="242" spans="1:32" x14ac:dyDescent="0.2">
      <c r="A242" s="121">
        <v>642</v>
      </c>
      <c r="B242" s="122" t="s">
        <v>956</v>
      </c>
      <c r="C242" s="123" t="s">
        <v>429</v>
      </c>
      <c r="D242" s="123" t="s">
        <v>16</v>
      </c>
      <c r="E242" s="124" t="s">
        <v>274</v>
      </c>
      <c r="F242" s="124" t="s">
        <v>656</v>
      </c>
      <c r="G242" s="124" t="s">
        <v>1070</v>
      </c>
      <c r="H242" s="122" t="s">
        <v>8</v>
      </c>
      <c r="I242" s="123">
        <v>21.1251</v>
      </c>
      <c r="J242" s="123">
        <v>-101.69286</v>
      </c>
      <c r="K242" s="122" t="s">
        <v>139</v>
      </c>
      <c r="L242" s="125" t="str">
        <f t="shared" si="9"/>
        <v>Ver en Google Maps</v>
      </c>
      <c r="M242" s="122">
        <v>1</v>
      </c>
      <c r="N242" s="108">
        <v>45958</v>
      </c>
      <c r="O242" s="109">
        <f>DAY('BD2'!$N242)</f>
        <v>28</v>
      </c>
      <c r="P242" s="109">
        <f>MONTH('BD2'!$N242)</f>
        <v>10</v>
      </c>
      <c r="Q242" s="109">
        <f>YEAR('BD2'!$N242)</f>
        <v>2025</v>
      </c>
      <c r="R242" s="109">
        <v>2</v>
      </c>
      <c r="S242" s="109" t="s">
        <v>138</v>
      </c>
      <c r="T242" s="109" t="s">
        <v>138</v>
      </c>
      <c r="U242" s="109" t="s">
        <v>138</v>
      </c>
      <c r="V242" s="109" t="s">
        <v>934</v>
      </c>
      <c r="W242" s="109" t="s">
        <v>138</v>
      </c>
      <c r="X242" s="109" t="s">
        <v>934</v>
      </c>
      <c r="Y242" s="109" t="s">
        <v>934</v>
      </c>
      <c r="Z242" s="109" t="str">
        <f>IF('BD2'!$AA242 &lt; 14, "no", "si")</f>
        <v>no</v>
      </c>
      <c r="AA242" s="109">
        <v>0</v>
      </c>
      <c r="AB242" s="109">
        <v>0</v>
      </c>
      <c r="AC242" s="110" t="s">
        <v>3108</v>
      </c>
      <c r="AD242" s="110" t="s">
        <v>954</v>
      </c>
      <c r="AE242" s="109">
        <f t="shared" si="10"/>
        <v>4</v>
      </c>
      <c r="AF242" s="111" t="str">
        <f t="shared" si="11"/>
        <v>Parcialmente funcional</v>
      </c>
    </row>
    <row r="243" spans="1:32" x14ac:dyDescent="0.2">
      <c r="A243" s="112">
        <v>650</v>
      </c>
      <c r="B243" s="113" t="s">
        <v>956</v>
      </c>
      <c r="C243" s="114" t="s">
        <v>429</v>
      </c>
      <c r="D243" s="114" t="s">
        <v>16</v>
      </c>
      <c r="E243" s="115" t="s">
        <v>275</v>
      </c>
      <c r="F243" s="115" t="s">
        <v>657</v>
      </c>
      <c r="G243" s="115" t="s">
        <v>1123</v>
      </c>
      <c r="H243" s="113" t="s">
        <v>8</v>
      </c>
      <c r="I243" s="114">
        <v>21.131399999999999</v>
      </c>
      <c r="J243" s="114">
        <v>-101.68304000000001</v>
      </c>
      <c r="K243" s="113" t="s">
        <v>139</v>
      </c>
      <c r="L243" s="116" t="str">
        <f t="shared" si="9"/>
        <v>Ver en Google Maps</v>
      </c>
      <c r="M243" s="113">
        <v>2</v>
      </c>
      <c r="N243" s="117">
        <v>45954</v>
      </c>
      <c r="O243" s="118">
        <f>DAY('BD2'!$N243)</f>
        <v>24</v>
      </c>
      <c r="P243" s="118">
        <f>MONTH('BD2'!$N243)</f>
        <v>10</v>
      </c>
      <c r="Q243" s="118">
        <f>YEAR('BD2'!$N243)</f>
        <v>2025</v>
      </c>
      <c r="R243" s="118">
        <v>2</v>
      </c>
      <c r="S243" s="118" t="s">
        <v>138</v>
      </c>
      <c r="T243" s="118" t="s">
        <v>138</v>
      </c>
      <c r="U243" s="118" t="s">
        <v>138</v>
      </c>
      <c r="V243" s="118" t="s">
        <v>138</v>
      </c>
      <c r="W243" s="118" t="s">
        <v>138</v>
      </c>
      <c r="X243" s="118" t="s">
        <v>138</v>
      </c>
      <c r="Y243" s="118" t="s">
        <v>138</v>
      </c>
      <c r="Z243" s="118" t="str">
        <f>IF('BD2'!$AA243 &lt; 14, "no", "si")</f>
        <v>si</v>
      </c>
      <c r="AA243" s="118">
        <v>113</v>
      </c>
      <c r="AB243" s="118">
        <v>46.4</v>
      </c>
      <c r="AC243" s="119" t="s">
        <v>967</v>
      </c>
      <c r="AD243" s="119" t="s">
        <v>954</v>
      </c>
      <c r="AE243" s="118">
        <f t="shared" si="10"/>
        <v>8</v>
      </c>
      <c r="AF243" s="120" t="str">
        <f t="shared" si="11"/>
        <v>Estable</v>
      </c>
    </row>
    <row r="244" spans="1:32" x14ac:dyDescent="0.2">
      <c r="A244" s="121">
        <v>651</v>
      </c>
      <c r="B244" s="122" t="s">
        <v>956</v>
      </c>
      <c r="C244" s="123" t="s">
        <v>429</v>
      </c>
      <c r="D244" s="123" t="s">
        <v>16</v>
      </c>
      <c r="E244" s="124" t="s">
        <v>276</v>
      </c>
      <c r="F244" s="124" t="s">
        <v>658</v>
      </c>
      <c r="G244" s="124" t="s">
        <v>1124</v>
      </c>
      <c r="H244" s="122" t="s">
        <v>8</v>
      </c>
      <c r="I244" s="123">
        <v>21.078914000000001</v>
      </c>
      <c r="J244" s="123">
        <v>-101.623811</v>
      </c>
      <c r="K244" s="122"/>
      <c r="L244" s="125" t="str">
        <f t="shared" si="9"/>
        <v>Ver en Google Maps</v>
      </c>
      <c r="M244" s="122">
        <v>1</v>
      </c>
      <c r="N244" s="130"/>
      <c r="O244" s="109"/>
      <c r="P244" s="109"/>
      <c r="Q244" s="109"/>
      <c r="R244" s="109"/>
      <c r="S244" s="109"/>
      <c r="T244" s="109"/>
      <c r="U244" s="109"/>
      <c r="V244" s="109"/>
      <c r="W244" s="109"/>
      <c r="X244" s="109"/>
      <c r="Y244" s="109"/>
      <c r="Z244" s="109"/>
      <c r="AA244" s="109"/>
      <c r="AB244" s="109"/>
      <c r="AC244" s="109"/>
      <c r="AD244" s="110"/>
      <c r="AE244" s="109"/>
      <c r="AF244" s="111"/>
    </row>
    <row r="245" spans="1:32" x14ac:dyDescent="0.2">
      <c r="A245" s="112">
        <v>652</v>
      </c>
      <c r="B245" s="113" t="s">
        <v>956</v>
      </c>
      <c r="C245" s="114" t="s">
        <v>429</v>
      </c>
      <c r="D245" s="114" t="s">
        <v>16</v>
      </c>
      <c r="E245" s="115" t="s">
        <v>277</v>
      </c>
      <c r="F245" s="115" t="s">
        <v>659</v>
      </c>
      <c r="G245" s="115" t="s">
        <v>1025</v>
      </c>
      <c r="H245" s="113" t="s">
        <v>8</v>
      </c>
      <c r="I245" s="114">
        <v>21.12322</v>
      </c>
      <c r="J245" s="114">
        <v>-101.63634</v>
      </c>
      <c r="K245" s="113" t="s">
        <v>139</v>
      </c>
      <c r="L245" s="116" t="str">
        <f t="shared" si="9"/>
        <v>Ver en Google Maps</v>
      </c>
      <c r="M245" s="113">
        <v>1</v>
      </c>
      <c r="N245" s="117">
        <v>45955</v>
      </c>
      <c r="O245" s="118">
        <f>DAY('BD2'!$N245)</f>
        <v>25</v>
      </c>
      <c r="P245" s="118">
        <f>MONTH('BD2'!$N245)</f>
        <v>10</v>
      </c>
      <c r="Q245" s="118">
        <f>YEAR('BD2'!$N245)</f>
        <v>2025</v>
      </c>
      <c r="R245" s="118">
        <v>2</v>
      </c>
      <c r="S245" s="118" t="s">
        <v>138</v>
      </c>
      <c r="T245" s="118" t="s">
        <v>138</v>
      </c>
      <c r="U245" s="118" t="s">
        <v>138</v>
      </c>
      <c r="V245" s="118" t="s">
        <v>138</v>
      </c>
      <c r="W245" s="118" t="s">
        <v>138</v>
      </c>
      <c r="X245" s="118" t="s">
        <v>138</v>
      </c>
      <c r="Y245" s="118" t="s">
        <v>138</v>
      </c>
      <c r="Z245" s="118" t="str">
        <f>IF('BD2'!$AA245 &lt; 14, "no", "si")</f>
        <v>no</v>
      </c>
      <c r="AA245" s="118">
        <v>2.02</v>
      </c>
      <c r="AB245" s="118">
        <v>3.5</v>
      </c>
      <c r="AC245" s="119" t="s">
        <v>967</v>
      </c>
      <c r="AD245" s="119" t="s">
        <v>954</v>
      </c>
      <c r="AE245" s="118">
        <f t="shared" si="10"/>
        <v>7</v>
      </c>
      <c r="AF245" s="120" t="str">
        <f t="shared" si="11"/>
        <v>Funcional con observaciones</v>
      </c>
    </row>
    <row r="246" spans="1:32" x14ac:dyDescent="0.2">
      <c r="A246" s="121">
        <v>653</v>
      </c>
      <c r="B246" s="122" t="s">
        <v>956</v>
      </c>
      <c r="C246" s="123" t="s">
        <v>429</v>
      </c>
      <c r="D246" s="123" t="s">
        <v>16</v>
      </c>
      <c r="E246" s="124" t="s">
        <v>278</v>
      </c>
      <c r="F246" s="124" t="s">
        <v>660</v>
      </c>
      <c r="G246" s="124" t="s">
        <v>991</v>
      </c>
      <c r="H246" s="122" t="s">
        <v>8</v>
      </c>
      <c r="I246" s="123">
        <v>21.107839999999999</v>
      </c>
      <c r="J246" s="123">
        <v>-101.65237</v>
      </c>
      <c r="K246" s="122" t="s">
        <v>139</v>
      </c>
      <c r="L246" s="125" t="str">
        <f t="shared" si="9"/>
        <v>Ver en Google Maps</v>
      </c>
      <c r="M246" s="122">
        <v>1</v>
      </c>
      <c r="N246" s="108">
        <v>45960</v>
      </c>
      <c r="O246" s="109">
        <f>DAY('BD2'!$N246)</f>
        <v>30</v>
      </c>
      <c r="P246" s="109">
        <f>MONTH('BD2'!$N246)</f>
        <v>10</v>
      </c>
      <c r="Q246" s="109">
        <f>YEAR('BD2'!$N246)</f>
        <v>2025</v>
      </c>
      <c r="R246" s="109">
        <v>2</v>
      </c>
      <c r="S246" s="109" t="s">
        <v>138</v>
      </c>
      <c r="T246" s="109" t="s">
        <v>138</v>
      </c>
      <c r="U246" s="109" t="s">
        <v>138</v>
      </c>
      <c r="V246" s="109" t="s">
        <v>138</v>
      </c>
      <c r="W246" s="109" t="s">
        <v>138</v>
      </c>
      <c r="X246" s="109" t="s">
        <v>138</v>
      </c>
      <c r="Y246" s="109" t="s">
        <v>138</v>
      </c>
      <c r="Z246" s="109" t="str">
        <f>IF('BD2'!$AA246 &lt; 14, "no", "si")</f>
        <v>si</v>
      </c>
      <c r="AA246" s="109">
        <v>71.3</v>
      </c>
      <c r="AB246" s="109">
        <v>46.1</v>
      </c>
      <c r="AC246" s="110" t="s">
        <v>967</v>
      </c>
      <c r="AD246" s="110" t="s">
        <v>954</v>
      </c>
      <c r="AE246" s="109">
        <f t="shared" si="10"/>
        <v>8</v>
      </c>
      <c r="AF246" s="111" t="str">
        <f t="shared" si="11"/>
        <v>Estable</v>
      </c>
    </row>
    <row r="247" spans="1:32" x14ac:dyDescent="0.2">
      <c r="A247" s="112">
        <v>654</v>
      </c>
      <c r="B247" s="113" t="s">
        <v>956</v>
      </c>
      <c r="C247" s="114" t="s">
        <v>429</v>
      </c>
      <c r="D247" s="114" t="s">
        <v>16</v>
      </c>
      <c r="E247" s="115" t="s">
        <v>279</v>
      </c>
      <c r="F247" s="115" t="s">
        <v>661</v>
      </c>
      <c r="G247" s="115" t="s">
        <v>1125</v>
      </c>
      <c r="H247" s="113" t="s">
        <v>8</v>
      </c>
      <c r="I247" s="114">
        <v>21.143291999999999</v>
      </c>
      <c r="J247" s="114">
        <v>-101.76866099999999</v>
      </c>
      <c r="K247" s="113"/>
      <c r="L247" s="116" t="str">
        <f t="shared" si="9"/>
        <v>Ver en Google Maps</v>
      </c>
      <c r="M247" s="113">
        <v>1</v>
      </c>
      <c r="N247" s="129"/>
      <c r="O247" s="118"/>
      <c r="P247" s="118"/>
      <c r="Q247" s="118"/>
      <c r="R247" s="118"/>
      <c r="S247" s="118"/>
      <c r="T247" s="118"/>
      <c r="U247" s="118"/>
      <c r="V247" s="118"/>
      <c r="W247" s="118"/>
      <c r="X247" s="118"/>
      <c r="Y247" s="118"/>
      <c r="Z247" s="118"/>
      <c r="AA247" s="118"/>
      <c r="AB247" s="118"/>
      <c r="AC247" s="118"/>
      <c r="AD247" s="119"/>
      <c r="AE247" s="118"/>
      <c r="AF247" s="120"/>
    </row>
    <row r="248" spans="1:32" x14ac:dyDescent="0.2">
      <c r="A248" s="121">
        <v>663</v>
      </c>
      <c r="B248" s="122" t="s">
        <v>956</v>
      </c>
      <c r="C248" s="123" t="s">
        <v>429</v>
      </c>
      <c r="D248" s="123" t="s">
        <v>16</v>
      </c>
      <c r="E248" s="124" t="s">
        <v>280</v>
      </c>
      <c r="F248" s="124" t="s">
        <v>662</v>
      </c>
      <c r="G248" s="124" t="s">
        <v>979</v>
      </c>
      <c r="H248" s="122" t="s">
        <v>8</v>
      </c>
      <c r="I248" s="123">
        <v>21.133967999999999</v>
      </c>
      <c r="J248" s="123">
        <v>-101.645752</v>
      </c>
      <c r="K248" s="122" t="s">
        <v>139</v>
      </c>
      <c r="L248" s="125" t="str">
        <f t="shared" si="9"/>
        <v>Ver en Google Maps</v>
      </c>
      <c r="M248" s="122">
        <v>1</v>
      </c>
      <c r="N248" s="108">
        <v>45955</v>
      </c>
      <c r="O248" s="109">
        <f>DAY('BD2'!$N248)</f>
        <v>25</v>
      </c>
      <c r="P248" s="109">
        <f>MONTH('BD2'!$N248)</f>
        <v>10</v>
      </c>
      <c r="Q248" s="109">
        <f>YEAR('BD2'!$N248)</f>
        <v>2025</v>
      </c>
      <c r="R248" s="109">
        <v>2</v>
      </c>
      <c r="S248" s="109" t="s">
        <v>138</v>
      </c>
      <c r="T248" s="109" t="s">
        <v>138</v>
      </c>
      <c r="U248" s="109" t="s">
        <v>138</v>
      </c>
      <c r="V248" s="109" t="s">
        <v>138</v>
      </c>
      <c r="W248" s="109" t="s">
        <v>138</v>
      </c>
      <c r="X248" s="109" t="s">
        <v>138</v>
      </c>
      <c r="Y248" s="109" t="s">
        <v>138</v>
      </c>
      <c r="Z248" s="109" t="str">
        <f>IF('BD2'!$AA248 &lt; 14, "no", "si")</f>
        <v>si</v>
      </c>
      <c r="AA248" s="109">
        <v>60.1</v>
      </c>
      <c r="AB248" s="109">
        <v>21.7</v>
      </c>
      <c r="AC248" s="110" t="s">
        <v>967</v>
      </c>
      <c r="AD248" s="110" t="s">
        <v>954</v>
      </c>
      <c r="AE248" s="109">
        <f t="shared" si="10"/>
        <v>8</v>
      </c>
      <c r="AF248" s="111" t="str">
        <f t="shared" si="11"/>
        <v>Estable</v>
      </c>
    </row>
    <row r="249" spans="1:32" x14ac:dyDescent="0.2">
      <c r="A249" s="112">
        <v>669</v>
      </c>
      <c r="B249" s="113" t="s">
        <v>956</v>
      </c>
      <c r="C249" s="114" t="s">
        <v>429</v>
      </c>
      <c r="D249" s="114" t="s">
        <v>16</v>
      </c>
      <c r="E249" s="115" t="s">
        <v>281</v>
      </c>
      <c r="F249" s="115" t="s">
        <v>663</v>
      </c>
      <c r="G249" s="115" t="s">
        <v>1126</v>
      </c>
      <c r="H249" s="113" t="s">
        <v>8</v>
      </c>
      <c r="I249" s="114">
        <v>21.06841</v>
      </c>
      <c r="J249" s="114">
        <v>-101.63016</v>
      </c>
      <c r="K249" s="113"/>
      <c r="L249" s="116" t="str">
        <f t="shared" si="9"/>
        <v>Ver en Google Maps</v>
      </c>
      <c r="M249" s="113">
        <v>1</v>
      </c>
      <c r="N249" s="129"/>
      <c r="O249" s="118"/>
      <c r="P249" s="118"/>
      <c r="Q249" s="118"/>
      <c r="R249" s="118"/>
      <c r="S249" s="118"/>
      <c r="T249" s="118"/>
      <c r="U249" s="118"/>
      <c r="V249" s="118"/>
      <c r="W249" s="118"/>
      <c r="X249" s="118"/>
      <c r="Y249" s="118"/>
      <c r="Z249" s="118"/>
      <c r="AA249" s="118"/>
      <c r="AB249" s="118"/>
      <c r="AC249" s="118"/>
      <c r="AD249" s="119"/>
      <c r="AE249" s="118"/>
      <c r="AF249" s="120"/>
    </row>
    <row r="250" spans="1:32" x14ac:dyDescent="0.2">
      <c r="A250" s="121">
        <v>670</v>
      </c>
      <c r="B250" s="122" t="s">
        <v>956</v>
      </c>
      <c r="C250" s="123" t="s">
        <v>429</v>
      </c>
      <c r="D250" s="123" t="s">
        <v>16</v>
      </c>
      <c r="E250" s="124" t="s">
        <v>282</v>
      </c>
      <c r="F250" s="124" t="s">
        <v>664</v>
      </c>
      <c r="G250" s="124" t="s">
        <v>128</v>
      </c>
      <c r="H250" s="122" t="s">
        <v>8</v>
      </c>
      <c r="I250" s="123">
        <v>21.112490000000001</v>
      </c>
      <c r="J250" s="123">
        <v>-101.62889</v>
      </c>
      <c r="K250" s="122" t="s">
        <v>139</v>
      </c>
      <c r="L250" s="125" t="str">
        <f t="shared" si="9"/>
        <v>Ver en Google Maps</v>
      </c>
      <c r="M250" s="122">
        <v>1</v>
      </c>
      <c r="N250" s="108">
        <v>45957</v>
      </c>
      <c r="O250" s="109">
        <f>DAY('BD2'!$N250)</f>
        <v>27</v>
      </c>
      <c r="P250" s="109">
        <f>MONTH('BD2'!$N250)</f>
        <v>10</v>
      </c>
      <c r="Q250" s="109">
        <f>YEAR('BD2'!$N250)</f>
        <v>2025</v>
      </c>
      <c r="R250" s="109">
        <v>2</v>
      </c>
      <c r="S250" s="109" t="s">
        <v>138</v>
      </c>
      <c r="T250" s="109" t="s">
        <v>138</v>
      </c>
      <c r="U250" s="109" t="s">
        <v>138</v>
      </c>
      <c r="V250" s="109" t="s">
        <v>138</v>
      </c>
      <c r="W250" s="109" t="s">
        <v>138</v>
      </c>
      <c r="X250" s="109" t="s">
        <v>138</v>
      </c>
      <c r="Y250" s="109" t="s">
        <v>138</v>
      </c>
      <c r="Z250" s="109" t="str">
        <f>IF('BD2'!$AA250 &lt; 14, "no", "si")</f>
        <v>si</v>
      </c>
      <c r="AA250" s="109">
        <v>70.3</v>
      </c>
      <c r="AB250" s="109">
        <v>54.3</v>
      </c>
      <c r="AC250" s="110" t="s">
        <v>967</v>
      </c>
      <c r="AD250" s="110" t="s">
        <v>954</v>
      </c>
      <c r="AE250" s="109">
        <f t="shared" si="10"/>
        <v>8</v>
      </c>
      <c r="AF250" s="111" t="str">
        <f t="shared" si="11"/>
        <v>Estable</v>
      </c>
    </row>
    <row r="251" spans="1:32" x14ac:dyDescent="0.2">
      <c r="A251" s="112">
        <v>671</v>
      </c>
      <c r="B251" s="113" t="s">
        <v>956</v>
      </c>
      <c r="C251" s="114" t="s">
        <v>429</v>
      </c>
      <c r="D251" s="114" t="s">
        <v>16</v>
      </c>
      <c r="E251" s="115" t="s">
        <v>283</v>
      </c>
      <c r="F251" s="115" t="s">
        <v>665</v>
      </c>
      <c r="G251" s="115" t="s">
        <v>1127</v>
      </c>
      <c r="H251" s="113" t="s">
        <v>8</v>
      </c>
      <c r="I251" s="114">
        <v>21.096520000000002</v>
      </c>
      <c r="J251" s="114">
        <v>-101.66588</v>
      </c>
      <c r="K251" s="113"/>
      <c r="L251" s="116" t="str">
        <f t="shared" si="9"/>
        <v>Ver en Google Maps</v>
      </c>
      <c r="M251" s="113">
        <v>1</v>
      </c>
      <c r="N251" s="129"/>
      <c r="O251" s="118"/>
      <c r="P251" s="118"/>
      <c r="Q251" s="118"/>
      <c r="R251" s="118"/>
      <c r="S251" s="118"/>
      <c r="T251" s="118"/>
      <c r="U251" s="118"/>
      <c r="V251" s="118"/>
      <c r="W251" s="118"/>
      <c r="X251" s="118"/>
      <c r="Y251" s="118"/>
      <c r="Z251" s="118"/>
      <c r="AA251" s="118"/>
      <c r="AB251" s="118"/>
      <c r="AC251" s="118"/>
      <c r="AD251" s="119"/>
      <c r="AE251" s="118"/>
      <c r="AF251" s="120"/>
    </row>
    <row r="252" spans="1:32" x14ac:dyDescent="0.2">
      <c r="A252" s="121">
        <v>674</v>
      </c>
      <c r="B252" s="122" t="s">
        <v>956</v>
      </c>
      <c r="C252" s="123" t="s">
        <v>429</v>
      </c>
      <c r="D252" s="123" t="s">
        <v>16</v>
      </c>
      <c r="E252" s="124" t="s">
        <v>284</v>
      </c>
      <c r="F252" s="124" t="s">
        <v>666</v>
      </c>
      <c r="G252" s="124" t="s">
        <v>1128</v>
      </c>
      <c r="H252" s="122" t="s">
        <v>8</v>
      </c>
      <c r="I252" s="123">
        <v>21.07368</v>
      </c>
      <c r="J252" s="123">
        <v>-101.63915</v>
      </c>
      <c r="K252" s="122"/>
      <c r="L252" s="125" t="str">
        <f t="shared" si="9"/>
        <v>Ver en Google Maps</v>
      </c>
      <c r="M252" s="122">
        <v>1</v>
      </c>
      <c r="N252" s="130"/>
      <c r="O252" s="109"/>
      <c r="P252" s="109"/>
      <c r="Q252" s="109"/>
      <c r="R252" s="109"/>
      <c r="S252" s="109"/>
      <c r="T252" s="109"/>
      <c r="U252" s="109"/>
      <c r="V252" s="109"/>
      <c r="W252" s="109"/>
      <c r="X252" s="109"/>
      <c r="Y252" s="109"/>
      <c r="Z252" s="109"/>
      <c r="AA252" s="109"/>
      <c r="AB252" s="109"/>
      <c r="AC252" s="109"/>
      <c r="AD252" s="110"/>
      <c r="AE252" s="109"/>
      <c r="AF252" s="111"/>
    </row>
    <row r="253" spans="1:32" x14ac:dyDescent="0.2">
      <c r="A253" s="112">
        <v>676</v>
      </c>
      <c r="B253" s="113" t="s">
        <v>956</v>
      </c>
      <c r="C253" s="114" t="s">
        <v>429</v>
      </c>
      <c r="D253" s="114" t="s">
        <v>16</v>
      </c>
      <c r="E253" s="115" t="s">
        <v>285</v>
      </c>
      <c r="F253" s="115" t="s">
        <v>667</v>
      </c>
      <c r="G253" s="115" t="s">
        <v>998</v>
      </c>
      <c r="H253" s="113" t="s">
        <v>8</v>
      </c>
      <c r="I253" s="114">
        <v>21.082820000000002</v>
      </c>
      <c r="J253" s="114">
        <v>-101.64009</v>
      </c>
      <c r="K253" s="113"/>
      <c r="L253" s="116" t="str">
        <f t="shared" si="9"/>
        <v>Ver en Google Maps</v>
      </c>
      <c r="M253" s="113">
        <v>1</v>
      </c>
      <c r="N253" s="129"/>
      <c r="O253" s="118"/>
      <c r="P253" s="118"/>
      <c r="Q253" s="118"/>
      <c r="R253" s="118"/>
      <c r="S253" s="118"/>
      <c r="T253" s="118"/>
      <c r="U253" s="118"/>
      <c r="V253" s="118"/>
      <c r="W253" s="118"/>
      <c r="X253" s="118"/>
      <c r="Y253" s="118"/>
      <c r="Z253" s="118"/>
      <c r="AA253" s="118"/>
      <c r="AB253" s="118"/>
      <c r="AC253" s="118"/>
      <c r="AD253" s="119"/>
      <c r="AE253" s="118"/>
      <c r="AF253" s="120"/>
    </row>
    <row r="254" spans="1:32" x14ac:dyDescent="0.2">
      <c r="A254" s="121">
        <v>679</v>
      </c>
      <c r="B254" s="122" t="s">
        <v>956</v>
      </c>
      <c r="C254" s="123" t="s">
        <v>429</v>
      </c>
      <c r="D254" s="123" t="s">
        <v>16</v>
      </c>
      <c r="E254" s="124" t="s">
        <v>286</v>
      </c>
      <c r="F254" s="124" t="s">
        <v>668</v>
      </c>
      <c r="G254" s="124" t="s">
        <v>1129</v>
      </c>
      <c r="H254" s="122" t="s">
        <v>8</v>
      </c>
      <c r="I254" s="123">
        <v>21.141580000000001</v>
      </c>
      <c r="J254" s="123">
        <v>-101.63746999999999</v>
      </c>
      <c r="K254" s="122" t="s">
        <v>139</v>
      </c>
      <c r="L254" s="125" t="str">
        <f t="shared" si="9"/>
        <v>Ver en Google Maps</v>
      </c>
      <c r="M254" s="122">
        <v>1</v>
      </c>
      <c r="N254" s="108">
        <v>45957</v>
      </c>
      <c r="O254" s="109">
        <f>DAY('BD2'!$N254)</f>
        <v>27</v>
      </c>
      <c r="P254" s="109">
        <f>MONTH('BD2'!$N254)</f>
        <v>10</v>
      </c>
      <c r="Q254" s="109">
        <f>YEAR('BD2'!$N254)</f>
        <v>2025</v>
      </c>
      <c r="R254" s="109">
        <v>2</v>
      </c>
      <c r="S254" s="109" t="s">
        <v>138</v>
      </c>
      <c r="T254" s="109" t="s">
        <v>138</v>
      </c>
      <c r="U254" s="109" t="s">
        <v>138</v>
      </c>
      <c r="V254" s="109" t="s">
        <v>934</v>
      </c>
      <c r="W254" s="109" t="s">
        <v>138</v>
      </c>
      <c r="X254" s="109" t="s">
        <v>138</v>
      </c>
      <c r="Y254" s="109" t="s">
        <v>138</v>
      </c>
      <c r="Z254" s="109" t="str">
        <f>IF('BD2'!$AA254 &lt; 14, "no", "si")</f>
        <v>no</v>
      </c>
      <c r="AA254" s="109">
        <v>12.8</v>
      </c>
      <c r="AB254" s="109">
        <v>5.19</v>
      </c>
      <c r="AC254" s="110" t="s">
        <v>3102</v>
      </c>
      <c r="AD254" s="110" t="s">
        <v>954</v>
      </c>
      <c r="AE254" s="109">
        <f t="shared" si="10"/>
        <v>6</v>
      </c>
      <c r="AF254" s="111" t="str">
        <f t="shared" si="11"/>
        <v>Funcional con observaciones</v>
      </c>
    </row>
    <row r="255" spans="1:32" x14ac:dyDescent="0.2">
      <c r="A255" s="112">
        <v>681</v>
      </c>
      <c r="B255" s="113" t="s">
        <v>956</v>
      </c>
      <c r="C255" s="114" t="s">
        <v>429</v>
      </c>
      <c r="D255" s="114" t="s">
        <v>16</v>
      </c>
      <c r="E255" s="115" t="s">
        <v>287</v>
      </c>
      <c r="F255" s="115" t="s">
        <v>669</v>
      </c>
      <c r="G255" s="115" t="s">
        <v>1130</v>
      </c>
      <c r="H255" s="113" t="s">
        <v>8</v>
      </c>
      <c r="I255" s="114">
        <v>21.092469999999999</v>
      </c>
      <c r="J255" s="114">
        <v>-101.60664</v>
      </c>
      <c r="K255" s="113"/>
      <c r="L255" s="116" t="str">
        <f t="shared" si="9"/>
        <v>Ver en Google Maps</v>
      </c>
      <c r="M255" s="113">
        <v>1</v>
      </c>
      <c r="N255" s="129"/>
      <c r="O255" s="118"/>
      <c r="P255" s="118"/>
      <c r="Q255" s="118"/>
      <c r="R255" s="118"/>
      <c r="S255" s="118"/>
      <c r="T255" s="118"/>
      <c r="U255" s="118"/>
      <c r="V255" s="118"/>
      <c r="W255" s="118"/>
      <c r="X255" s="118"/>
      <c r="Y255" s="118"/>
      <c r="Z255" s="118"/>
      <c r="AA255" s="118"/>
      <c r="AB255" s="118"/>
      <c r="AC255" s="118"/>
      <c r="AD255" s="119"/>
      <c r="AE255" s="118"/>
      <c r="AF255" s="120"/>
    </row>
    <row r="256" spans="1:32" x14ac:dyDescent="0.2">
      <c r="A256" s="121">
        <v>682</v>
      </c>
      <c r="B256" s="122" t="s">
        <v>956</v>
      </c>
      <c r="C256" s="123" t="s">
        <v>429</v>
      </c>
      <c r="D256" s="123" t="s">
        <v>16</v>
      </c>
      <c r="E256" s="124" t="s">
        <v>288</v>
      </c>
      <c r="F256" s="124" t="s">
        <v>670</v>
      </c>
      <c r="G256" s="124" t="s">
        <v>1010</v>
      </c>
      <c r="H256" s="122" t="s">
        <v>8</v>
      </c>
      <c r="I256" s="123">
        <v>21.10689</v>
      </c>
      <c r="J256" s="123">
        <v>-101.70654</v>
      </c>
      <c r="K256" s="122"/>
      <c r="L256" s="125" t="str">
        <f t="shared" si="9"/>
        <v>Ver en Google Maps</v>
      </c>
      <c r="M256" s="122">
        <v>1</v>
      </c>
      <c r="N256" s="130"/>
      <c r="O256" s="109"/>
      <c r="P256" s="109"/>
      <c r="Q256" s="109"/>
      <c r="R256" s="109"/>
      <c r="S256" s="109"/>
      <c r="T256" s="109"/>
      <c r="U256" s="109"/>
      <c r="V256" s="109"/>
      <c r="W256" s="109"/>
      <c r="X256" s="109"/>
      <c r="Y256" s="109"/>
      <c r="Z256" s="109"/>
      <c r="AA256" s="109"/>
      <c r="AB256" s="109"/>
      <c r="AC256" s="109"/>
      <c r="AD256" s="110"/>
      <c r="AE256" s="109"/>
      <c r="AF256" s="111"/>
    </row>
    <row r="257" spans="1:32" x14ac:dyDescent="0.2">
      <c r="A257" s="112">
        <v>684</v>
      </c>
      <c r="B257" s="113" t="s">
        <v>956</v>
      </c>
      <c r="C257" s="114" t="s">
        <v>429</v>
      </c>
      <c r="D257" s="114" t="s">
        <v>16</v>
      </c>
      <c r="E257" s="115" t="s">
        <v>289</v>
      </c>
      <c r="F257" s="115" t="s">
        <v>671</v>
      </c>
      <c r="G257" s="115" t="s">
        <v>1131</v>
      </c>
      <c r="H257" s="113" t="s">
        <v>8</v>
      </c>
      <c r="I257" s="114">
        <v>21.140219999999999</v>
      </c>
      <c r="J257" s="114">
        <v>-101.62777</v>
      </c>
      <c r="K257" s="113"/>
      <c r="L257" s="116" t="str">
        <f t="shared" si="9"/>
        <v>Ver en Google Maps</v>
      </c>
      <c r="M257" s="113">
        <v>1</v>
      </c>
      <c r="N257" s="129"/>
      <c r="O257" s="118"/>
      <c r="P257" s="118"/>
      <c r="Q257" s="118"/>
      <c r="R257" s="118"/>
      <c r="S257" s="118"/>
      <c r="T257" s="118"/>
      <c r="U257" s="118"/>
      <c r="V257" s="118"/>
      <c r="W257" s="118"/>
      <c r="X257" s="118"/>
      <c r="Y257" s="118"/>
      <c r="Z257" s="118"/>
      <c r="AA257" s="118"/>
      <c r="AB257" s="118"/>
      <c r="AC257" s="118"/>
      <c r="AD257" s="119"/>
      <c r="AE257" s="118"/>
      <c r="AF257" s="120"/>
    </row>
    <row r="258" spans="1:32" x14ac:dyDescent="0.2">
      <c r="A258" s="121">
        <v>685</v>
      </c>
      <c r="B258" s="122" t="s">
        <v>956</v>
      </c>
      <c r="C258" s="123" t="s">
        <v>429</v>
      </c>
      <c r="D258" s="123" t="s">
        <v>16</v>
      </c>
      <c r="E258" s="124" t="s">
        <v>290</v>
      </c>
      <c r="F258" s="124" t="s">
        <v>672</v>
      </c>
      <c r="G258" s="124" t="s">
        <v>1132</v>
      </c>
      <c r="H258" s="122" t="s">
        <v>8</v>
      </c>
      <c r="I258" s="123">
        <v>21.122070000000001</v>
      </c>
      <c r="J258" s="123">
        <v>-101.7154</v>
      </c>
      <c r="K258" s="122" t="s">
        <v>139</v>
      </c>
      <c r="L258" s="125" t="str">
        <f t="shared" si="9"/>
        <v>Ver en Google Maps</v>
      </c>
      <c r="M258" s="122">
        <v>1</v>
      </c>
      <c r="N258" s="108">
        <v>45964</v>
      </c>
      <c r="O258" s="109">
        <f>DAY('BD2'!$N258)</f>
        <v>3</v>
      </c>
      <c r="P258" s="109">
        <f>MONTH('BD2'!$N258)</f>
        <v>11</v>
      </c>
      <c r="Q258" s="109">
        <f>YEAR('BD2'!$N258)</f>
        <v>2025</v>
      </c>
      <c r="R258" s="109">
        <v>2</v>
      </c>
      <c r="S258" s="109" t="s">
        <v>138</v>
      </c>
      <c r="T258" s="109" t="s">
        <v>138</v>
      </c>
      <c r="U258" s="109" t="s">
        <v>138</v>
      </c>
      <c r="V258" s="109" t="s">
        <v>138</v>
      </c>
      <c r="W258" s="109" t="s">
        <v>138</v>
      </c>
      <c r="X258" s="109" t="s">
        <v>138</v>
      </c>
      <c r="Y258" s="109" t="s">
        <v>138</v>
      </c>
      <c r="Z258" s="109" t="str">
        <f>IF('BD2'!$AA258 &lt; 14, "no", "si")</f>
        <v>si</v>
      </c>
      <c r="AA258" s="109">
        <v>14.3</v>
      </c>
      <c r="AB258" s="109">
        <v>3.1</v>
      </c>
      <c r="AC258" s="110" t="s">
        <v>967</v>
      </c>
      <c r="AD258" s="110" t="s">
        <v>954</v>
      </c>
      <c r="AE258" s="109">
        <f t="shared" si="10"/>
        <v>8</v>
      </c>
      <c r="AF258" s="111" t="str">
        <f t="shared" si="11"/>
        <v>Estable</v>
      </c>
    </row>
    <row r="259" spans="1:32" x14ac:dyDescent="0.2">
      <c r="A259" s="112">
        <v>687</v>
      </c>
      <c r="B259" s="113" t="s">
        <v>956</v>
      </c>
      <c r="C259" s="114" t="s">
        <v>429</v>
      </c>
      <c r="D259" s="114" t="s">
        <v>15</v>
      </c>
      <c r="E259" s="115" t="s">
        <v>291</v>
      </c>
      <c r="F259" s="115" t="s">
        <v>673</v>
      </c>
      <c r="G259" s="115" t="s">
        <v>1133</v>
      </c>
      <c r="H259" s="113" t="s">
        <v>8</v>
      </c>
      <c r="I259" s="114">
        <v>21.149339000000001</v>
      </c>
      <c r="J259" s="114">
        <v>-101.76135499999999</v>
      </c>
      <c r="K259" s="113"/>
      <c r="L259" s="116" t="str">
        <f t="shared" ref="L259:L322" si="12">HYPERLINK("https://www.google.com/maps?q=" &amp; I259 &amp; "," &amp; J259, "Ver en Google Maps")</f>
        <v>Ver en Google Maps</v>
      </c>
      <c r="M259" s="113">
        <v>2</v>
      </c>
      <c r="N259" s="129"/>
      <c r="O259" s="118"/>
      <c r="P259" s="118"/>
      <c r="Q259" s="118"/>
      <c r="R259" s="118"/>
      <c r="S259" s="118"/>
      <c r="T259" s="118"/>
      <c r="U259" s="118"/>
      <c r="V259" s="118"/>
      <c r="W259" s="118"/>
      <c r="X259" s="118"/>
      <c r="Y259" s="118"/>
      <c r="Z259" s="118"/>
      <c r="AA259" s="118"/>
      <c r="AB259" s="118"/>
      <c r="AC259" s="118"/>
      <c r="AD259" s="119"/>
      <c r="AE259" s="118"/>
      <c r="AF259" s="120"/>
    </row>
    <row r="260" spans="1:32" x14ac:dyDescent="0.2">
      <c r="A260" s="121">
        <v>688</v>
      </c>
      <c r="B260" s="122" t="s">
        <v>956</v>
      </c>
      <c r="C260" s="123" t="s">
        <v>429</v>
      </c>
      <c r="D260" s="123" t="s">
        <v>15</v>
      </c>
      <c r="E260" s="124" t="s">
        <v>292</v>
      </c>
      <c r="F260" s="124" t="s">
        <v>674</v>
      </c>
      <c r="G260" s="124" t="s">
        <v>1134</v>
      </c>
      <c r="H260" s="122" t="s">
        <v>8</v>
      </c>
      <c r="I260" s="123">
        <v>21.153666000000001</v>
      </c>
      <c r="J260" s="123">
        <v>-101.73706</v>
      </c>
      <c r="K260" s="122"/>
      <c r="L260" s="125" t="str">
        <f t="shared" si="12"/>
        <v>Ver en Google Maps</v>
      </c>
      <c r="M260" s="122">
        <v>2</v>
      </c>
      <c r="N260" s="130"/>
      <c r="O260" s="109"/>
      <c r="P260" s="109"/>
      <c r="Q260" s="109"/>
      <c r="R260" s="109"/>
      <c r="S260" s="109"/>
      <c r="T260" s="109"/>
      <c r="U260" s="109"/>
      <c r="V260" s="109"/>
      <c r="W260" s="109"/>
      <c r="X260" s="109"/>
      <c r="Y260" s="109"/>
      <c r="Z260" s="109"/>
      <c r="AA260" s="109"/>
      <c r="AB260" s="109"/>
      <c r="AC260" s="109"/>
      <c r="AD260" s="110"/>
      <c r="AE260" s="109"/>
      <c r="AF260" s="111"/>
    </row>
    <row r="261" spans="1:32" x14ac:dyDescent="0.2">
      <c r="A261" s="112">
        <v>691</v>
      </c>
      <c r="B261" s="113" t="s">
        <v>956</v>
      </c>
      <c r="C261" s="114" t="s">
        <v>429</v>
      </c>
      <c r="D261" s="114" t="s">
        <v>17</v>
      </c>
      <c r="E261" s="115" t="s">
        <v>293</v>
      </c>
      <c r="F261" s="115" t="s">
        <v>675</v>
      </c>
      <c r="G261" s="115" t="s">
        <v>1135</v>
      </c>
      <c r="H261" s="113" t="s">
        <v>8</v>
      </c>
      <c r="I261" s="114">
        <v>21.136275999999999</v>
      </c>
      <c r="J261" s="114">
        <v>-101.72581099999999</v>
      </c>
      <c r="K261" s="113"/>
      <c r="L261" s="116" t="str">
        <f t="shared" si="12"/>
        <v>Ver en Google Maps</v>
      </c>
      <c r="M261" s="113">
        <v>1</v>
      </c>
      <c r="N261" s="129"/>
      <c r="O261" s="118"/>
      <c r="P261" s="118"/>
      <c r="Q261" s="118"/>
      <c r="R261" s="118"/>
      <c r="S261" s="118"/>
      <c r="T261" s="118"/>
      <c r="U261" s="118"/>
      <c r="V261" s="118"/>
      <c r="W261" s="118"/>
      <c r="X261" s="118"/>
      <c r="Y261" s="118"/>
      <c r="Z261" s="118"/>
      <c r="AA261" s="118"/>
      <c r="AB261" s="118"/>
      <c r="AC261" s="118"/>
      <c r="AD261" s="119"/>
      <c r="AE261" s="118"/>
      <c r="AF261" s="120"/>
    </row>
    <row r="262" spans="1:32" x14ac:dyDescent="0.2">
      <c r="A262" s="121">
        <v>692</v>
      </c>
      <c r="B262" s="122" t="s">
        <v>956</v>
      </c>
      <c r="C262" s="123" t="s">
        <v>429</v>
      </c>
      <c r="D262" s="123" t="s">
        <v>17</v>
      </c>
      <c r="E262" s="124" t="s">
        <v>294</v>
      </c>
      <c r="F262" s="124" t="s">
        <v>676</v>
      </c>
      <c r="G262" s="124" t="s">
        <v>1097</v>
      </c>
      <c r="H262" s="122" t="s">
        <v>8</v>
      </c>
      <c r="I262" s="123">
        <v>21.070143000000002</v>
      </c>
      <c r="J262" s="123">
        <v>-101.605958</v>
      </c>
      <c r="K262" s="122"/>
      <c r="L262" s="125" t="str">
        <f t="shared" si="12"/>
        <v>Ver en Google Maps</v>
      </c>
      <c r="M262" s="122">
        <v>1</v>
      </c>
      <c r="N262" s="130"/>
      <c r="O262" s="109"/>
      <c r="P262" s="109"/>
      <c r="Q262" s="109"/>
      <c r="R262" s="109"/>
      <c r="S262" s="109"/>
      <c r="T262" s="109"/>
      <c r="U262" s="109"/>
      <c r="V262" s="109"/>
      <c r="W262" s="109"/>
      <c r="X262" s="109"/>
      <c r="Y262" s="109"/>
      <c r="Z262" s="109"/>
      <c r="AA262" s="109"/>
      <c r="AB262" s="109"/>
      <c r="AC262" s="109"/>
      <c r="AD262" s="110"/>
      <c r="AE262" s="109"/>
      <c r="AF262" s="111"/>
    </row>
    <row r="263" spans="1:32" x14ac:dyDescent="0.2">
      <c r="A263" s="112">
        <v>695</v>
      </c>
      <c r="B263" s="113" t="s">
        <v>956</v>
      </c>
      <c r="C263" s="114" t="s">
        <v>429</v>
      </c>
      <c r="D263" s="114" t="s">
        <v>16</v>
      </c>
      <c r="E263" s="115" t="s">
        <v>295</v>
      </c>
      <c r="F263" s="115" t="s">
        <v>677</v>
      </c>
      <c r="G263" s="115" t="s">
        <v>1037</v>
      </c>
      <c r="H263" s="113" t="s">
        <v>8</v>
      </c>
      <c r="I263" s="114">
        <v>21.152899999999999</v>
      </c>
      <c r="J263" s="114">
        <v>-101.75817000000001</v>
      </c>
      <c r="K263" s="113" t="s">
        <v>139</v>
      </c>
      <c r="L263" s="116" t="str">
        <f t="shared" si="12"/>
        <v>Ver en Google Maps</v>
      </c>
      <c r="M263" s="113">
        <v>1</v>
      </c>
      <c r="N263" s="117">
        <v>45960</v>
      </c>
      <c r="O263" s="118">
        <f>DAY('BD2'!$N263)</f>
        <v>30</v>
      </c>
      <c r="P263" s="118">
        <f>MONTH('BD2'!$N263)</f>
        <v>10</v>
      </c>
      <c r="Q263" s="118">
        <f>YEAR('BD2'!$N263)</f>
        <v>2025</v>
      </c>
      <c r="R263" s="118">
        <v>1</v>
      </c>
      <c r="S263" s="118" t="s">
        <v>138</v>
      </c>
      <c r="T263" s="118" t="s">
        <v>138</v>
      </c>
      <c r="U263" s="118" t="s">
        <v>138</v>
      </c>
      <c r="V263" s="118" t="s">
        <v>138</v>
      </c>
      <c r="W263" s="118" t="s">
        <v>138</v>
      </c>
      <c r="X263" s="118" t="s">
        <v>138</v>
      </c>
      <c r="Y263" s="118" t="s">
        <v>138</v>
      </c>
      <c r="Z263" s="118" t="str">
        <f>IF('BD2'!$AA263 &lt; 14, "no", "si")</f>
        <v>no</v>
      </c>
      <c r="AA263" s="118">
        <v>7.38</v>
      </c>
      <c r="AB263" s="118">
        <v>71.599999999999994</v>
      </c>
      <c r="AC263" s="119" t="s">
        <v>967</v>
      </c>
      <c r="AD263" s="119" t="s">
        <v>954</v>
      </c>
      <c r="AE263" s="118">
        <f t="shared" ref="AE263" si="13">COUNTIF(S263:Z263, "si")</f>
        <v>7</v>
      </c>
      <c r="AF263" s="120" t="str">
        <f t="shared" ref="AF260:AF323" si="14">IF(AE263=8,"Estable",(IF(AE263=7,"Funcional con observaciones", (IF(AE263=6,"Funcional con observaciones",(IF(AE263=5,"Rendimiento bajo",(IF(AE263=4,"Parcialmente funcional",(IF(AE263=3,"Parcialmente funcional",(IF(AE263=2,"Inoperativo",(IF(AE263=1,"Inoperativo","Crítico")))))))))))))))</f>
        <v>Funcional con observaciones</v>
      </c>
    </row>
    <row r="264" spans="1:32" x14ac:dyDescent="0.2">
      <c r="A264" s="121">
        <v>696</v>
      </c>
      <c r="B264" s="122" t="s">
        <v>956</v>
      </c>
      <c r="C264" s="123" t="s">
        <v>429</v>
      </c>
      <c r="D264" s="123" t="s">
        <v>16</v>
      </c>
      <c r="E264" s="124" t="s">
        <v>296</v>
      </c>
      <c r="F264" s="124" t="s">
        <v>678</v>
      </c>
      <c r="G264" s="124" t="s">
        <v>980</v>
      </c>
      <c r="H264" s="122" t="s">
        <v>8</v>
      </c>
      <c r="I264" s="123">
        <v>21.127970000000001</v>
      </c>
      <c r="J264" s="123">
        <v>-101.74544</v>
      </c>
      <c r="K264" s="122"/>
      <c r="L264" s="125" t="str">
        <f t="shared" si="12"/>
        <v>Ver en Google Maps</v>
      </c>
      <c r="M264" s="122">
        <v>1</v>
      </c>
      <c r="N264" s="130"/>
      <c r="O264" s="109"/>
      <c r="P264" s="109"/>
      <c r="Q264" s="109"/>
      <c r="R264" s="109"/>
      <c r="S264" s="109"/>
      <c r="T264" s="109"/>
      <c r="U264" s="109"/>
      <c r="V264" s="109"/>
      <c r="W264" s="109"/>
      <c r="X264" s="109"/>
      <c r="Y264" s="109"/>
      <c r="Z264" s="109"/>
      <c r="AA264" s="109"/>
      <c r="AB264" s="109"/>
      <c r="AC264" s="109"/>
      <c r="AD264" s="110"/>
      <c r="AE264" s="109"/>
      <c r="AF264" s="111"/>
    </row>
    <row r="265" spans="1:32" x14ac:dyDescent="0.2">
      <c r="A265" s="112">
        <v>697</v>
      </c>
      <c r="B265" s="113" t="s">
        <v>956</v>
      </c>
      <c r="C265" s="114" t="s">
        <v>429</v>
      </c>
      <c r="D265" s="114" t="s">
        <v>16</v>
      </c>
      <c r="E265" s="115" t="s">
        <v>297</v>
      </c>
      <c r="F265" s="115" t="s">
        <v>679</v>
      </c>
      <c r="G265" s="115" t="s">
        <v>1136</v>
      </c>
      <c r="H265" s="113" t="s">
        <v>8</v>
      </c>
      <c r="I265" s="114">
        <v>21.1477</v>
      </c>
      <c r="J265" s="114">
        <v>-101.73116</v>
      </c>
      <c r="K265" s="113"/>
      <c r="L265" s="116" t="str">
        <f t="shared" si="12"/>
        <v>Ver en Google Maps</v>
      </c>
      <c r="M265" s="113">
        <v>1</v>
      </c>
      <c r="N265" s="129"/>
      <c r="O265" s="118"/>
      <c r="P265" s="118"/>
      <c r="Q265" s="118"/>
      <c r="R265" s="118"/>
      <c r="S265" s="118"/>
      <c r="T265" s="118"/>
      <c r="U265" s="118"/>
      <c r="V265" s="118"/>
      <c r="W265" s="118"/>
      <c r="X265" s="118"/>
      <c r="Y265" s="118"/>
      <c r="Z265" s="118"/>
      <c r="AA265" s="118"/>
      <c r="AB265" s="118"/>
      <c r="AC265" s="118"/>
      <c r="AD265" s="119"/>
      <c r="AE265" s="118"/>
      <c r="AF265" s="120"/>
    </row>
    <row r="266" spans="1:32" x14ac:dyDescent="0.2">
      <c r="A266" s="121">
        <v>698</v>
      </c>
      <c r="B266" s="122" t="s">
        <v>956</v>
      </c>
      <c r="C266" s="123" t="s">
        <v>429</v>
      </c>
      <c r="D266" s="123" t="s">
        <v>17</v>
      </c>
      <c r="E266" s="124" t="s">
        <v>298</v>
      </c>
      <c r="F266" s="124" t="s">
        <v>680</v>
      </c>
      <c r="G266" s="124" t="s">
        <v>1137</v>
      </c>
      <c r="H266" s="122" t="s">
        <v>8</v>
      </c>
      <c r="I266" s="123">
        <v>21.16658</v>
      </c>
      <c r="J266" s="123">
        <v>-101.75558700000001</v>
      </c>
      <c r="K266" s="122"/>
      <c r="L266" s="125" t="str">
        <f t="shared" si="12"/>
        <v>Ver en Google Maps</v>
      </c>
      <c r="M266" s="122">
        <v>1</v>
      </c>
      <c r="N266" s="130"/>
      <c r="O266" s="109"/>
      <c r="P266" s="109"/>
      <c r="Q266" s="109"/>
      <c r="R266" s="109"/>
      <c r="S266" s="109"/>
      <c r="T266" s="109"/>
      <c r="U266" s="109"/>
      <c r="V266" s="109"/>
      <c r="W266" s="109"/>
      <c r="X266" s="109"/>
      <c r="Y266" s="109"/>
      <c r="Z266" s="109"/>
      <c r="AA266" s="109"/>
      <c r="AB266" s="109"/>
      <c r="AC266" s="109"/>
      <c r="AD266" s="110"/>
      <c r="AE266" s="109"/>
      <c r="AF266" s="111"/>
    </row>
    <row r="267" spans="1:32" x14ac:dyDescent="0.2">
      <c r="A267" s="112">
        <v>700</v>
      </c>
      <c r="B267" s="113" t="s">
        <v>956</v>
      </c>
      <c r="C267" s="114" t="s">
        <v>429</v>
      </c>
      <c r="D267" s="114" t="s">
        <v>16</v>
      </c>
      <c r="E267" s="115" t="s">
        <v>299</v>
      </c>
      <c r="F267" s="115" t="s">
        <v>681</v>
      </c>
      <c r="G267" s="115" t="s">
        <v>300</v>
      </c>
      <c r="H267" s="113" t="s">
        <v>8</v>
      </c>
      <c r="I267" s="114">
        <v>21.0946</v>
      </c>
      <c r="J267" s="114">
        <v>-101.576245</v>
      </c>
      <c r="K267" s="113"/>
      <c r="L267" s="116" t="str">
        <f t="shared" si="12"/>
        <v>Ver en Google Maps</v>
      </c>
      <c r="M267" s="113">
        <v>1</v>
      </c>
      <c r="N267" s="129"/>
      <c r="O267" s="118"/>
      <c r="P267" s="118"/>
      <c r="Q267" s="118"/>
      <c r="R267" s="118"/>
      <c r="S267" s="118"/>
      <c r="T267" s="118"/>
      <c r="U267" s="118"/>
      <c r="V267" s="118"/>
      <c r="W267" s="118"/>
      <c r="X267" s="118"/>
      <c r="Y267" s="118"/>
      <c r="Z267" s="118"/>
      <c r="AA267" s="118"/>
      <c r="AB267" s="118"/>
      <c r="AC267" s="118"/>
      <c r="AD267" s="119"/>
      <c r="AE267" s="118"/>
      <c r="AF267" s="120"/>
    </row>
    <row r="268" spans="1:32" x14ac:dyDescent="0.2">
      <c r="A268" s="121">
        <v>704</v>
      </c>
      <c r="B268" s="122" t="s">
        <v>956</v>
      </c>
      <c r="C268" s="123" t="s">
        <v>429</v>
      </c>
      <c r="D268" s="123" t="s">
        <v>15</v>
      </c>
      <c r="E268" s="124" t="s">
        <v>301</v>
      </c>
      <c r="F268" s="124" t="s">
        <v>682</v>
      </c>
      <c r="G268" s="124" t="s">
        <v>1138</v>
      </c>
      <c r="H268" s="122" t="s">
        <v>8</v>
      </c>
      <c r="I268" s="123">
        <v>21.094339999999999</v>
      </c>
      <c r="J268" s="123">
        <v>-101.65891000000001</v>
      </c>
      <c r="K268" s="122"/>
      <c r="L268" s="125" t="str">
        <f t="shared" si="12"/>
        <v>Ver en Google Maps</v>
      </c>
      <c r="M268" s="122">
        <v>2</v>
      </c>
      <c r="N268" s="130"/>
      <c r="O268" s="109"/>
      <c r="P268" s="109"/>
      <c r="Q268" s="109"/>
      <c r="R268" s="109"/>
      <c r="S268" s="109"/>
      <c r="T268" s="109"/>
      <c r="U268" s="109"/>
      <c r="V268" s="109"/>
      <c r="W268" s="109"/>
      <c r="X268" s="109"/>
      <c r="Y268" s="109"/>
      <c r="Z268" s="109"/>
      <c r="AA268" s="109"/>
      <c r="AB268" s="109"/>
      <c r="AC268" s="109"/>
      <c r="AD268" s="110"/>
      <c r="AE268" s="109"/>
      <c r="AF268" s="111"/>
    </row>
    <row r="269" spans="1:32" x14ac:dyDescent="0.2">
      <c r="A269" s="112">
        <v>705</v>
      </c>
      <c r="B269" s="113" t="s">
        <v>956</v>
      </c>
      <c r="C269" s="114" t="s">
        <v>429</v>
      </c>
      <c r="D269" s="114" t="s">
        <v>15</v>
      </c>
      <c r="E269" s="115" t="s">
        <v>302</v>
      </c>
      <c r="F269" s="115" t="s">
        <v>683</v>
      </c>
      <c r="G269" s="115" t="s">
        <v>975</v>
      </c>
      <c r="H269" s="113" t="s">
        <v>8</v>
      </c>
      <c r="I269" s="114">
        <v>21.128640000000001</v>
      </c>
      <c r="J269" s="114">
        <v>-101.67519</v>
      </c>
      <c r="K269" s="113" t="s">
        <v>139</v>
      </c>
      <c r="L269" s="116" t="str">
        <f t="shared" si="12"/>
        <v>Ver en Google Maps</v>
      </c>
      <c r="M269" s="113">
        <v>2</v>
      </c>
      <c r="N269" s="117">
        <v>45954</v>
      </c>
      <c r="O269" s="118">
        <f>DAY('BD2'!$N269)</f>
        <v>24</v>
      </c>
      <c r="P269" s="118">
        <f>MONTH('BD2'!$N269)</f>
        <v>10</v>
      </c>
      <c r="Q269" s="118">
        <f>YEAR('BD2'!$N269)</f>
        <v>2025</v>
      </c>
      <c r="R269" s="118">
        <v>2</v>
      </c>
      <c r="S269" s="118" t="s">
        <v>138</v>
      </c>
      <c r="T269" s="118" t="s">
        <v>138</v>
      </c>
      <c r="U269" s="118" t="s">
        <v>138</v>
      </c>
      <c r="V269" s="118" t="s">
        <v>138</v>
      </c>
      <c r="W269" s="118" t="s">
        <v>138</v>
      </c>
      <c r="X269" s="118" t="s">
        <v>138</v>
      </c>
      <c r="Y269" s="118" t="s">
        <v>138</v>
      </c>
      <c r="Z269" s="118" t="str">
        <f>IF('BD2'!$AA269 &lt; 14, "no", "si")</f>
        <v>no</v>
      </c>
      <c r="AA269" s="118">
        <v>0</v>
      </c>
      <c r="AB269" s="118">
        <v>0</v>
      </c>
      <c r="AC269" s="119" t="s">
        <v>3079</v>
      </c>
      <c r="AD269" s="119" t="s">
        <v>957</v>
      </c>
      <c r="AE269" s="118">
        <f t="shared" ref="AE269:AE319" si="15">COUNTIF(S269:Z269, "si")</f>
        <v>7</v>
      </c>
      <c r="AF269" s="120" t="str">
        <f t="shared" si="14"/>
        <v>Funcional con observaciones</v>
      </c>
    </row>
    <row r="270" spans="1:32" x14ac:dyDescent="0.2">
      <c r="A270" s="121">
        <v>706</v>
      </c>
      <c r="B270" s="122" t="s">
        <v>956</v>
      </c>
      <c r="C270" s="123" t="s">
        <v>429</v>
      </c>
      <c r="D270" s="123" t="s">
        <v>15</v>
      </c>
      <c r="E270" s="124" t="s">
        <v>303</v>
      </c>
      <c r="F270" s="124" t="s">
        <v>684</v>
      </c>
      <c r="G270" s="124" t="s">
        <v>1139</v>
      </c>
      <c r="H270" s="122" t="s">
        <v>8</v>
      </c>
      <c r="I270" s="123">
        <v>21.132529999999999</v>
      </c>
      <c r="J270" s="123">
        <v>-101.64812000000001</v>
      </c>
      <c r="K270" s="122" t="s">
        <v>139</v>
      </c>
      <c r="L270" s="125" t="str">
        <f t="shared" si="12"/>
        <v>Ver en Google Maps</v>
      </c>
      <c r="M270" s="122">
        <v>2</v>
      </c>
      <c r="N270" s="108">
        <v>45955</v>
      </c>
      <c r="O270" s="109">
        <f>DAY('BD2'!$N270)</f>
        <v>25</v>
      </c>
      <c r="P270" s="109">
        <f>MONTH('BD2'!$N270)</f>
        <v>10</v>
      </c>
      <c r="Q270" s="109">
        <f>YEAR('BD2'!$N270)</f>
        <v>2025</v>
      </c>
      <c r="R270" s="109">
        <v>2</v>
      </c>
      <c r="S270" s="109" t="s">
        <v>138</v>
      </c>
      <c r="T270" s="109" t="s">
        <v>138</v>
      </c>
      <c r="U270" s="109" t="s">
        <v>138</v>
      </c>
      <c r="V270" s="109" t="s">
        <v>138</v>
      </c>
      <c r="W270" s="109" t="s">
        <v>138</v>
      </c>
      <c r="X270" s="109" t="s">
        <v>138</v>
      </c>
      <c r="Y270" s="109" t="s">
        <v>138</v>
      </c>
      <c r="Z270" s="109" t="str">
        <f>IF('BD2'!$AA270 &lt; 14, "no", "si")</f>
        <v>si</v>
      </c>
      <c r="AA270" s="109">
        <v>57.78</v>
      </c>
      <c r="AB270" s="109">
        <v>58.3</v>
      </c>
      <c r="AC270" s="110" t="s">
        <v>967</v>
      </c>
      <c r="AD270" s="110" t="s">
        <v>954</v>
      </c>
      <c r="AE270" s="109">
        <f t="shared" si="15"/>
        <v>8</v>
      </c>
      <c r="AF270" s="111" t="str">
        <f t="shared" si="14"/>
        <v>Estable</v>
      </c>
    </row>
    <row r="271" spans="1:32" x14ac:dyDescent="0.2">
      <c r="A271" s="112">
        <v>707</v>
      </c>
      <c r="B271" s="113" t="s">
        <v>956</v>
      </c>
      <c r="C271" s="114" t="s">
        <v>429</v>
      </c>
      <c r="D271" s="114" t="s">
        <v>15</v>
      </c>
      <c r="E271" s="115" t="s">
        <v>304</v>
      </c>
      <c r="F271" s="115" t="s">
        <v>685</v>
      </c>
      <c r="G271" s="115" t="s">
        <v>1140</v>
      </c>
      <c r="H271" s="113" t="s">
        <v>8</v>
      </c>
      <c r="I271" s="114">
        <v>21.110569999999999</v>
      </c>
      <c r="J271" s="114">
        <v>-101.69683999999999</v>
      </c>
      <c r="K271" s="113" t="s">
        <v>139</v>
      </c>
      <c r="L271" s="116" t="str">
        <f t="shared" si="12"/>
        <v>Ver en Google Maps</v>
      </c>
      <c r="M271" s="113">
        <v>2</v>
      </c>
      <c r="N271" s="117">
        <v>45965</v>
      </c>
      <c r="O271" s="118">
        <f>DAY('BD2'!$N271)</f>
        <v>4</v>
      </c>
      <c r="P271" s="118">
        <f>MONTH('BD2'!$N271)</f>
        <v>11</v>
      </c>
      <c r="Q271" s="118">
        <f>YEAR('BD2'!$N271)</f>
        <v>2025</v>
      </c>
      <c r="R271" s="118">
        <v>2</v>
      </c>
      <c r="S271" s="118" t="s">
        <v>138</v>
      </c>
      <c r="T271" s="118" t="s">
        <v>138</v>
      </c>
      <c r="U271" s="118" t="s">
        <v>138</v>
      </c>
      <c r="V271" s="118" t="s">
        <v>138</v>
      </c>
      <c r="W271" s="118" t="s">
        <v>138</v>
      </c>
      <c r="X271" s="118" t="s">
        <v>138</v>
      </c>
      <c r="Y271" s="118" t="s">
        <v>138</v>
      </c>
      <c r="Z271" s="118" t="str">
        <f>IF('BD2'!$AA271 &lt; 14, "no", "si")</f>
        <v>si</v>
      </c>
      <c r="AA271" s="118">
        <v>88.9</v>
      </c>
      <c r="AB271" s="118">
        <v>94.5</v>
      </c>
      <c r="AC271" s="119" t="s">
        <v>967</v>
      </c>
      <c r="AD271" s="119" t="s">
        <v>954</v>
      </c>
      <c r="AE271" s="118">
        <f t="shared" si="15"/>
        <v>8</v>
      </c>
      <c r="AF271" s="120" t="str">
        <f t="shared" si="14"/>
        <v>Estable</v>
      </c>
    </row>
    <row r="272" spans="1:32" x14ac:dyDescent="0.2">
      <c r="A272" s="121">
        <v>708</v>
      </c>
      <c r="B272" s="122" t="s">
        <v>956</v>
      </c>
      <c r="C272" s="123" t="s">
        <v>429</v>
      </c>
      <c r="D272" s="123" t="s">
        <v>15</v>
      </c>
      <c r="E272" s="124" t="s">
        <v>305</v>
      </c>
      <c r="F272" s="124" t="s">
        <v>686</v>
      </c>
      <c r="G272" s="124" t="s">
        <v>1012</v>
      </c>
      <c r="H272" s="122" t="s">
        <v>8</v>
      </c>
      <c r="I272" s="123">
        <v>21.140149999999998</v>
      </c>
      <c r="J272" s="123">
        <v>-101.69775</v>
      </c>
      <c r="K272" s="122" t="s">
        <v>139</v>
      </c>
      <c r="L272" s="125" t="str">
        <f t="shared" si="12"/>
        <v>Ver en Google Maps</v>
      </c>
      <c r="M272" s="122">
        <v>2</v>
      </c>
      <c r="N272" s="108">
        <v>45958</v>
      </c>
      <c r="O272" s="109">
        <f>DAY('BD2'!$N272)</f>
        <v>28</v>
      </c>
      <c r="P272" s="109">
        <f>MONTH('BD2'!$N272)</f>
        <v>10</v>
      </c>
      <c r="Q272" s="109">
        <f>YEAR('BD2'!$N272)</f>
        <v>2025</v>
      </c>
      <c r="R272" s="109">
        <v>2</v>
      </c>
      <c r="S272" s="109" t="s">
        <v>138</v>
      </c>
      <c r="T272" s="109" t="s">
        <v>138</v>
      </c>
      <c r="U272" s="109" t="s">
        <v>138</v>
      </c>
      <c r="V272" s="109" t="s">
        <v>138</v>
      </c>
      <c r="W272" s="109" t="s">
        <v>138</v>
      </c>
      <c r="X272" s="109" t="s">
        <v>138</v>
      </c>
      <c r="Y272" s="109" t="s">
        <v>138</v>
      </c>
      <c r="Z272" s="109" t="str">
        <f>IF('BD2'!$AA272 &lt; 14, "no", "si")</f>
        <v>si</v>
      </c>
      <c r="AA272" s="109">
        <v>122</v>
      </c>
      <c r="AB272" s="109">
        <v>55.3</v>
      </c>
      <c r="AC272" s="110" t="s">
        <v>967</v>
      </c>
      <c r="AD272" s="110" t="s">
        <v>954</v>
      </c>
      <c r="AE272" s="109">
        <f t="shared" si="15"/>
        <v>8</v>
      </c>
      <c r="AF272" s="111" t="str">
        <f t="shared" si="14"/>
        <v>Estable</v>
      </c>
    </row>
    <row r="273" spans="1:32" x14ac:dyDescent="0.2">
      <c r="A273" s="112">
        <v>709</v>
      </c>
      <c r="B273" s="113" t="s">
        <v>956</v>
      </c>
      <c r="C273" s="114" t="s">
        <v>429</v>
      </c>
      <c r="D273" s="114" t="s">
        <v>15</v>
      </c>
      <c r="E273" s="115" t="s">
        <v>306</v>
      </c>
      <c r="F273" s="115" t="s">
        <v>687</v>
      </c>
      <c r="G273" s="115" t="s">
        <v>1122</v>
      </c>
      <c r="H273" s="113" t="s">
        <v>8</v>
      </c>
      <c r="I273" s="114">
        <v>21.120509999999999</v>
      </c>
      <c r="J273" s="114">
        <v>-101.71329</v>
      </c>
      <c r="K273" s="113" t="s">
        <v>139</v>
      </c>
      <c r="L273" s="116" t="str">
        <f t="shared" si="12"/>
        <v>Ver en Google Maps</v>
      </c>
      <c r="M273" s="113">
        <v>2</v>
      </c>
      <c r="N273" s="117">
        <v>45964</v>
      </c>
      <c r="O273" s="118">
        <f>DAY('BD2'!$N273)</f>
        <v>3</v>
      </c>
      <c r="P273" s="118">
        <f>MONTH('BD2'!$N273)</f>
        <v>11</v>
      </c>
      <c r="Q273" s="118">
        <f>YEAR('BD2'!$N273)</f>
        <v>2025</v>
      </c>
      <c r="R273" s="118">
        <v>2</v>
      </c>
      <c r="S273" s="118" t="s">
        <v>138</v>
      </c>
      <c r="T273" s="118" t="s">
        <v>138</v>
      </c>
      <c r="U273" s="118" t="s">
        <v>138</v>
      </c>
      <c r="V273" s="118" t="s">
        <v>138</v>
      </c>
      <c r="W273" s="118" t="s">
        <v>138</v>
      </c>
      <c r="X273" s="118" t="s">
        <v>138</v>
      </c>
      <c r="Y273" s="118" t="s">
        <v>934</v>
      </c>
      <c r="Z273" s="118" t="str">
        <f>IF('BD2'!$AA273 &lt; 14, "no", "si")</f>
        <v>si</v>
      </c>
      <c r="AA273" s="118">
        <v>46.3</v>
      </c>
      <c r="AB273" s="118">
        <v>9.34</v>
      </c>
      <c r="AC273" s="119" t="s">
        <v>3142</v>
      </c>
      <c r="AD273" s="119" t="s">
        <v>954</v>
      </c>
      <c r="AE273" s="118">
        <f t="shared" si="15"/>
        <v>7</v>
      </c>
      <c r="AF273" s="120" t="str">
        <f t="shared" si="14"/>
        <v>Funcional con observaciones</v>
      </c>
    </row>
    <row r="274" spans="1:32" x14ac:dyDescent="0.2">
      <c r="A274" s="121">
        <v>710</v>
      </c>
      <c r="B274" s="122" t="s">
        <v>956</v>
      </c>
      <c r="C274" s="123" t="s">
        <v>429</v>
      </c>
      <c r="D274" s="123" t="s">
        <v>15</v>
      </c>
      <c r="E274" s="124" t="s">
        <v>307</v>
      </c>
      <c r="F274" s="124" t="s">
        <v>688</v>
      </c>
      <c r="G274" s="124" t="s">
        <v>1141</v>
      </c>
      <c r="H274" s="122" t="s">
        <v>8</v>
      </c>
      <c r="I274" s="123">
        <v>21.14498</v>
      </c>
      <c r="J274" s="123">
        <v>-101.67821000000001</v>
      </c>
      <c r="K274" s="122" t="s">
        <v>139</v>
      </c>
      <c r="L274" s="125" t="str">
        <f t="shared" si="12"/>
        <v>Ver en Google Maps</v>
      </c>
      <c r="M274" s="122">
        <v>2</v>
      </c>
      <c r="N274" s="108">
        <v>45952</v>
      </c>
      <c r="O274" s="109">
        <f>DAY('BD2'!$N274)</f>
        <v>22</v>
      </c>
      <c r="P274" s="109">
        <f>MONTH('BD2'!$N274)</f>
        <v>10</v>
      </c>
      <c r="Q274" s="109">
        <f>YEAR('BD2'!$N274)</f>
        <v>2025</v>
      </c>
      <c r="R274" s="109">
        <v>2</v>
      </c>
      <c r="S274" s="109" t="s">
        <v>138</v>
      </c>
      <c r="T274" s="109" t="s">
        <v>138</v>
      </c>
      <c r="U274" s="109" t="s">
        <v>138</v>
      </c>
      <c r="V274" s="109" t="s">
        <v>138</v>
      </c>
      <c r="W274" s="109" t="s">
        <v>138</v>
      </c>
      <c r="X274" s="109" t="s">
        <v>138</v>
      </c>
      <c r="Y274" s="109" t="s">
        <v>138</v>
      </c>
      <c r="Z274" s="109" t="str">
        <f>IF('BD2'!$AA274 &lt; 14, "no", "si")</f>
        <v>si</v>
      </c>
      <c r="AA274" s="109">
        <v>50.8</v>
      </c>
      <c r="AB274" s="109">
        <v>4.2</v>
      </c>
      <c r="AC274" s="110" t="s">
        <v>967</v>
      </c>
      <c r="AD274" s="110" t="s">
        <v>954</v>
      </c>
      <c r="AE274" s="109">
        <f t="shared" si="15"/>
        <v>8</v>
      </c>
      <c r="AF274" s="111" t="str">
        <f t="shared" si="14"/>
        <v>Estable</v>
      </c>
    </row>
    <row r="275" spans="1:32" x14ac:dyDescent="0.2">
      <c r="A275" s="112">
        <v>711</v>
      </c>
      <c r="B275" s="113" t="s">
        <v>956</v>
      </c>
      <c r="C275" s="114" t="s">
        <v>429</v>
      </c>
      <c r="D275" s="114" t="s">
        <v>15</v>
      </c>
      <c r="E275" s="115" t="s">
        <v>308</v>
      </c>
      <c r="F275" s="115" t="s">
        <v>689</v>
      </c>
      <c r="G275" s="115" t="s">
        <v>1142</v>
      </c>
      <c r="H275" s="113" t="s">
        <v>8</v>
      </c>
      <c r="I275" s="114">
        <v>21.076360000000001</v>
      </c>
      <c r="J275" s="114">
        <v>-101.61143</v>
      </c>
      <c r="K275" s="113"/>
      <c r="L275" s="116" t="str">
        <f t="shared" si="12"/>
        <v>Ver en Google Maps</v>
      </c>
      <c r="M275" s="113">
        <v>2</v>
      </c>
      <c r="N275" s="129"/>
      <c r="O275" s="118"/>
      <c r="P275" s="118"/>
      <c r="Q275" s="118"/>
      <c r="R275" s="118"/>
      <c r="S275" s="118"/>
      <c r="T275" s="118"/>
      <c r="U275" s="118"/>
      <c r="V275" s="118"/>
      <c r="W275" s="118"/>
      <c r="X275" s="118"/>
      <c r="Y275" s="118"/>
      <c r="Z275" s="118"/>
      <c r="AA275" s="118"/>
      <c r="AB275" s="118"/>
      <c r="AC275" s="118"/>
      <c r="AD275" s="119"/>
      <c r="AE275" s="118"/>
      <c r="AF275" s="120"/>
    </row>
    <row r="276" spans="1:32" x14ac:dyDescent="0.2">
      <c r="A276" s="121">
        <v>713</v>
      </c>
      <c r="B276" s="122" t="s">
        <v>956</v>
      </c>
      <c r="C276" s="123" t="s">
        <v>429</v>
      </c>
      <c r="D276" s="123" t="s">
        <v>15</v>
      </c>
      <c r="E276" s="124" t="s">
        <v>309</v>
      </c>
      <c r="F276" s="124" t="s">
        <v>690</v>
      </c>
      <c r="G276" s="124" t="s">
        <v>73</v>
      </c>
      <c r="H276" s="122" t="s">
        <v>8</v>
      </c>
      <c r="I276" s="123">
        <v>21.109719999999999</v>
      </c>
      <c r="J276" s="123">
        <v>-101.63029</v>
      </c>
      <c r="K276" s="122" t="s">
        <v>139</v>
      </c>
      <c r="L276" s="125" t="str">
        <f t="shared" si="12"/>
        <v>Ver en Google Maps</v>
      </c>
      <c r="M276" s="122">
        <v>2</v>
      </c>
      <c r="N276" s="108">
        <v>45957</v>
      </c>
      <c r="O276" s="109">
        <f>DAY('BD2'!$N276)</f>
        <v>27</v>
      </c>
      <c r="P276" s="109">
        <f>MONTH('BD2'!$N276)</f>
        <v>10</v>
      </c>
      <c r="Q276" s="109">
        <f>YEAR('BD2'!$N276)</f>
        <v>2025</v>
      </c>
      <c r="R276" s="109">
        <v>2</v>
      </c>
      <c r="S276" s="109" t="s">
        <v>138</v>
      </c>
      <c r="T276" s="109" t="s">
        <v>138</v>
      </c>
      <c r="U276" s="109" t="s">
        <v>138</v>
      </c>
      <c r="V276" s="109" t="s">
        <v>138</v>
      </c>
      <c r="W276" s="109" t="s">
        <v>138</v>
      </c>
      <c r="X276" s="109" t="s">
        <v>138</v>
      </c>
      <c r="Y276" s="109" t="s">
        <v>138</v>
      </c>
      <c r="Z276" s="109" t="str">
        <f>IF('BD2'!$AA276 &lt; 14, "no", "si")</f>
        <v>si</v>
      </c>
      <c r="AA276" s="109">
        <v>63.1</v>
      </c>
      <c r="AB276" s="109">
        <v>27.8</v>
      </c>
      <c r="AC276" s="110" t="s">
        <v>967</v>
      </c>
      <c r="AD276" s="110" t="s">
        <v>957</v>
      </c>
      <c r="AE276" s="109">
        <f t="shared" si="15"/>
        <v>8</v>
      </c>
      <c r="AF276" s="111" t="str">
        <f t="shared" si="14"/>
        <v>Estable</v>
      </c>
    </row>
    <row r="277" spans="1:32" x14ac:dyDescent="0.2">
      <c r="A277" s="112">
        <v>714</v>
      </c>
      <c r="B277" s="113" t="s">
        <v>956</v>
      </c>
      <c r="C277" s="114" t="s">
        <v>429</v>
      </c>
      <c r="D277" s="114" t="s">
        <v>15</v>
      </c>
      <c r="E277" s="115" t="s">
        <v>310</v>
      </c>
      <c r="F277" s="115" t="s">
        <v>691</v>
      </c>
      <c r="G277" s="115" t="s">
        <v>1143</v>
      </c>
      <c r="H277" s="113" t="s">
        <v>8</v>
      </c>
      <c r="I277" s="114">
        <v>21.08868</v>
      </c>
      <c r="J277" s="114">
        <v>-101.69045</v>
      </c>
      <c r="K277" s="113"/>
      <c r="L277" s="116" t="str">
        <f t="shared" si="12"/>
        <v>Ver en Google Maps</v>
      </c>
      <c r="M277" s="113">
        <v>2</v>
      </c>
      <c r="N277" s="129"/>
      <c r="O277" s="118"/>
      <c r="P277" s="118"/>
      <c r="Q277" s="118"/>
      <c r="R277" s="118"/>
      <c r="S277" s="118"/>
      <c r="T277" s="118"/>
      <c r="U277" s="118"/>
      <c r="V277" s="118"/>
      <c r="W277" s="118"/>
      <c r="X277" s="118"/>
      <c r="Y277" s="118"/>
      <c r="Z277" s="118"/>
      <c r="AA277" s="118"/>
      <c r="AB277" s="118"/>
      <c r="AC277" s="118"/>
      <c r="AD277" s="119"/>
      <c r="AE277" s="118"/>
      <c r="AF277" s="120"/>
    </row>
    <row r="278" spans="1:32" x14ac:dyDescent="0.2">
      <c r="A278" s="121">
        <v>716</v>
      </c>
      <c r="B278" s="122" t="s">
        <v>956</v>
      </c>
      <c r="C278" s="123" t="s">
        <v>429</v>
      </c>
      <c r="D278" s="123" t="s">
        <v>15</v>
      </c>
      <c r="E278" s="124" t="s">
        <v>311</v>
      </c>
      <c r="F278" s="124" t="s">
        <v>692</v>
      </c>
      <c r="G278" s="124" t="s">
        <v>43</v>
      </c>
      <c r="H278" s="122" t="s">
        <v>8</v>
      </c>
      <c r="I278" s="123">
        <v>21.129110000000001</v>
      </c>
      <c r="J278" s="123">
        <v>-101.59999000000001</v>
      </c>
      <c r="K278" s="122" t="s">
        <v>3057</v>
      </c>
      <c r="L278" s="125" t="str">
        <f t="shared" si="12"/>
        <v>Ver en Google Maps</v>
      </c>
      <c r="M278" s="122">
        <v>2</v>
      </c>
      <c r="N278" s="108"/>
      <c r="O278" s="109">
        <f>DAY('BD2'!$N278)</f>
        <v>0</v>
      </c>
      <c r="P278" s="109">
        <f>MONTH('BD2'!$N278)</f>
        <v>1</v>
      </c>
      <c r="Q278" s="109">
        <f>YEAR('BD2'!$N278)</f>
        <v>1900</v>
      </c>
      <c r="R278" s="109">
        <v>2</v>
      </c>
      <c r="S278" s="109"/>
      <c r="T278" s="109"/>
      <c r="U278" s="109"/>
      <c r="V278" s="109"/>
      <c r="W278" s="109"/>
      <c r="X278" s="109"/>
      <c r="Y278" s="109"/>
      <c r="Z278" s="109" t="str">
        <f>IF('BD2'!$AA278 &lt; 14, "no", "si")</f>
        <v>no</v>
      </c>
      <c r="AA278" s="109"/>
      <c r="AB278" s="109"/>
      <c r="AC278" s="110" t="s">
        <v>963</v>
      </c>
      <c r="AD278" s="110" t="s">
        <v>957</v>
      </c>
      <c r="AE278" s="109">
        <f t="shared" si="15"/>
        <v>0</v>
      </c>
      <c r="AF278" s="111" t="str">
        <f t="shared" si="14"/>
        <v>Crítico</v>
      </c>
    </row>
    <row r="279" spans="1:32" x14ac:dyDescent="0.2">
      <c r="A279" s="112">
        <v>717</v>
      </c>
      <c r="B279" s="113" t="s">
        <v>956</v>
      </c>
      <c r="C279" s="114" t="s">
        <v>429</v>
      </c>
      <c r="D279" s="114" t="s">
        <v>15</v>
      </c>
      <c r="E279" s="115" t="s">
        <v>312</v>
      </c>
      <c r="F279" s="115" t="s">
        <v>693</v>
      </c>
      <c r="G279" s="115" t="s">
        <v>1144</v>
      </c>
      <c r="H279" s="113" t="s">
        <v>8</v>
      </c>
      <c r="I279" s="114">
        <v>21.11544</v>
      </c>
      <c r="J279" s="114">
        <v>-101.58418</v>
      </c>
      <c r="K279" s="113"/>
      <c r="L279" s="116" t="str">
        <f t="shared" si="12"/>
        <v>Ver en Google Maps</v>
      </c>
      <c r="M279" s="113">
        <v>2</v>
      </c>
      <c r="N279" s="129"/>
      <c r="O279" s="118"/>
      <c r="P279" s="118"/>
      <c r="Q279" s="118"/>
      <c r="R279" s="118"/>
      <c r="S279" s="118"/>
      <c r="T279" s="118"/>
      <c r="U279" s="118"/>
      <c r="V279" s="118"/>
      <c r="W279" s="118"/>
      <c r="X279" s="118"/>
      <c r="Y279" s="118"/>
      <c r="Z279" s="118"/>
      <c r="AA279" s="118"/>
      <c r="AB279" s="118"/>
      <c r="AC279" s="118"/>
      <c r="AD279" s="119"/>
      <c r="AE279" s="118"/>
      <c r="AF279" s="120"/>
    </row>
    <row r="280" spans="1:32" x14ac:dyDescent="0.2">
      <c r="A280" s="121">
        <v>722</v>
      </c>
      <c r="B280" s="122" t="s">
        <v>956</v>
      </c>
      <c r="C280" s="123" t="s">
        <v>429</v>
      </c>
      <c r="D280" s="123" t="s">
        <v>15</v>
      </c>
      <c r="E280" s="124" t="s">
        <v>313</v>
      </c>
      <c r="F280" s="124" t="s">
        <v>694</v>
      </c>
      <c r="G280" s="124" t="s">
        <v>1032</v>
      </c>
      <c r="H280" s="122" t="s">
        <v>8</v>
      </c>
      <c r="I280" s="123">
        <v>21.138069999999999</v>
      </c>
      <c r="J280" s="123">
        <v>-101.74854000000001</v>
      </c>
      <c r="K280" s="122" t="s">
        <v>139</v>
      </c>
      <c r="L280" s="125" t="str">
        <f t="shared" si="12"/>
        <v>Ver en Google Maps</v>
      </c>
      <c r="M280" s="122">
        <v>2</v>
      </c>
      <c r="N280" s="108">
        <v>45960</v>
      </c>
      <c r="O280" s="109">
        <f>DAY('BD2'!$N280)</f>
        <v>30</v>
      </c>
      <c r="P280" s="109">
        <f>MONTH('BD2'!$N280)</f>
        <v>10</v>
      </c>
      <c r="Q280" s="109">
        <f>YEAR('BD2'!$N280)</f>
        <v>2025</v>
      </c>
      <c r="R280" s="109">
        <v>2</v>
      </c>
      <c r="S280" s="109" t="s">
        <v>138</v>
      </c>
      <c r="T280" s="109" t="s">
        <v>138</v>
      </c>
      <c r="U280" s="109" t="s">
        <v>138</v>
      </c>
      <c r="V280" s="109" t="s">
        <v>138</v>
      </c>
      <c r="W280" s="109" t="s">
        <v>138</v>
      </c>
      <c r="X280" s="109" t="s">
        <v>138</v>
      </c>
      <c r="Y280" s="109" t="s">
        <v>138</v>
      </c>
      <c r="Z280" s="109" t="str">
        <f>IF('BD2'!$AA280 &lt; 14, "no", "si")</f>
        <v>si</v>
      </c>
      <c r="AA280" s="109">
        <v>53.7</v>
      </c>
      <c r="AB280" s="109">
        <v>50.8</v>
      </c>
      <c r="AC280" s="110" t="s">
        <v>973</v>
      </c>
      <c r="AD280" s="110" t="s">
        <v>957</v>
      </c>
      <c r="AE280" s="109">
        <f t="shared" si="15"/>
        <v>8</v>
      </c>
      <c r="AF280" s="111" t="str">
        <f t="shared" si="14"/>
        <v>Estable</v>
      </c>
    </row>
    <row r="281" spans="1:32" x14ac:dyDescent="0.2">
      <c r="A281" s="112">
        <v>723</v>
      </c>
      <c r="B281" s="113" t="s">
        <v>956</v>
      </c>
      <c r="C281" s="114" t="s">
        <v>429</v>
      </c>
      <c r="D281" s="114" t="s">
        <v>15</v>
      </c>
      <c r="E281" s="115" t="s">
        <v>314</v>
      </c>
      <c r="F281" s="115" t="s">
        <v>695</v>
      </c>
      <c r="G281" s="115" t="s">
        <v>1023</v>
      </c>
      <c r="H281" s="113" t="s">
        <v>8</v>
      </c>
      <c r="I281" s="114">
        <v>21.06194</v>
      </c>
      <c r="J281" s="114">
        <v>-101.62239</v>
      </c>
      <c r="K281" s="113"/>
      <c r="L281" s="116" t="str">
        <f t="shared" si="12"/>
        <v>Ver en Google Maps</v>
      </c>
      <c r="M281" s="113">
        <v>2</v>
      </c>
      <c r="N281" s="129"/>
      <c r="O281" s="118"/>
      <c r="P281" s="118"/>
      <c r="Q281" s="118"/>
      <c r="R281" s="118"/>
      <c r="S281" s="118"/>
      <c r="T281" s="118"/>
      <c r="U281" s="118"/>
      <c r="V281" s="118"/>
      <c r="W281" s="118"/>
      <c r="X281" s="118"/>
      <c r="Y281" s="118"/>
      <c r="Z281" s="118"/>
      <c r="AA281" s="118"/>
      <c r="AB281" s="118"/>
      <c r="AC281" s="118"/>
      <c r="AD281" s="119"/>
      <c r="AE281" s="118"/>
      <c r="AF281" s="120"/>
    </row>
    <row r="282" spans="1:32" x14ac:dyDescent="0.2">
      <c r="A282" s="121">
        <v>725</v>
      </c>
      <c r="B282" s="122" t="s">
        <v>956</v>
      </c>
      <c r="C282" s="123" t="s">
        <v>429</v>
      </c>
      <c r="D282" s="123" t="s">
        <v>15</v>
      </c>
      <c r="E282" s="124" t="s">
        <v>315</v>
      </c>
      <c r="F282" s="124" t="s">
        <v>696</v>
      </c>
      <c r="G282" s="124" t="s">
        <v>1130</v>
      </c>
      <c r="H282" s="122" t="s">
        <v>8</v>
      </c>
      <c r="I282" s="123">
        <v>21.093606000000001</v>
      </c>
      <c r="J282" s="123">
        <v>-101.60470100000001</v>
      </c>
      <c r="K282" s="122"/>
      <c r="L282" s="125" t="str">
        <f t="shared" si="12"/>
        <v>Ver en Google Maps</v>
      </c>
      <c r="M282" s="122">
        <v>2</v>
      </c>
      <c r="N282" s="130"/>
      <c r="O282" s="109"/>
      <c r="P282" s="109"/>
      <c r="Q282" s="109"/>
      <c r="R282" s="109"/>
      <c r="S282" s="109"/>
      <c r="T282" s="109"/>
      <c r="U282" s="109"/>
      <c r="V282" s="109"/>
      <c r="W282" s="109"/>
      <c r="X282" s="109"/>
      <c r="Y282" s="109"/>
      <c r="Z282" s="109"/>
      <c r="AA282" s="109"/>
      <c r="AB282" s="109"/>
      <c r="AC282" s="109"/>
      <c r="AD282" s="110"/>
      <c r="AE282" s="109"/>
      <c r="AF282" s="111"/>
    </row>
    <row r="283" spans="1:32" x14ac:dyDescent="0.2">
      <c r="A283" s="112">
        <v>728</v>
      </c>
      <c r="B283" s="113" t="s">
        <v>956</v>
      </c>
      <c r="C283" s="114" t="s">
        <v>429</v>
      </c>
      <c r="D283" s="114" t="s">
        <v>15</v>
      </c>
      <c r="E283" s="115" t="s">
        <v>316</v>
      </c>
      <c r="F283" s="115" t="s">
        <v>697</v>
      </c>
      <c r="G283" s="115" t="s">
        <v>1098</v>
      </c>
      <c r="H283" s="113" t="s">
        <v>8</v>
      </c>
      <c r="I283" s="114">
        <v>21.143560000000001</v>
      </c>
      <c r="J283" s="114">
        <v>-101.73779</v>
      </c>
      <c r="K283" s="113"/>
      <c r="L283" s="116" t="str">
        <f t="shared" si="12"/>
        <v>Ver en Google Maps</v>
      </c>
      <c r="M283" s="113">
        <v>2</v>
      </c>
      <c r="N283" s="129"/>
      <c r="O283" s="118"/>
      <c r="P283" s="118"/>
      <c r="Q283" s="118"/>
      <c r="R283" s="118"/>
      <c r="S283" s="118"/>
      <c r="T283" s="118"/>
      <c r="U283" s="118"/>
      <c r="V283" s="118"/>
      <c r="W283" s="118"/>
      <c r="X283" s="118"/>
      <c r="Y283" s="118"/>
      <c r="Z283" s="118"/>
      <c r="AA283" s="118"/>
      <c r="AB283" s="118"/>
      <c r="AC283" s="118"/>
      <c r="AD283" s="119"/>
      <c r="AE283" s="118"/>
      <c r="AF283" s="120"/>
    </row>
    <row r="284" spans="1:32" x14ac:dyDescent="0.2">
      <c r="A284" s="121">
        <v>729</v>
      </c>
      <c r="B284" s="122" t="s">
        <v>956</v>
      </c>
      <c r="C284" s="123" t="s">
        <v>429</v>
      </c>
      <c r="D284" s="123" t="s">
        <v>15</v>
      </c>
      <c r="E284" s="124" t="s">
        <v>317</v>
      </c>
      <c r="F284" s="124" t="s">
        <v>698</v>
      </c>
      <c r="G284" s="124" t="s">
        <v>1082</v>
      </c>
      <c r="H284" s="122" t="s">
        <v>8</v>
      </c>
      <c r="I284" s="123">
        <v>21.095689</v>
      </c>
      <c r="J284" s="123">
        <v>-101.749883</v>
      </c>
      <c r="K284" s="122"/>
      <c r="L284" s="125" t="str">
        <f t="shared" si="12"/>
        <v>Ver en Google Maps</v>
      </c>
      <c r="M284" s="122">
        <v>2</v>
      </c>
      <c r="N284" s="130"/>
      <c r="O284" s="109"/>
      <c r="P284" s="109"/>
      <c r="Q284" s="109"/>
      <c r="R284" s="109"/>
      <c r="S284" s="109"/>
      <c r="T284" s="109"/>
      <c r="U284" s="109"/>
      <c r="V284" s="109"/>
      <c r="W284" s="109"/>
      <c r="X284" s="109"/>
      <c r="Y284" s="109"/>
      <c r="Z284" s="109"/>
      <c r="AA284" s="109"/>
      <c r="AB284" s="109"/>
      <c r="AC284" s="109"/>
      <c r="AD284" s="110"/>
      <c r="AE284" s="109"/>
      <c r="AF284" s="111"/>
    </row>
    <row r="285" spans="1:32" x14ac:dyDescent="0.2">
      <c r="A285" s="112">
        <v>730</v>
      </c>
      <c r="B285" s="113" t="s">
        <v>956</v>
      </c>
      <c r="C285" s="114" t="s">
        <v>429</v>
      </c>
      <c r="D285" s="114" t="s">
        <v>15</v>
      </c>
      <c r="E285" s="115" t="s">
        <v>318</v>
      </c>
      <c r="F285" s="115" t="s">
        <v>699</v>
      </c>
      <c r="G285" s="115" t="s">
        <v>1010</v>
      </c>
      <c r="H285" s="113" t="s">
        <v>8</v>
      </c>
      <c r="I285" s="114">
        <v>21.104320000000001</v>
      </c>
      <c r="J285" s="114">
        <v>-101.70788</v>
      </c>
      <c r="K285" s="113"/>
      <c r="L285" s="116" t="str">
        <f t="shared" si="12"/>
        <v>Ver en Google Maps</v>
      </c>
      <c r="M285" s="113">
        <v>2</v>
      </c>
      <c r="N285" s="129"/>
      <c r="O285" s="118"/>
      <c r="P285" s="118"/>
      <c r="Q285" s="118"/>
      <c r="R285" s="118"/>
      <c r="S285" s="118"/>
      <c r="T285" s="118"/>
      <c r="U285" s="118"/>
      <c r="V285" s="118"/>
      <c r="W285" s="118"/>
      <c r="X285" s="118"/>
      <c r="Y285" s="118"/>
      <c r="Z285" s="118"/>
      <c r="AA285" s="118"/>
      <c r="AB285" s="118"/>
      <c r="AC285" s="118"/>
      <c r="AD285" s="119"/>
      <c r="AE285" s="118"/>
      <c r="AF285" s="120"/>
    </row>
    <row r="286" spans="1:32" x14ac:dyDescent="0.2">
      <c r="A286" s="121">
        <v>732</v>
      </c>
      <c r="B286" s="122" t="s">
        <v>956</v>
      </c>
      <c r="C286" s="123" t="s">
        <v>429</v>
      </c>
      <c r="D286" s="123" t="s">
        <v>15</v>
      </c>
      <c r="E286" s="124" t="s">
        <v>319</v>
      </c>
      <c r="F286" s="124" t="s">
        <v>700</v>
      </c>
      <c r="G286" s="124" t="s">
        <v>1145</v>
      </c>
      <c r="H286" s="122" t="s">
        <v>8</v>
      </c>
      <c r="I286" s="123">
        <v>21.071750000000002</v>
      </c>
      <c r="J286" s="123">
        <v>-101.63218000000001</v>
      </c>
      <c r="K286" s="122"/>
      <c r="L286" s="125" t="str">
        <f t="shared" si="12"/>
        <v>Ver en Google Maps</v>
      </c>
      <c r="M286" s="122">
        <v>2</v>
      </c>
      <c r="N286" s="130"/>
      <c r="O286" s="109"/>
      <c r="P286" s="109"/>
      <c r="Q286" s="109"/>
      <c r="R286" s="109"/>
      <c r="S286" s="109"/>
      <c r="T286" s="109"/>
      <c r="U286" s="109"/>
      <c r="V286" s="109"/>
      <c r="W286" s="109"/>
      <c r="X286" s="109"/>
      <c r="Y286" s="109"/>
      <c r="Z286" s="109"/>
      <c r="AA286" s="109"/>
      <c r="AB286" s="109"/>
      <c r="AC286" s="109"/>
      <c r="AD286" s="110"/>
      <c r="AE286" s="109"/>
      <c r="AF286" s="111"/>
    </row>
    <row r="287" spans="1:32" x14ac:dyDescent="0.2">
      <c r="A287" s="112">
        <v>734</v>
      </c>
      <c r="B287" s="113" t="s">
        <v>956</v>
      </c>
      <c r="C287" s="114" t="s">
        <v>429</v>
      </c>
      <c r="D287" s="114" t="s">
        <v>15</v>
      </c>
      <c r="E287" s="115" t="s">
        <v>320</v>
      </c>
      <c r="F287" s="115" t="s">
        <v>701</v>
      </c>
      <c r="G287" s="115" t="s">
        <v>1036</v>
      </c>
      <c r="H287" s="113" t="s">
        <v>8</v>
      </c>
      <c r="I287" s="114">
        <v>21.128499999999999</v>
      </c>
      <c r="J287" s="114">
        <v>-101.71902</v>
      </c>
      <c r="K287" s="113"/>
      <c r="L287" s="116" t="str">
        <f t="shared" si="12"/>
        <v>Ver en Google Maps</v>
      </c>
      <c r="M287" s="113">
        <v>2</v>
      </c>
      <c r="N287" s="129"/>
      <c r="O287" s="118"/>
      <c r="P287" s="118"/>
      <c r="Q287" s="118"/>
      <c r="R287" s="118"/>
      <c r="S287" s="118"/>
      <c r="T287" s="118"/>
      <c r="U287" s="118"/>
      <c r="V287" s="118"/>
      <c r="W287" s="118"/>
      <c r="X287" s="118"/>
      <c r="Y287" s="118"/>
      <c r="Z287" s="118"/>
      <c r="AA287" s="118"/>
      <c r="AB287" s="118"/>
      <c r="AC287" s="118"/>
      <c r="AD287" s="119"/>
      <c r="AE287" s="118"/>
      <c r="AF287" s="120"/>
    </row>
    <row r="288" spans="1:32" x14ac:dyDescent="0.2">
      <c r="A288" s="121">
        <v>736</v>
      </c>
      <c r="B288" s="122" t="s">
        <v>956</v>
      </c>
      <c r="C288" s="123" t="s">
        <v>429</v>
      </c>
      <c r="D288" s="123" t="s">
        <v>15</v>
      </c>
      <c r="E288" s="124" t="s">
        <v>321</v>
      </c>
      <c r="F288" s="124" t="s">
        <v>702</v>
      </c>
      <c r="G288" s="124" t="s">
        <v>1078</v>
      </c>
      <c r="H288" s="122" t="s">
        <v>8</v>
      </c>
      <c r="I288" s="123">
        <v>21.069682</v>
      </c>
      <c r="J288" s="123">
        <v>-101.58709500000001</v>
      </c>
      <c r="K288" s="122"/>
      <c r="L288" s="125" t="str">
        <f t="shared" si="12"/>
        <v>Ver en Google Maps</v>
      </c>
      <c r="M288" s="122">
        <v>2</v>
      </c>
      <c r="N288" s="130"/>
      <c r="O288" s="109"/>
      <c r="P288" s="109"/>
      <c r="Q288" s="109"/>
      <c r="R288" s="109"/>
      <c r="S288" s="109"/>
      <c r="T288" s="109"/>
      <c r="U288" s="109"/>
      <c r="V288" s="109"/>
      <c r="W288" s="109"/>
      <c r="X288" s="109"/>
      <c r="Y288" s="109"/>
      <c r="Z288" s="109"/>
      <c r="AA288" s="109"/>
      <c r="AB288" s="109"/>
      <c r="AC288" s="109"/>
      <c r="AD288" s="110"/>
      <c r="AE288" s="109"/>
      <c r="AF288" s="111"/>
    </row>
    <row r="289" spans="1:32" x14ac:dyDescent="0.2">
      <c r="A289" s="112">
        <v>737</v>
      </c>
      <c r="B289" s="113" t="s">
        <v>956</v>
      </c>
      <c r="C289" s="114" t="s">
        <v>429</v>
      </c>
      <c r="D289" s="114" t="s">
        <v>15</v>
      </c>
      <c r="E289" s="115" t="s">
        <v>322</v>
      </c>
      <c r="F289" s="115" t="s">
        <v>703</v>
      </c>
      <c r="G289" s="115" t="s">
        <v>1092</v>
      </c>
      <c r="H289" s="113" t="s">
        <v>8</v>
      </c>
      <c r="I289" s="114">
        <v>21.057649999999999</v>
      </c>
      <c r="J289" s="114">
        <v>-101.63799</v>
      </c>
      <c r="K289" s="113"/>
      <c r="L289" s="116" t="str">
        <f t="shared" si="12"/>
        <v>Ver en Google Maps</v>
      </c>
      <c r="M289" s="113">
        <v>2</v>
      </c>
      <c r="N289" s="129"/>
      <c r="O289" s="118"/>
      <c r="P289" s="118"/>
      <c r="Q289" s="118"/>
      <c r="R289" s="118"/>
      <c r="S289" s="118"/>
      <c r="T289" s="118"/>
      <c r="U289" s="118"/>
      <c r="V289" s="118"/>
      <c r="W289" s="118"/>
      <c r="X289" s="118"/>
      <c r="Y289" s="118"/>
      <c r="Z289" s="118"/>
      <c r="AA289" s="118"/>
      <c r="AB289" s="118"/>
      <c r="AC289" s="118"/>
      <c r="AD289" s="119"/>
      <c r="AE289" s="118"/>
      <c r="AF289" s="120"/>
    </row>
    <row r="290" spans="1:32" x14ac:dyDescent="0.2">
      <c r="A290" s="121">
        <v>739</v>
      </c>
      <c r="B290" s="122" t="s">
        <v>956</v>
      </c>
      <c r="C290" s="123" t="s">
        <v>429</v>
      </c>
      <c r="D290" s="123" t="s">
        <v>15</v>
      </c>
      <c r="E290" s="124" t="s">
        <v>323</v>
      </c>
      <c r="F290" s="124" t="s">
        <v>704</v>
      </c>
      <c r="G290" s="124" t="s">
        <v>1146</v>
      </c>
      <c r="H290" s="122" t="s">
        <v>8</v>
      </c>
      <c r="I290" s="123">
        <v>21.118880000000001</v>
      </c>
      <c r="J290" s="123">
        <v>-101.60182</v>
      </c>
      <c r="K290" s="122"/>
      <c r="L290" s="125" t="str">
        <f t="shared" si="12"/>
        <v>Ver en Google Maps</v>
      </c>
      <c r="M290" s="122">
        <v>2</v>
      </c>
      <c r="N290" s="130"/>
      <c r="O290" s="109"/>
      <c r="P290" s="109"/>
      <c r="Q290" s="109"/>
      <c r="R290" s="109"/>
      <c r="S290" s="109"/>
      <c r="T290" s="109"/>
      <c r="U290" s="109"/>
      <c r="V290" s="109"/>
      <c r="W290" s="109"/>
      <c r="X290" s="109"/>
      <c r="Y290" s="109"/>
      <c r="Z290" s="109"/>
      <c r="AA290" s="109"/>
      <c r="AB290" s="109"/>
      <c r="AC290" s="109"/>
      <c r="AD290" s="110"/>
      <c r="AE290" s="109"/>
      <c r="AF290" s="111"/>
    </row>
    <row r="291" spans="1:32" x14ac:dyDescent="0.2">
      <c r="A291" s="112">
        <v>745</v>
      </c>
      <c r="B291" s="113" t="s">
        <v>956</v>
      </c>
      <c r="C291" s="114" t="s">
        <v>429</v>
      </c>
      <c r="D291" s="114" t="s">
        <v>17</v>
      </c>
      <c r="E291" s="115" t="s">
        <v>324</v>
      </c>
      <c r="F291" s="115" t="s">
        <v>705</v>
      </c>
      <c r="G291" s="115" t="s">
        <v>1125</v>
      </c>
      <c r="H291" s="113" t="s">
        <v>8</v>
      </c>
      <c r="I291" s="114">
        <v>21.143298999999999</v>
      </c>
      <c r="J291" s="114">
        <v>-101.768438</v>
      </c>
      <c r="K291" s="113"/>
      <c r="L291" s="116" t="str">
        <f t="shared" si="12"/>
        <v>Ver en Google Maps</v>
      </c>
      <c r="M291" s="113">
        <v>1</v>
      </c>
      <c r="N291" s="129"/>
      <c r="O291" s="118"/>
      <c r="P291" s="118"/>
      <c r="Q291" s="118"/>
      <c r="R291" s="118"/>
      <c r="S291" s="118"/>
      <c r="T291" s="118"/>
      <c r="U291" s="118"/>
      <c r="V291" s="118"/>
      <c r="W291" s="118"/>
      <c r="X291" s="118"/>
      <c r="Y291" s="118"/>
      <c r="Z291" s="118"/>
      <c r="AA291" s="118"/>
      <c r="AB291" s="118"/>
      <c r="AC291" s="118"/>
      <c r="AD291" s="119"/>
      <c r="AE291" s="118"/>
      <c r="AF291" s="120"/>
    </row>
    <row r="292" spans="1:32" x14ac:dyDescent="0.2">
      <c r="A292" s="121">
        <v>746</v>
      </c>
      <c r="B292" s="122" t="s">
        <v>956</v>
      </c>
      <c r="C292" s="123" t="s">
        <v>429</v>
      </c>
      <c r="D292" s="123" t="s">
        <v>17</v>
      </c>
      <c r="E292" s="124" t="s">
        <v>325</v>
      </c>
      <c r="F292" s="124" t="s">
        <v>706</v>
      </c>
      <c r="G292" s="124" t="s">
        <v>1147</v>
      </c>
      <c r="H292" s="122" t="s">
        <v>8</v>
      </c>
      <c r="I292" s="123">
        <v>21.083580000000001</v>
      </c>
      <c r="J292" s="123">
        <v>-101.648144</v>
      </c>
      <c r="K292" s="122"/>
      <c r="L292" s="125" t="str">
        <f t="shared" si="12"/>
        <v>Ver en Google Maps</v>
      </c>
      <c r="M292" s="122">
        <v>1</v>
      </c>
      <c r="N292" s="130"/>
      <c r="O292" s="109"/>
      <c r="P292" s="109"/>
      <c r="Q292" s="109"/>
      <c r="R292" s="109"/>
      <c r="S292" s="109"/>
      <c r="T292" s="109"/>
      <c r="U292" s="109"/>
      <c r="V292" s="109"/>
      <c r="W292" s="109"/>
      <c r="X292" s="109"/>
      <c r="Y292" s="109"/>
      <c r="Z292" s="109"/>
      <c r="AA292" s="109"/>
      <c r="AB292" s="109"/>
      <c r="AC292" s="109"/>
      <c r="AD292" s="110"/>
      <c r="AE292" s="109"/>
      <c r="AF292" s="111"/>
    </row>
    <row r="293" spans="1:32" x14ac:dyDescent="0.2">
      <c r="A293" s="112">
        <v>747</v>
      </c>
      <c r="B293" s="113" t="s">
        <v>956</v>
      </c>
      <c r="C293" s="114" t="s">
        <v>429</v>
      </c>
      <c r="D293" s="114" t="s">
        <v>16</v>
      </c>
      <c r="E293" s="115" t="s">
        <v>326</v>
      </c>
      <c r="F293" s="115" t="s">
        <v>707</v>
      </c>
      <c r="G293" s="115" t="s">
        <v>1148</v>
      </c>
      <c r="H293" s="113" t="s">
        <v>8</v>
      </c>
      <c r="I293" s="114">
        <v>21.097518999999998</v>
      </c>
      <c r="J293" s="114">
        <v>-101.606953</v>
      </c>
      <c r="K293" s="113"/>
      <c r="L293" s="116" t="str">
        <f t="shared" si="12"/>
        <v>Ver en Google Maps</v>
      </c>
      <c r="M293" s="113">
        <v>1</v>
      </c>
      <c r="N293" s="129"/>
      <c r="O293" s="118"/>
      <c r="P293" s="118"/>
      <c r="Q293" s="118"/>
      <c r="R293" s="118"/>
      <c r="S293" s="118"/>
      <c r="T293" s="118"/>
      <c r="U293" s="118"/>
      <c r="V293" s="118"/>
      <c r="W293" s="118"/>
      <c r="X293" s="118"/>
      <c r="Y293" s="118"/>
      <c r="Z293" s="118"/>
      <c r="AA293" s="118"/>
      <c r="AB293" s="118"/>
      <c r="AC293" s="118"/>
      <c r="AD293" s="119"/>
      <c r="AE293" s="118"/>
      <c r="AF293" s="120"/>
    </row>
    <row r="294" spans="1:32" x14ac:dyDescent="0.2">
      <c r="A294" s="121">
        <v>749</v>
      </c>
      <c r="B294" s="122" t="s">
        <v>956</v>
      </c>
      <c r="C294" s="123" t="s">
        <v>429</v>
      </c>
      <c r="D294" s="123" t="s">
        <v>15</v>
      </c>
      <c r="E294" s="124" t="s">
        <v>327</v>
      </c>
      <c r="F294" s="124" t="s">
        <v>708</v>
      </c>
      <c r="G294" s="124" t="s">
        <v>1104</v>
      </c>
      <c r="H294" s="122" t="s">
        <v>8</v>
      </c>
      <c r="I294" s="123">
        <v>21.082003</v>
      </c>
      <c r="J294" s="123">
        <v>-101.62056</v>
      </c>
      <c r="K294" s="122"/>
      <c r="L294" s="125" t="str">
        <f t="shared" si="12"/>
        <v>Ver en Google Maps</v>
      </c>
      <c r="M294" s="122">
        <v>2</v>
      </c>
      <c r="N294" s="130"/>
      <c r="O294" s="109"/>
      <c r="P294" s="109"/>
      <c r="Q294" s="109"/>
      <c r="R294" s="109"/>
      <c r="S294" s="109"/>
      <c r="T294" s="109"/>
      <c r="U294" s="109"/>
      <c r="V294" s="109"/>
      <c r="W294" s="109"/>
      <c r="X294" s="109"/>
      <c r="Y294" s="109"/>
      <c r="Z294" s="109"/>
      <c r="AA294" s="109"/>
      <c r="AB294" s="109"/>
      <c r="AC294" s="109"/>
      <c r="AD294" s="110"/>
      <c r="AE294" s="109"/>
      <c r="AF294" s="111"/>
    </row>
    <row r="295" spans="1:32" x14ac:dyDescent="0.2">
      <c r="A295" s="112">
        <v>750</v>
      </c>
      <c r="B295" s="113" t="s">
        <v>956</v>
      </c>
      <c r="C295" s="114" t="s">
        <v>429</v>
      </c>
      <c r="D295" s="114" t="s">
        <v>16</v>
      </c>
      <c r="E295" s="115" t="s">
        <v>328</v>
      </c>
      <c r="F295" s="115" t="s">
        <v>709</v>
      </c>
      <c r="G295" s="115" t="s">
        <v>117</v>
      </c>
      <c r="H295" s="113" t="s">
        <v>8</v>
      </c>
      <c r="I295" s="114">
        <v>21.085061</v>
      </c>
      <c r="J295" s="114">
        <v>-101.591691</v>
      </c>
      <c r="K295" s="113"/>
      <c r="L295" s="116" t="str">
        <f t="shared" si="12"/>
        <v>Ver en Google Maps</v>
      </c>
      <c r="M295" s="113">
        <v>1</v>
      </c>
      <c r="N295" s="129"/>
      <c r="O295" s="118"/>
      <c r="P295" s="118"/>
      <c r="Q295" s="118"/>
      <c r="R295" s="118"/>
      <c r="S295" s="118"/>
      <c r="T295" s="118"/>
      <c r="U295" s="118"/>
      <c r="V295" s="118"/>
      <c r="W295" s="118"/>
      <c r="X295" s="118"/>
      <c r="Y295" s="118"/>
      <c r="Z295" s="118"/>
      <c r="AA295" s="118"/>
      <c r="AB295" s="118"/>
      <c r="AC295" s="118"/>
      <c r="AD295" s="119"/>
      <c r="AE295" s="118"/>
      <c r="AF295" s="120"/>
    </row>
    <row r="296" spans="1:32" x14ac:dyDescent="0.2">
      <c r="A296" s="121">
        <v>755</v>
      </c>
      <c r="B296" s="122" t="s">
        <v>956</v>
      </c>
      <c r="C296" s="123" t="s">
        <v>429</v>
      </c>
      <c r="D296" s="123" t="s">
        <v>15</v>
      </c>
      <c r="E296" s="124" t="s">
        <v>329</v>
      </c>
      <c r="F296" s="124" t="s">
        <v>710</v>
      </c>
      <c r="G296" s="124" t="s">
        <v>330</v>
      </c>
      <c r="H296" s="122" t="s">
        <v>8</v>
      </c>
      <c r="I296" s="123">
        <v>21.188616</v>
      </c>
      <c r="J296" s="123">
        <v>-101.764533</v>
      </c>
      <c r="K296" s="122"/>
      <c r="L296" s="125" t="str">
        <f t="shared" si="12"/>
        <v>Ver en Google Maps</v>
      </c>
      <c r="M296" s="122">
        <v>2</v>
      </c>
      <c r="N296" s="130"/>
      <c r="O296" s="109"/>
      <c r="P296" s="109"/>
      <c r="Q296" s="109"/>
      <c r="R296" s="109"/>
      <c r="S296" s="109"/>
      <c r="T296" s="109"/>
      <c r="U296" s="109"/>
      <c r="V296" s="109"/>
      <c r="W296" s="109"/>
      <c r="X296" s="109"/>
      <c r="Y296" s="109"/>
      <c r="Z296" s="109"/>
      <c r="AA296" s="109"/>
      <c r="AB296" s="109"/>
      <c r="AC296" s="109"/>
      <c r="AD296" s="110"/>
      <c r="AE296" s="109"/>
      <c r="AF296" s="111"/>
    </row>
    <row r="297" spans="1:32" x14ac:dyDescent="0.2">
      <c r="A297" s="112">
        <v>756</v>
      </c>
      <c r="B297" s="113" t="s">
        <v>956</v>
      </c>
      <c r="C297" s="114" t="s">
        <v>14</v>
      </c>
      <c r="D297" s="114" t="s">
        <v>404</v>
      </c>
      <c r="E297" s="115" t="s">
        <v>331</v>
      </c>
      <c r="F297" s="115" t="s">
        <v>711</v>
      </c>
      <c r="G297" s="115" t="s">
        <v>1149</v>
      </c>
      <c r="H297" s="113" t="s">
        <v>8</v>
      </c>
      <c r="I297" s="114">
        <v>21.12473</v>
      </c>
      <c r="J297" s="114">
        <v>-101.60183000000001</v>
      </c>
      <c r="K297" s="113"/>
      <c r="L297" s="116" t="str">
        <f t="shared" si="12"/>
        <v>Ver en Google Maps</v>
      </c>
      <c r="M297" s="113">
        <v>1</v>
      </c>
      <c r="N297" s="129"/>
      <c r="O297" s="118"/>
      <c r="P297" s="118"/>
      <c r="Q297" s="118"/>
      <c r="R297" s="118"/>
      <c r="S297" s="118"/>
      <c r="T297" s="118"/>
      <c r="U297" s="118"/>
      <c r="V297" s="118"/>
      <c r="W297" s="118"/>
      <c r="X297" s="118"/>
      <c r="Y297" s="118"/>
      <c r="Z297" s="118"/>
      <c r="AA297" s="118"/>
      <c r="AB297" s="118"/>
      <c r="AC297" s="118"/>
      <c r="AD297" s="119"/>
      <c r="AE297" s="118"/>
      <c r="AF297" s="120"/>
    </row>
    <row r="298" spans="1:32" x14ac:dyDescent="0.2">
      <c r="A298" s="121">
        <v>757</v>
      </c>
      <c r="B298" s="122" t="s">
        <v>956</v>
      </c>
      <c r="C298" s="123" t="s">
        <v>429</v>
      </c>
      <c r="D298" s="123" t="s">
        <v>16</v>
      </c>
      <c r="E298" s="124" t="s">
        <v>332</v>
      </c>
      <c r="F298" s="124" t="s">
        <v>712</v>
      </c>
      <c r="G298" s="124" t="s">
        <v>145</v>
      </c>
      <c r="H298" s="122" t="s">
        <v>8</v>
      </c>
      <c r="I298" s="123">
        <v>21.134125000000001</v>
      </c>
      <c r="J298" s="123">
        <v>-101.774197</v>
      </c>
      <c r="K298" s="122"/>
      <c r="L298" s="125" t="str">
        <f t="shared" si="12"/>
        <v>Ver en Google Maps</v>
      </c>
      <c r="M298" s="122">
        <v>1</v>
      </c>
      <c r="N298" s="130"/>
      <c r="O298" s="109"/>
      <c r="P298" s="109"/>
      <c r="Q298" s="109"/>
      <c r="R298" s="109"/>
      <c r="S298" s="109"/>
      <c r="T298" s="109"/>
      <c r="U298" s="109"/>
      <c r="V298" s="109"/>
      <c r="W298" s="109"/>
      <c r="X298" s="109"/>
      <c r="Y298" s="109"/>
      <c r="Z298" s="109"/>
      <c r="AA298" s="109"/>
      <c r="AB298" s="109"/>
      <c r="AC298" s="109"/>
      <c r="AD298" s="110"/>
      <c r="AE298" s="109"/>
      <c r="AF298" s="111"/>
    </row>
    <row r="299" spans="1:32" x14ac:dyDescent="0.2">
      <c r="A299" s="112">
        <v>758</v>
      </c>
      <c r="B299" s="113" t="s">
        <v>956</v>
      </c>
      <c r="C299" s="114" t="s">
        <v>429</v>
      </c>
      <c r="D299" s="114" t="s">
        <v>15</v>
      </c>
      <c r="E299" s="115" t="s">
        <v>333</v>
      </c>
      <c r="F299" s="115" t="s">
        <v>713</v>
      </c>
      <c r="G299" s="115" t="s">
        <v>145</v>
      </c>
      <c r="H299" s="113" t="s">
        <v>8</v>
      </c>
      <c r="I299" s="114">
        <v>21.134758000000001</v>
      </c>
      <c r="J299" s="114">
        <v>-101.774316</v>
      </c>
      <c r="K299" s="113"/>
      <c r="L299" s="116" t="str">
        <f t="shared" si="12"/>
        <v>Ver en Google Maps</v>
      </c>
      <c r="M299" s="113">
        <v>2</v>
      </c>
      <c r="N299" s="129"/>
      <c r="O299" s="118"/>
      <c r="P299" s="118"/>
      <c r="Q299" s="118"/>
      <c r="R299" s="118"/>
      <c r="S299" s="118"/>
      <c r="T299" s="118"/>
      <c r="U299" s="118"/>
      <c r="V299" s="118"/>
      <c r="W299" s="118"/>
      <c r="X299" s="118"/>
      <c r="Y299" s="118"/>
      <c r="Z299" s="118"/>
      <c r="AA299" s="118"/>
      <c r="AB299" s="118"/>
      <c r="AC299" s="118"/>
      <c r="AD299" s="119"/>
      <c r="AE299" s="118"/>
      <c r="AF299" s="120"/>
    </row>
    <row r="300" spans="1:32" x14ac:dyDescent="0.2">
      <c r="A300" s="121">
        <v>759</v>
      </c>
      <c r="B300" s="122" t="s">
        <v>956</v>
      </c>
      <c r="C300" s="123" t="s">
        <v>429</v>
      </c>
      <c r="D300" s="123" t="s">
        <v>17</v>
      </c>
      <c r="E300" s="124" t="s">
        <v>334</v>
      </c>
      <c r="F300" s="124" t="s">
        <v>714</v>
      </c>
      <c r="G300" s="124" t="s">
        <v>1150</v>
      </c>
      <c r="H300" s="122" t="s">
        <v>8</v>
      </c>
      <c r="I300" s="123">
        <v>21.070872000000001</v>
      </c>
      <c r="J300" s="123">
        <v>-101.62791900000001</v>
      </c>
      <c r="K300" s="122"/>
      <c r="L300" s="125" t="str">
        <f t="shared" si="12"/>
        <v>Ver en Google Maps</v>
      </c>
      <c r="M300" s="122">
        <v>1</v>
      </c>
      <c r="N300" s="130"/>
      <c r="O300" s="109"/>
      <c r="P300" s="109"/>
      <c r="Q300" s="109"/>
      <c r="R300" s="109"/>
      <c r="S300" s="109"/>
      <c r="T300" s="109"/>
      <c r="U300" s="109"/>
      <c r="V300" s="109"/>
      <c r="W300" s="109"/>
      <c r="X300" s="109"/>
      <c r="Y300" s="109"/>
      <c r="Z300" s="109"/>
      <c r="AA300" s="109"/>
      <c r="AB300" s="109"/>
      <c r="AC300" s="109"/>
      <c r="AD300" s="110"/>
      <c r="AE300" s="109"/>
      <c r="AF300" s="111"/>
    </row>
    <row r="301" spans="1:32" x14ac:dyDescent="0.2">
      <c r="A301" s="112">
        <v>760</v>
      </c>
      <c r="B301" s="113" t="s">
        <v>956</v>
      </c>
      <c r="C301" s="114" t="s">
        <v>429</v>
      </c>
      <c r="D301" s="114" t="s">
        <v>17</v>
      </c>
      <c r="E301" s="115" t="s">
        <v>335</v>
      </c>
      <c r="F301" s="115" t="s">
        <v>715</v>
      </c>
      <c r="G301" s="115" t="s">
        <v>1151</v>
      </c>
      <c r="H301" s="113" t="s">
        <v>8</v>
      </c>
      <c r="I301" s="114">
        <v>21.150936999999999</v>
      </c>
      <c r="J301" s="114">
        <v>-101.746589</v>
      </c>
      <c r="K301" s="113"/>
      <c r="L301" s="116" t="str">
        <f t="shared" si="12"/>
        <v>Ver en Google Maps</v>
      </c>
      <c r="M301" s="113">
        <v>1</v>
      </c>
      <c r="N301" s="129"/>
      <c r="O301" s="118"/>
      <c r="P301" s="118"/>
      <c r="Q301" s="118"/>
      <c r="R301" s="118"/>
      <c r="S301" s="118"/>
      <c r="T301" s="118"/>
      <c r="U301" s="118"/>
      <c r="V301" s="118"/>
      <c r="W301" s="118"/>
      <c r="X301" s="118"/>
      <c r="Y301" s="118"/>
      <c r="Z301" s="118"/>
      <c r="AA301" s="118"/>
      <c r="AB301" s="118"/>
      <c r="AC301" s="118"/>
      <c r="AD301" s="119"/>
      <c r="AE301" s="118"/>
      <c r="AF301" s="120"/>
    </row>
    <row r="302" spans="1:32" x14ac:dyDescent="0.2">
      <c r="A302" s="121">
        <v>761</v>
      </c>
      <c r="B302" s="122" t="s">
        <v>956</v>
      </c>
      <c r="C302" s="123" t="s">
        <v>429</v>
      </c>
      <c r="D302" s="123" t="s">
        <v>336</v>
      </c>
      <c r="E302" s="124" t="s">
        <v>716</v>
      </c>
      <c r="F302" s="124" t="s">
        <v>717</v>
      </c>
      <c r="G302" s="124" t="s">
        <v>1078</v>
      </c>
      <c r="H302" s="122" t="s">
        <v>8</v>
      </c>
      <c r="I302" s="123">
        <v>21.063869</v>
      </c>
      <c r="J302" s="123">
        <v>-101.581649</v>
      </c>
      <c r="K302" s="122"/>
      <c r="L302" s="125" t="str">
        <f t="shared" si="12"/>
        <v>Ver en Google Maps</v>
      </c>
      <c r="M302" s="122">
        <v>2</v>
      </c>
      <c r="N302" s="130"/>
      <c r="O302" s="109"/>
      <c r="P302" s="109"/>
      <c r="Q302" s="109"/>
      <c r="R302" s="109"/>
      <c r="S302" s="109"/>
      <c r="T302" s="109"/>
      <c r="U302" s="109"/>
      <c r="V302" s="109"/>
      <c r="W302" s="109"/>
      <c r="X302" s="109"/>
      <c r="Y302" s="109"/>
      <c r="Z302" s="109"/>
      <c r="AA302" s="109"/>
      <c r="AB302" s="109"/>
      <c r="AC302" s="109"/>
      <c r="AD302" s="110"/>
      <c r="AE302" s="109"/>
      <c r="AF302" s="111"/>
    </row>
    <row r="303" spans="1:32" x14ac:dyDescent="0.2">
      <c r="A303" s="112">
        <v>762</v>
      </c>
      <c r="B303" s="113" t="s">
        <v>956</v>
      </c>
      <c r="C303" s="114" t="s">
        <v>429</v>
      </c>
      <c r="D303" s="114" t="s">
        <v>17</v>
      </c>
      <c r="E303" s="115" t="s">
        <v>337</v>
      </c>
      <c r="F303" s="115" t="s">
        <v>718</v>
      </c>
      <c r="G303" s="115" t="s">
        <v>1064</v>
      </c>
      <c r="H303" s="113" t="s">
        <v>8</v>
      </c>
      <c r="I303" s="114">
        <v>21.099747000000001</v>
      </c>
      <c r="J303" s="114">
        <v>-101.576886</v>
      </c>
      <c r="K303" s="113"/>
      <c r="L303" s="116" t="str">
        <f t="shared" si="12"/>
        <v>Ver en Google Maps</v>
      </c>
      <c r="M303" s="113">
        <v>1</v>
      </c>
      <c r="N303" s="129"/>
      <c r="O303" s="118"/>
      <c r="P303" s="118"/>
      <c r="Q303" s="118"/>
      <c r="R303" s="118"/>
      <c r="S303" s="118"/>
      <c r="T303" s="118"/>
      <c r="U303" s="118"/>
      <c r="V303" s="118"/>
      <c r="W303" s="118"/>
      <c r="X303" s="118"/>
      <c r="Y303" s="118"/>
      <c r="Z303" s="118"/>
      <c r="AA303" s="118"/>
      <c r="AB303" s="118"/>
      <c r="AC303" s="118"/>
      <c r="AD303" s="119"/>
      <c r="AE303" s="118"/>
      <c r="AF303" s="120"/>
    </row>
    <row r="304" spans="1:32" x14ac:dyDescent="0.2">
      <c r="A304" s="121">
        <v>763</v>
      </c>
      <c r="B304" s="122" t="s">
        <v>956</v>
      </c>
      <c r="C304" s="123" t="s">
        <v>429</v>
      </c>
      <c r="D304" s="123" t="s">
        <v>15</v>
      </c>
      <c r="E304" s="124" t="s">
        <v>338</v>
      </c>
      <c r="F304" s="124" t="s">
        <v>719</v>
      </c>
      <c r="G304" s="124" t="s">
        <v>1151</v>
      </c>
      <c r="H304" s="122" t="s">
        <v>8</v>
      </c>
      <c r="I304" s="123">
        <v>21.152619000000001</v>
      </c>
      <c r="J304" s="123">
        <v>-101.747007</v>
      </c>
      <c r="K304" s="122"/>
      <c r="L304" s="125" t="str">
        <f t="shared" si="12"/>
        <v>Ver en Google Maps</v>
      </c>
      <c r="M304" s="122">
        <v>2</v>
      </c>
      <c r="N304" s="130"/>
      <c r="O304" s="109"/>
      <c r="P304" s="109"/>
      <c r="Q304" s="109"/>
      <c r="R304" s="109"/>
      <c r="S304" s="109"/>
      <c r="T304" s="109"/>
      <c r="U304" s="109"/>
      <c r="V304" s="109"/>
      <c r="W304" s="109"/>
      <c r="X304" s="109"/>
      <c r="Y304" s="109"/>
      <c r="Z304" s="109"/>
      <c r="AA304" s="109"/>
      <c r="AB304" s="109"/>
      <c r="AC304" s="109"/>
      <c r="AD304" s="110"/>
      <c r="AE304" s="109"/>
      <c r="AF304" s="111"/>
    </row>
    <row r="305" spans="1:32" x14ac:dyDescent="0.2">
      <c r="A305" s="112">
        <v>764</v>
      </c>
      <c r="B305" s="113" t="s">
        <v>956</v>
      </c>
      <c r="C305" s="114" t="s">
        <v>429</v>
      </c>
      <c r="D305" s="114" t="s">
        <v>15</v>
      </c>
      <c r="E305" s="115" t="s">
        <v>339</v>
      </c>
      <c r="F305" s="115" t="s">
        <v>720</v>
      </c>
      <c r="G305" s="115" t="s">
        <v>1152</v>
      </c>
      <c r="H305" s="113" t="s">
        <v>8</v>
      </c>
      <c r="I305" s="114">
        <v>21.144985999999999</v>
      </c>
      <c r="J305" s="114">
        <v>-101.652635</v>
      </c>
      <c r="K305" s="113" t="s">
        <v>139</v>
      </c>
      <c r="L305" s="116" t="str">
        <f t="shared" si="12"/>
        <v>Ver en Google Maps</v>
      </c>
      <c r="M305" s="113">
        <v>2</v>
      </c>
      <c r="N305" s="117">
        <v>45955</v>
      </c>
      <c r="O305" s="118">
        <f>DAY('BD2'!$N305)</f>
        <v>25</v>
      </c>
      <c r="P305" s="118">
        <f>MONTH('BD2'!$N305)</f>
        <v>10</v>
      </c>
      <c r="Q305" s="118">
        <f>YEAR('BD2'!$N305)</f>
        <v>2025</v>
      </c>
      <c r="R305" s="118">
        <v>2</v>
      </c>
      <c r="S305" s="118" t="s">
        <v>138</v>
      </c>
      <c r="T305" s="118" t="s">
        <v>138</v>
      </c>
      <c r="U305" s="118" t="s">
        <v>138</v>
      </c>
      <c r="V305" s="118" t="s">
        <v>138</v>
      </c>
      <c r="W305" s="118" t="s">
        <v>138</v>
      </c>
      <c r="X305" s="118" t="s">
        <v>138</v>
      </c>
      <c r="Y305" s="118" t="s">
        <v>138</v>
      </c>
      <c r="Z305" s="118" t="str">
        <f>IF('BD2'!$AA305 &lt; 14, "no", "si")</f>
        <v>si</v>
      </c>
      <c r="AA305" s="118">
        <v>62.4</v>
      </c>
      <c r="AB305" s="118">
        <v>17</v>
      </c>
      <c r="AC305" s="119" t="s">
        <v>967</v>
      </c>
      <c r="AD305" s="119" t="s">
        <v>957</v>
      </c>
      <c r="AE305" s="118">
        <f t="shared" si="15"/>
        <v>8</v>
      </c>
      <c r="AF305" s="120" t="str">
        <f t="shared" si="14"/>
        <v>Estable</v>
      </c>
    </row>
    <row r="306" spans="1:32" x14ac:dyDescent="0.2">
      <c r="A306" s="121">
        <v>765</v>
      </c>
      <c r="B306" s="122" t="s">
        <v>956</v>
      </c>
      <c r="C306" s="123" t="s">
        <v>429</v>
      </c>
      <c r="D306" s="123" t="s">
        <v>15</v>
      </c>
      <c r="E306" s="124" t="s">
        <v>338</v>
      </c>
      <c r="F306" s="124" t="s">
        <v>719</v>
      </c>
      <c r="G306" s="124" t="s">
        <v>300</v>
      </c>
      <c r="H306" s="122" t="s">
        <v>8</v>
      </c>
      <c r="I306" s="123">
        <v>21.152619000000001</v>
      </c>
      <c r="J306" s="123">
        <v>-101.747007</v>
      </c>
      <c r="K306" s="122"/>
      <c r="L306" s="125" t="str">
        <f t="shared" si="12"/>
        <v>Ver en Google Maps</v>
      </c>
      <c r="M306" s="122">
        <v>2</v>
      </c>
      <c r="N306" s="130"/>
      <c r="O306" s="109"/>
      <c r="P306" s="109"/>
      <c r="Q306" s="109"/>
      <c r="R306" s="109"/>
      <c r="S306" s="109"/>
      <c r="T306" s="109"/>
      <c r="U306" s="109"/>
      <c r="V306" s="109"/>
      <c r="W306" s="109"/>
      <c r="X306" s="109"/>
      <c r="Y306" s="109"/>
      <c r="Z306" s="109"/>
      <c r="AA306" s="109"/>
      <c r="AB306" s="109"/>
      <c r="AC306" s="109"/>
      <c r="AD306" s="110"/>
      <c r="AE306" s="109"/>
      <c r="AF306" s="111"/>
    </row>
    <row r="307" spans="1:32" x14ac:dyDescent="0.2">
      <c r="A307" s="112">
        <v>770</v>
      </c>
      <c r="B307" s="113" t="s">
        <v>956</v>
      </c>
      <c r="C307" s="114" t="s">
        <v>429</v>
      </c>
      <c r="D307" s="114" t="s">
        <v>17</v>
      </c>
      <c r="E307" s="115" t="s">
        <v>340</v>
      </c>
      <c r="F307" s="115" t="s">
        <v>721</v>
      </c>
      <c r="G307" s="115" t="s">
        <v>1064</v>
      </c>
      <c r="H307" s="113" t="s">
        <v>8</v>
      </c>
      <c r="I307" s="114">
        <v>21.098651</v>
      </c>
      <c r="J307" s="114">
        <v>-101.57459</v>
      </c>
      <c r="K307" s="113"/>
      <c r="L307" s="116" t="str">
        <f t="shared" si="12"/>
        <v>Ver en Google Maps</v>
      </c>
      <c r="M307" s="113">
        <v>1</v>
      </c>
      <c r="N307" s="129"/>
      <c r="O307" s="118"/>
      <c r="P307" s="118"/>
      <c r="Q307" s="118"/>
      <c r="R307" s="118"/>
      <c r="S307" s="118"/>
      <c r="T307" s="118"/>
      <c r="U307" s="118"/>
      <c r="V307" s="118"/>
      <c r="W307" s="118"/>
      <c r="X307" s="118"/>
      <c r="Y307" s="118"/>
      <c r="Z307" s="118"/>
      <c r="AA307" s="118"/>
      <c r="AB307" s="118"/>
      <c r="AC307" s="118"/>
      <c r="AD307" s="119"/>
      <c r="AE307" s="118"/>
      <c r="AF307" s="120"/>
    </row>
    <row r="308" spans="1:32" x14ac:dyDescent="0.2">
      <c r="A308" s="131">
        <v>772</v>
      </c>
      <c r="B308" s="122" t="s">
        <v>956</v>
      </c>
      <c r="C308" s="123" t="s">
        <v>429</v>
      </c>
      <c r="D308" s="123" t="s">
        <v>16</v>
      </c>
      <c r="E308" s="124" t="s">
        <v>722</v>
      </c>
      <c r="F308" s="124" t="s">
        <v>723</v>
      </c>
      <c r="G308" s="124" t="s">
        <v>330</v>
      </c>
      <c r="H308" s="122" t="s">
        <v>8</v>
      </c>
      <c r="I308" s="123">
        <v>21.183347999999999</v>
      </c>
      <c r="J308" s="123">
        <v>-101.766423</v>
      </c>
      <c r="K308" s="122"/>
      <c r="L308" s="125" t="str">
        <f t="shared" si="12"/>
        <v>Ver en Google Maps</v>
      </c>
      <c r="M308" s="122">
        <v>1</v>
      </c>
      <c r="N308" s="108"/>
      <c r="O308" s="109"/>
      <c r="P308" s="109"/>
      <c r="Q308" s="109"/>
      <c r="R308" s="109"/>
      <c r="S308" s="109"/>
      <c r="T308" s="109"/>
      <c r="U308" s="109"/>
      <c r="V308" s="109"/>
      <c r="W308" s="109"/>
      <c r="X308" s="109"/>
      <c r="Y308" s="109"/>
      <c r="Z308" s="109"/>
      <c r="AA308" s="109"/>
      <c r="AB308" s="109"/>
      <c r="AC308" s="110"/>
      <c r="AD308" s="110"/>
      <c r="AE308" s="109"/>
      <c r="AF308" s="111"/>
    </row>
    <row r="309" spans="1:32" x14ac:dyDescent="0.2">
      <c r="A309" s="112">
        <v>774</v>
      </c>
      <c r="B309" s="113" t="s">
        <v>956</v>
      </c>
      <c r="C309" s="114" t="s">
        <v>429</v>
      </c>
      <c r="D309" s="114" t="s">
        <v>16</v>
      </c>
      <c r="E309" s="115" t="s">
        <v>341</v>
      </c>
      <c r="F309" s="115" t="s">
        <v>724</v>
      </c>
      <c r="G309" s="115" t="s">
        <v>342</v>
      </c>
      <c r="H309" s="113" t="s">
        <v>8</v>
      </c>
      <c r="I309" s="114">
        <v>21.153176999999999</v>
      </c>
      <c r="J309" s="114">
        <v>-101.743584</v>
      </c>
      <c r="K309" s="113"/>
      <c r="L309" s="116" t="str">
        <f t="shared" si="12"/>
        <v>Ver en Google Maps</v>
      </c>
      <c r="M309" s="113">
        <v>1</v>
      </c>
      <c r="N309" s="129"/>
      <c r="O309" s="118"/>
      <c r="P309" s="118"/>
      <c r="Q309" s="118"/>
      <c r="R309" s="118"/>
      <c r="S309" s="118"/>
      <c r="T309" s="118"/>
      <c r="U309" s="118"/>
      <c r="V309" s="118"/>
      <c r="W309" s="118"/>
      <c r="X309" s="118"/>
      <c r="Y309" s="118"/>
      <c r="Z309" s="118"/>
      <c r="AA309" s="118"/>
      <c r="AB309" s="118"/>
      <c r="AC309" s="118"/>
      <c r="AD309" s="119"/>
      <c r="AE309" s="118"/>
      <c r="AF309" s="120"/>
    </row>
    <row r="310" spans="1:32" x14ac:dyDescent="0.2">
      <c r="A310" s="121">
        <v>780</v>
      </c>
      <c r="B310" s="122" t="s">
        <v>956</v>
      </c>
      <c r="C310" s="123" t="s">
        <v>429</v>
      </c>
      <c r="D310" s="123" t="s">
        <v>16</v>
      </c>
      <c r="E310" s="124" t="s">
        <v>343</v>
      </c>
      <c r="F310" s="124" t="s">
        <v>725</v>
      </c>
      <c r="G310" s="124" t="s">
        <v>1134</v>
      </c>
      <c r="H310" s="122" t="s">
        <v>8</v>
      </c>
      <c r="I310" s="123">
        <v>21.153790000000001</v>
      </c>
      <c r="J310" s="123">
        <v>-101.73441</v>
      </c>
      <c r="K310" s="122"/>
      <c r="L310" s="125" t="str">
        <f t="shared" si="12"/>
        <v>Ver en Google Maps</v>
      </c>
      <c r="M310" s="122">
        <v>1</v>
      </c>
      <c r="N310" s="130"/>
      <c r="O310" s="109"/>
      <c r="P310" s="109"/>
      <c r="Q310" s="109"/>
      <c r="R310" s="109"/>
      <c r="S310" s="109"/>
      <c r="T310" s="109"/>
      <c r="U310" s="109"/>
      <c r="V310" s="109"/>
      <c r="W310" s="109"/>
      <c r="X310" s="109"/>
      <c r="Y310" s="109"/>
      <c r="Z310" s="109"/>
      <c r="AA310" s="109"/>
      <c r="AB310" s="109"/>
      <c r="AC310" s="109"/>
      <c r="AD310" s="110"/>
      <c r="AE310" s="109"/>
      <c r="AF310" s="111"/>
    </row>
    <row r="311" spans="1:32" x14ac:dyDescent="0.2">
      <c r="A311" s="112">
        <v>781</v>
      </c>
      <c r="B311" s="113" t="s">
        <v>956</v>
      </c>
      <c r="C311" s="114" t="s">
        <v>429</v>
      </c>
      <c r="D311" s="114" t="s">
        <v>16</v>
      </c>
      <c r="E311" s="115" t="s">
        <v>344</v>
      </c>
      <c r="F311" s="115" t="s">
        <v>726</v>
      </c>
      <c r="G311" s="115" t="s">
        <v>1153</v>
      </c>
      <c r="H311" s="113" t="s">
        <v>8</v>
      </c>
      <c r="I311" s="114">
        <v>21.081939999999999</v>
      </c>
      <c r="J311" s="114">
        <v>-101.64836</v>
      </c>
      <c r="K311" s="113"/>
      <c r="L311" s="116" t="str">
        <f t="shared" si="12"/>
        <v>Ver en Google Maps</v>
      </c>
      <c r="M311" s="113">
        <v>1</v>
      </c>
      <c r="N311" s="129"/>
      <c r="O311" s="118"/>
      <c r="P311" s="118"/>
      <c r="Q311" s="118"/>
      <c r="R311" s="118"/>
      <c r="S311" s="118"/>
      <c r="T311" s="118"/>
      <c r="U311" s="118"/>
      <c r="V311" s="118"/>
      <c r="W311" s="118"/>
      <c r="X311" s="118"/>
      <c r="Y311" s="118"/>
      <c r="Z311" s="118"/>
      <c r="AA311" s="118"/>
      <c r="AB311" s="118"/>
      <c r="AC311" s="118"/>
      <c r="AD311" s="119"/>
      <c r="AE311" s="118"/>
      <c r="AF311" s="120"/>
    </row>
    <row r="312" spans="1:32" x14ac:dyDescent="0.2">
      <c r="A312" s="121">
        <v>782</v>
      </c>
      <c r="B312" s="122" t="s">
        <v>956</v>
      </c>
      <c r="C312" s="123" t="s">
        <v>429</v>
      </c>
      <c r="D312" s="123" t="s">
        <v>17</v>
      </c>
      <c r="E312" s="124" t="s">
        <v>345</v>
      </c>
      <c r="F312" s="124" t="s">
        <v>727</v>
      </c>
      <c r="G312" s="124" t="s">
        <v>22</v>
      </c>
      <c r="H312" s="122" t="s">
        <v>8</v>
      </c>
      <c r="I312" s="123">
        <v>21.101130000000001</v>
      </c>
      <c r="J312" s="123">
        <v>-101.58607000000001</v>
      </c>
      <c r="K312" s="122"/>
      <c r="L312" s="125" t="str">
        <f t="shared" si="12"/>
        <v>Ver en Google Maps</v>
      </c>
      <c r="M312" s="122">
        <v>1</v>
      </c>
      <c r="N312" s="130"/>
      <c r="O312" s="109"/>
      <c r="P312" s="109"/>
      <c r="Q312" s="109"/>
      <c r="R312" s="109"/>
      <c r="S312" s="109"/>
      <c r="T312" s="109"/>
      <c r="U312" s="109"/>
      <c r="V312" s="109"/>
      <c r="W312" s="109"/>
      <c r="X312" s="109"/>
      <c r="Y312" s="109"/>
      <c r="Z312" s="109"/>
      <c r="AA312" s="109"/>
      <c r="AB312" s="109"/>
      <c r="AC312" s="109"/>
      <c r="AD312" s="110"/>
      <c r="AE312" s="109"/>
      <c r="AF312" s="111"/>
    </row>
    <row r="313" spans="1:32" x14ac:dyDescent="0.2">
      <c r="A313" s="112">
        <v>783</v>
      </c>
      <c r="B313" s="113" t="s">
        <v>956</v>
      </c>
      <c r="C313" s="114" t="s">
        <v>429</v>
      </c>
      <c r="D313" s="114" t="s">
        <v>16</v>
      </c>
      <c r="E313" s="115" t="s">
        <v>346</v>
      </c>
      <c r="F313" s="115" t="s">
        <v>728</v>
      </c>
      <c r="G313" s="115" t="s">
        <v>22</v>
      </c>
      <c r="H313" s="113" t="s">
        <v>8</v>
      </c>
      <c r="I313" s="114">
        <v>21.093223999999999</v>
      </c>
      <c r="J313" s="114">
        <v>-101.587727</v>
      </c>
      <c r="K313" s="113"/>
      <c r="L313" s="116" t="str">
        <f t="shared" si="12"/>
        <v>Ver en Google Maps</v>
      </c>
      <c r="M313" s="113">
        <v>1</v>
      </c>
      <c r="N313" s="129"/>
      <c r="O313" s="118"/>
      <c r="P313" s="118"/>
      <c r="Q313" s="118"/>
      <c r="R313" s="118"/>
      <c r="S313" s="118"/>
      <c r="T313" s="118"/>
      <c r="U313" s="118"/>
      <c r="V313" s="118"/>
      <c r="W313" s="118"/>
      <c r="X313" s="118"/>
      <c r="Y313" s="118"/>
      <c r="Z313" s="118"/>
      <c r="AA313" s="118"/>
      <c r="AB313" s="118"/>
      <c r="AC313" s="118"/>
      <c r="AD313" s="119"/>
      <c r="AE313" s="118"/>
      <c r="AF313" s="120"/>
    </row>
    <row r="314" spans="1:32" x14ac:dyDescent="0.2">
      <c r="A314" s="121">
        <v>786</v>
      </c>
      <c r="B314" s="122" t="s">
        <v>956</v>
      </c>
      <c r="C314" s="123" t="s">
        <v>429</v>
      </c>
      <c r="D314" s="123" t="s">
        <v>132</v>
      </c>
      <c r="E314" s="124" t="s">
        <v>347</v>
      </c>
      <c r="F314" s="124" t="s">
        <v>729</v>
      </c>
      <c r="G314" s="124" t="s">
        <v>1149</v>
      </c>
      <c r="H314" s="122" t="s">
        <v>8</v>
      </c>
      <c r="I314" s="123">
        <v>21.12501</v>
      </c>
      <c r="J314" s="123">
        <v>-101.59496</v>
      </c>
      <c r="K314" s="122"/>
      <c r="L314" s="125" t="str">
        <f t="shared" si="12"/>
        <v>Ver en Google Maps</v>
      </c>
      <c r="M314" s="122">
        <v>2</v>
      </c>
      <c r="N314" s="130"/>
      <c r="O314" s="109"/>
      <c r="P314" s="109"/>
      <c r="Q314" s="109"/>
      <c r="R314" s="109"/>
      <c r="S314" s="109"/>
      <c r="T314" s="109"/>
      <c r="U314" s="109"/>
      <c r="V314" s="109"/>
      <c r="W314" s="109"/>
      <c r="X314" s="109"/>
      <c r="Y314" s="109"/>
      <c r="Z314" s="109"/>
      <c r="AA314" s="109"/>
      <c r="AB314" s="109"/>
      <c r="AC314" s="109"/>
      <c r="AD314" s="110"/>
      <c r="AE314" s="109"/>
      <c r="AF314" s="111"/>
    </row>
    <row r="315" spans="1:32" x14ac:dyDescent="0.2">
      <c r="A315" s="112">
        <v>791</v>
      </c>
      <c r="B315" s="113" t="s">
        <v>956</v>
      </c>
      <c r="C315" s="114" t="s">
        <v>429</v>
      </c>
      <c r="D315" s="114" t="s">
        <v>132</v>
      </c>
      <c r="E315" s="115" t="s">
        <v>730</v>
      </c>
      <c r="F315" s="115" t="s">
        <v>731</v>
      </c>
      <c r="G315" s="115" t="s">
        <v>1126</v>
      </c>
      <c r="H315" s="113" t="s">
        <v>8</v>
      </c>
      <c r="I315" s="114">
        <v>21.066155999999999</v>
      </c>
      <c r="J315" s="114">
        <v>-101.624369</v>
      </c>
      <c r="K315" s="113"/>
      <c r="L315" s="116" t="str">
        <f t="shared" si="12"/>
        <v>Ver en Google Maps</v>
      </c>
      <c r="M315" s="113">
        <v>2</v>
      </c>
      <c r="N315" s="129"/>
      <c r="O315" s="118"/>
      <c r="P315" s="118"/>
      <c r="Q315" s="118"/>
      <c r="R315" s="118"/>
      <c r="S315" s="118"/>
      <c r="T315" s="118"/>
      <c r="U315" s="118"/>
      <c r="V315" s="118"/>
      <c r="W315" s="118"/>
      <c r="X315" s="118"/>
      <c r="Y315" s="118"/>
      <c r="Z315" s="118"/>
      <c r="AA315" s="118"/>
      <c r="AB315" s="118"/>
      <c r="AC315" s="118"/>
      <c r="AD315" s="119"/>
      <c r="AE315" s="118"/>
      <c r="AF315" s="120"/>
    </row>
    <row r="316" spans="1:32" x14ac:dyDescent="0.2">
      <c r="A316" s="121">
        <v>792</v>
      </c>
      <c r="B316" s="122" t="s">
        <v>956</v>
      </c>
      <c r="C316" s="123" t="s">
        <v>429</v>
      </c>
      <c r="D316" s="123" t="s">
        <v>132</v>
      </c>
      <c r="E316" s="124" t="s">
        <v>732</v>
      </c>
      <c r="F316" s="124" t="s">
        <v>733</v>
      </c>
      <c r="G316" s="124" t="s">
        <v>1098</v>
      </c>
      <c r="H316" s="122" t="s">
        <v>8</v>
      </c>
      <c r="I316" s="123">
        <v>21.172366</v>
      </c>
      <c r="J316" s="123">
        <v>-101.760802</v>
      </c>
      <c r="K316" s="122"/>
      <c r="L316" s="125" t="str">
        <f t="shared" si="12"/>
        <v>Ver en Google Maps</v>
      </c>
      <c r="M316" s="122">
        <v>2</v>
      </c>
      <c r="N316" s="130"/>
      <c r="O316" s="109"/>
      <c r="P316" s="109"/>
      <c r="Q316" s="109"/>
      <c r="R316" s="109"/>
      <c r="S316" s="109"/>
      <c r="T316" s="109"/>
      <c r="U316" s="109"/>
      <c r="V316" s="109"/>
      <c r="W316" s="109"/>
      <c r="X316" s="109"/>
      <c r="Y316" s="109"/>
      <c r="Z316" s="109"/>
      <c r="AA316" s="109"/>
      <c r="AB316" s="109"/>
      <c r="AC316" s="109"/>
      <c r="AD316" s="110"/>
      <c r="AE316" s="109"/>
      <c r="AF316" s="111"/>
    </row>
    <row r="317" spans="1:32" x14ac:dyDescent="0.2">
      <c r="A317" s="112">
        <v>794</v>
      </c>
      <c r="B317" s="113" t="s">
        <v>956</v>
      </c>
      <c r="C317" s="114" t="s">
        <v>429</v>
      </c>
      <c r="D317" s="114" t="s">
        <v>132</v>
      </c>
      <c r="E317" s="115" t="s">
        <v>348</v>
      </c>
      <c r="F317" s="115" t="s">
        <v>734</v>
      </c>
      <c r="G317" s="115" t="s">
        <v>1154</v>
      </c>
      <c r="H317" s="113" t="s">
        <v>8</v>
      </c>
      <c r="I317" s="114">
        <v>21.097061</v>
      </c>
      <c r="J317" s="114">
        <v>-101.620058</v>
      </c>
      <c r="K317" s="113"/>
      <c r="L317" s="116" t="str">
        <f t="shared" si="12"/>
        <v>Ver en Google Maps</v>
      </c>
      <c r="M317" s="113">
        <v>2</v>
      </c>
      <c r="N317" s="129"/>
      <c r="O317" s="118"/>
      <c r="P317" s="118"/>
      <c r="Q317" s="118"/>
      <c r="R317" s="118"/>
      <c r="S317" s="118"/>
      <c r="T317" s="118"/>
      <c r="U317" s="118"/>
      <c r="V317" s="118"/>
      <c r="W317" s="118"/>
      <c r="X317" s="118"/>
      <c r="Y317" s="118"/>
      <c r="Z317" s="118"/>
      <c r="AA317" s="118"/>
      <c r="AB317" s="118"/>
      <c r="AC317" s="118"/>
      <c r="AD317" s="119"/>
      <c r="AE317" s="118"/>
      <c r="AF317" s="120"/>
    </row>
    <row r="318" spans="1:32" x14ac:dyDescent="0.2">
      <c r="A318" s="121">
        <v>802</v>
      </c>
      <c r="B318" s="122" t="s">
        <v>956</v>
      </c>
      <c r="C318" s="123" t="s">
        <v>14</v>
      </c>
      <c r="D318" s="123" t="s">
        <v>735</v>
      </c>
      <c r="E318" s="124" t="s">
        <v>736</v>
      </c>
      <c r="F318" s="124" t="s">
        <v>737</v>
      </c>
      <c r="G318" s="124" t="s">
        <v>980</v>
      </c>
      <c r="H318" s="122" t="s">
        <v>8</v>
      </c>
      <c r="I318" s="123">
        <v>21.12846</v>
      </c>
      <c r="J318" s="123">
        <v>-101.7437</v>
      </c>
      <c r="K318" s="122"/>
      <c r="L318" s="125" t="str">
        <f t="shared" si="12"/>
        <v>Ver en Google Maps</v>
      </c>
      <c r="M318" s="122">
        <v>2</v>
      </c>
      <c r="N318" s="130"/>
      <c r="O318" s="109"/>
      <c r="P318" s="109"/>
      <c r="Q318" s="109"/>
      <c r="R318" s="109"/>
      <c r="S318" s="109"/>
      <c r="T318" s="109"/>
      <c r="U318" s="109"/>
      <c r="V318" s="109"/>
      <c r="W318" s="109"/>
      <c r="X318" s="109"/>
      <c r="Y318" s="109"/>
      <c r="Z318" s="109"/>
      <c r="AA318" s="109"/>
      <c r="AB318" s="109"/>
      <c r="AC318" s="109"/>
      <c r="AD318" s="110"/>
      <c r="AE318" s="109"/>
      <c r="AF318" s="111"/>
    </row>
    <row r="319" spans="1:32" x14ac:dyDescent="0.2">
      <c r="A319" s="112">
        <v>804</v>
      </c>
      <c r="B319" s="113" t="s">
        <v>956</v>
      </c>
      <c r="C319" s="114" t="s">
        <v>429</v>
      </c>
      <c r="D319" s="114" t="s">
        <v>336</v>
      </c>
      <c r="E319" s="115" t="s">
        <v>349</v>
      </c>
      <c r="F319" s="115" t="s">
        <v>738</v>
      </c>
      <c r="G319" s="115" t="s">
        <v>367</v>
      </c>
      <c r="H319" s="113" t="s">
        <v>8</v>
      </c>
      <c r="I319" s="114">
        <v>21.109179999999999</v>
      </c>
      <c r="J319" s="114">
        <v>-101.62747</v>
      </c>
      <c r="K319" s="113" t="s">
        <v>139</v>
      </c>
      <c r="L319" s="116" t="str">
        <f t="shared" si="12"/>
        <v>Ver en Google Maps</v>
      </c>
      <c r="M319" s="113">
        <v>2</v>
      </c>
      <c r="N319" s="117">
        <v>45957</v>
      </c>
      <c r="O319" s="118">
        <f>DAY('BD2'!$N319)</f>
        <v>27</v>
      </c>
      <c r="P319" s="118">
        <f>MONTH('BD2'!$N319)</f>
        <v>10</v>
      </c>
      <c r="Q319" s="118">
        <f>YEAR('BD2'!$N319)</f>
        <v>2025</v>
      </c>
      <c r="R319" s="118">
        <v>2</v>
      </c>
      <c r="S319" s="118" t="s">
        <v>138</v>
      </c>
      <c r="T319" s="118" t="s">
        <v>138</v>
      </c>
      <c r="U319" s="118" t="s">
        <v>138</v>
      </c>
      <c r="V319" s="118" t="s">
        <v>934</v>
      </c>
      <c r="W319" s="118" t="s">
        <v>138</v>
      </c>
      <c r="X319" s="118" t="s">
        <v>934</v>
      </c>
      <c r="Y319" s="118" t="s">
        <v>934</v>
      </c>
      <c r="Z319" s="118" t="str">
        <f>IF('BD2'!$AA319 &lt; 14, "no", "si")</f>
        <v>no</v>
      </c>
      <c r="AA319" s="118">
        <v>0</v>
      </c>
      <c r="AB319" s="118">
        <v>0</v>
      </c>
      <c r="AC319" s="119" t="s">
        <v>3099</v>
      </c>
      <c r="AD319" s="119" t="s">
        <v>957</v>
      </c>
      <c r="AE319" s="118">
        <f t="shared" si="15"/>
        <v>4</v>
      </c>
      <c r="AF319" s="120" t="str">
        <f t="shared" si="14"/>
        <v>Parcialmente funcional</v>
      </c>
    </row>
    <row r="320" spans="1:32" x14ac:dyDescent="0.2">
      <c r="A320" s="121">
        <v>805</v>
      </c>
      <c r="B320" s="122" t="s">
        <v>956</v>
      </c>
      <c r="C320" s="123" t="s">
        <v>350</v>
      </c>
      <c r="D320" s="123" t="s">
        <v>404</v>
      </c>
      <c r="E320" s="124" t="s">
        <v>351</v>
      </c>
      <c r="F320" s="124" t="s">
        <v>739</v>
      </c>
      <c r="G320" s="124" t="s">
        <v>1155</v>
      </c>
      <c r="H320" s="122" t="s">
        <v>8</v>
      </c>
      <c r="I320" s="123">
        <v>21.080459999999999</v>
      </c>
      <c r="J320" s="123">
        <v>-101.65129</v>
      </c>
      <c r="K320" s="122"/>
      <c r="L320" s="125" t="str">
        <f t="shared" si="12"/>
        <v>Ver en Google Maps</v>
      </c>
      <c r="M320" s="122">
        <v>1</v>
      </c>
      <c r="N320" s="130"/>
      <c r="O320" s="109"/>
      <c r="P320" s="109"/>
      <c r="Q320" s="109"/>
      <c r="R320" s="109"/>
      <c r="S320" s="109"/>
      <c r="T320" s="109"/>
      <c r="U320" s="109"/>
      <c r="V320" s="109"/>
      <c r="W320" s="109"/>
      <c r="X320" s="109"/>
      <c r="Y320" s="109"/>
      <c r="Z320" s="109"/>
      <c r="AA320" s="109"/>
      <c r="AB320" s="109"/>
      <c r="AC320" s="109"/>
      <c r="AD320" s="110"/>
      <c r="AE320" s="109"/>
      <c r="AF320" s="111"/>
    </row>
    <row r="321" spans="1:32" x14ac:dyDescent="0.2">
      <c r="A321" s="112">
        <v>806</v>
      </c>
      <c r="B321" s="113" t="s">
        <v>956</v>
      </c>
      <c r="C321" s="114" t="s">
        <v>350</v>
      </c>
      <c r="D321" s="114" t="s">
        <v>404</v>
      </c>
      <c r="E321" s="115" t="s">
        <v>352</v>
      </c>
      <c r="F321" s="115" t="s">
        <v>740</v>
      </c>
      <c r="G321" s="115" t="s">
        <v>121</v>
      </c>
      <c r="H321" s="113" t="s">
        <v>8</v>
      </c>
      <c r="I321" s="114">
        <v>21.10202</v>
      </c>
      <c r="J321" s="114">
        <v>-101.61261</v>
      </c>
      <c r="K321" s="113"/>
      <c r="L321" s="116" t="str">
        <f t="shared" si="12"/>
        <v>Ver en Google Maps</v>
      </c>
      <c r="M321" s="113">
        <v>1</v>
      </c>
      <c r="N321" s="129"/>
      <c r="O321" s="118"/>
      <c r="P321" s="118"/>
      <c r="Q321" s="118"/>
      <c r="R321" s="118"/>
      <c r="S321" s="118"/>
      <c r="T321" s="118"/>
      <c r="U321" s="118"/>
      <c r="V321" s="118"/>
      <c r="W321" s="118"/>
      <c r="X321" s="118"/>
      <c r="Y321" s="118"/>
      <c r="Z321" s="118"/>
      <c r="AA321" s="118"/>
      <c r="AB321" s="118"/>
      <c r="AC321" s="118"/>
      <c r="AD321" s="119"/>
      <c r="AE321" s="118"/>
      <c r="AF321" s="120"/>
    </row>
    <row r="322" spans="1:32" x14ac:dyDescent="0.2">
      <c r="A322" s="121">
        <v>807</v>
      </c>
      <c r="B322" s="122" t="s">
        <v>956</v>
      </c>
      <c r="C322" s="123" t="s">
        <v>429</v>
      </c>
      <c r="D322" s="123" t="s">
        <v>17</v>
      </c>
      <c r="E322" s="124" t="s">
        <v>353</v>
      </c>
      <c r="F322" s="124" t="s">
        <v>741</v>
      </c>
      <c r="G322" s="124" t="s">
        <v>1134</v>
      </c>
      <c r="H322" s="122" t="s">
        <v>8</v>
      </c>
      <c r="I322" s="123">
        <v>21.152963</v>
      </c>
      <c r="J322" s="123">
        <v>-101.737101</v>
      </c>
      <c r="K322" s="122"/>
      <c r="L322" s="125" t="str">
        <f t="shared" si="12"/>
        <v>Ver en Google Maps</v>
      </c>
      <c r="M322" s="122">
        <v>1</v>
      </c>
      <c r="N322" s="130"/>
      <c r="O322" s="109"/>
      <c r="P322" s="109"/>
      <c r="Q322" s="109"/>
      <c r="R322" s="109"/>
      <c r="S322" s="109"/>
      <c r="T322" s="109"/>
      <c r="U322" s="109"/>
      <c r="V322" s="109"/>
      <c r="W322" s="109"/>
      <c r="X322" s="109"/>
      <c r="Y322" s="109"/>
      <c r="Z322" s="109"/>
      <c r="AA322" s="109"/>
      <c r="AB322" s="109"/>
      <c r="AC322" s="109"/>
      <c r="AD322" s="110"/>
      <c r="AE322" s="109"/>
      <c r="AF322" s="111"/>
    </row>
    <row r="323" spans="1:32" x14ac:dyDescent="0.2">
      <c r="A323" s="112">
        <v>808</v>
      </c>
      <c r="B323" s="113" t="s">
        <v>956</v>
      </c>
      <c r="C323" s="114" t="s">
        <v>350</v>
      </c>
      <c r="D323" s="114" t="s">
        <v>404</v>
      </c>
      <c r="E323" s="115" t="s">
        <v>354</v>
      </c>
      <c r="F323" s="115" t="s">
        <v>742</v>
      </c>
      <c r="G323" s="115" t="s">
        <v>1156</v>
      </c>
      <c r="H323" s="113" t="s">
        <v>8</v>
      </c>
      <c r="I323" s="114">
        <v>21.082795000000001</v>
      </c>
      <c r="J323" s="114">
        <v>-101.627707</v>
      </c>
      <c r="K323" s="113"/>
      <c r="L323" s="116" t="str">
        <f t="shared" ref="L323:L386" si="16">HYPERLINK("https://www.google.com/maps?q=" &amp; I323 &amp; "," &amp; J323, "Ver en Google Maps")</f>
        <v>Ver en Google Maps</v>
      </c>
      <c r="M323" s="113">
        <v>1</v>
      </c>
      <c r="N323" s="129"/>
      <c r="O323" s="118"/>
      <c r="P323" s="118"/>
      <c r="Q323" s="118"/>
      <c r="R323" s="118"/>
      <c r="S323" s="118"/>
      <c r="T323" s="118"/>
      <c r="U323" s="118"/>
      <c r="V323" s="118"/>
      <c r="W323" s="118"/>
      <c r="X323" s="118"/>
      <c r="Y323" s="118"/>
      <c r="Z323" s="118"/>
      <c r="AA323" s="118"/>
      <c r="AB323" s="118"/>
      <c r="AC323" s="118"/>
      <c r="AD323" s="119"/>
      <c r="AE323" s="118"/>
      <c r="AF323" s="120"/>
    </row>
    <row r="324" spans="1:32" x14ac:dyDescent="0.2">
      <c r="A324" s="121">
        <v>811</v>
      </c>
      <c r="B324" s="122" t="s">
        <v>956</v>
      </c>
      <c r="C324" s="123" t="s">
        <v>429</v>
      </c>
      <c r="D324" s="123" t="s">
        <v>16</v>
      </c>
      <c r="E324" s="124" t="s">
        <v>355</v>
      </c>
      <c r="F324" s="124" t="s">
        <v>743</v>
      </c>
      <c r="G324" s="124" t="s">
        <v>1139</v>
      </c>
      <c r="H324" s="122" t="s">
        <v>8</v>
      </c>
      <c r="I324" s="123">
        <v>21.1328</v>
      </c>
      <c r="J324" s="123">
        <v>-101.649</v>
      </c>
      <c r="K324" s="122" t="s">
        <v>139</v>
      </c>
      <c r="L324" s="125" t="str">
        <f t="shared" si="16"/>
        <v>Ver en Google Maps</v>
      </c>
      <c r="M324" s="122">
        <v>1</v>
      </c>
      <c r="N324" s="108">
        <v>45955</v>
      </c>
      <c r="O324" s="109">
        <f>DAY('BD2'!$N324)</f>
        <v>25</v>
      </c>
      <c r="P324" s="109">
        <f>MONTH('BD2'!$N324)</f>
        <v>10</v>
      </c>
      <c r="Q324" s="109">
        <f>YEAR('BD2'!$N324)</f>
        <v>2025</v>
      </c>
      <c r="R324" s="109">
        <v>2</v>
      </c>
      <c r="S324" s="109" t="s">
        <v>138</v>
      </c>
      <c r="T324" s="109" t="s">
        <v>138</v>
      </c>
      <c r="U324" s="109" t="s">
        <v>138</v>
      </c>
      <c r="V324" s="109" t="s">
        <v>138</v>
      </c>
      <c r="W324" s="109" t="s">
        <v>138</v>
      </c>
      <c r="X324" s="109" t="s">
        <v>138</v>
      </c>
      <c r="Y324" s="109" t="s">
        <v>138</v>
      </c>
      <c r="Z324" s="109" t="str">
        <f>IF('BD2'!$AA324 &lt; 14, "no", "si")</f>
        <v>si</v>
      </c>
      <c r="AA324" s="109">
        <v>39.200000000000003</v>
      </c>
      <c r="AB324" s="109">
        <v>11.2</v>
      </c>
      <c r="AC324" s="110" t="s">
        <v>967</v>
      </c>
      <c r="AD324" s="110" t="s">
        <v>957</v>
      </c>
      <c r="AE324" s="109">
        <f t="shared" ref="AE324:AE385" si="17">COUNTIF(S324:Z324, "si")</f>
        <v>8</v>
      </c>
      <c r="AF324" s="111" t="str">
        <f t="shared" ref="AF324:AF387" si="18">IF(AE324=8,"Estable",(IF(AE324=7,"Funcional con observaciones", (IF(AE324=6,"Funcional con observaciones",(IF(AE324=5,"Rendimiento bajo",(IF(AE324=4,"Parcialmente funcional",(IF(AE324=3,"Parcialmente funcional",(IF(AE324=2,"Inoperativo",(IF(AE324=1,"Inoperativo","Crítico")))))))))))))))</f>
        <v>Estable</v>
      </c>
    </row>
    <row r="325" spans="1:32" x14ac:dyDescent="0.2">
      <c r="A325" s="112">
        <v>812</v>
      </c>
      <c r="B325" s="113" t="s">
        <v>956</v>
      </c>
      <c r="C325" s="114" t="s">
        <v>429</v>
      </c>
      <c r="D325" s="114" t="s">
        <v>15</v>
      </c>
      <c r="E325" s="115" t="s">
        <v>133</v>
      </c>
      <c r="F325" s="115" t="s">
        <v>744</v>
      </c>
      <c r="G325" s="115" t="s">
        <v>1157</v>
      </c>
      <c r="H325" s="113" t="s">
        <v>8</v>
      </c>
      <c r="I325" s="114">
        <v>21.123100000000001</v>
      </c>
      <c r="J325" s="114">
        <v>-101.661</v>
      </c>
      <c r="K325" s="113" t="s">
        <v>139</v>
      </c>
      <c r="L325" s="116" t="str">
        <f t="shared" si="16"/>
        <v>Ver en Google Maps</v>
      </c>
      <c r="M325" s="113">
        <v>2</v>
      </c>
      <c r="N325" s="117">
        <v>45955</v>
      </c>
      <c r="O325" s="118">
        <f>DAY('BD2'!$N325)</f>
        <v>25</v>
      </c>
      <c r="P325" s="118">
        <f>MONTH('BD2'!$N325)</f>
        <v>10</v>
      </c>
      <c r="Q325" s="118">
        <f>YEAR('BD2'!$N325)</f>
        <v>2025</v>
      </c>
      <c r="R325" s="118">
        <v>2</v>
      </c>
      <c r="S325" s="118" t="s">
        <v>138</v>
      </c>
      <c r="T325" s="118" t="s">
        <v>138</v>
      </c>
      <c r="U325" s="118" t="s">
        <v>138</v>
      </c>
      <c r="V325" s="118" t="s">
        <v>138</v>
      </c>
      <c r="W325" s="118" t="s">
        <v>138</v>
      </c>
      <c r="X325" s="118" t="s">
        <v>138</v>
      </c>
      <c r="Y325" s="118" t="s">
        <v>138</v>
      </c>
      <c r="Z325" s="118" t="str">
        <f>IF('BD2'!$AA325 &lt; 14, "no", "si")</f>
        <v>si</v>
      </c>
      <c r="AA325" s="118">
        <v>88</v>
      </c>
      <c r="AB325" s="118">
        <v>47.7</v>
      </c>
      <c r="AC325" s="119" t="s">
        <v>967</v>
      </c>
      <c r="AD325" s="119" t="s">
        <v>957</v>
      </c>
      <c r="AE325" s="118">
        <f t="shared" si="17"/>
        <v>8</v>
      </c>
      <c r="AF325" s="120" t="str">
        <f t="shared" si="18"/>
        <v>Estable</v>
      </c>
    </row>
    <row r="326" spans="1:32" x14ac:dyDescent="0.2">
      <c r="A326" s="121">
        <v>821</v>
      </c>
      <c r="B326" s="122" t="s">
        <v>956</v>
      </c>
      <c r="C326" s="123" t="s">
        <v>429</v>
      </c>
      <c r="D326" s="123" t="s">
        <v>17</v>
      </c>
      <c r="E326" s="124" t="s">
        <v>356</v>
      </c>
      <c r="F326" s="124" t="s">
        <v>745</v>
      </c>
      <c r="G326" s="124" t="s">
        <v>1158</v>
      </c>
      <c r="H326" s="122" t="s">
        <v>8</v>
      </c>
      <c r="I326" s="123">
        <v>21.134499999999999</v>
      </c>
      <c r="J326" s="123">
        <v>-101.645</v>
      </c>
      <c r="K326" s="122" t="s">
        <v>139</v>
      </c>
      <c r="L326" s="125" t="str">
        <f t="shared" si="16"/>
        <v>Ver en Google Maps</v>
      </c>
      <c r="M326" s="122">
        <v>1</v>
      </c>
      <c r="N326" s="108">
        <v>45955</v>
      </c>
      <c r="O326" s="109">
        <f>DAY('BD2'!$N326)</f>
        <v>25</v>
      </c>
      <c r="P326" s="109">
        <f>MONTH('BD2'!$N326)</f>
        <v>10</v>
      </c>
      <c r="Q326" s="109">
        <f>YEAR('BD2'!$N326)</f>
        <v>2025</v>
      </c>
      <c r="R326" s="109">
        <v>2</v>
      </c>
      <c r="S326" s="109" t="s">
        <v>138</v>
      </c>
      <c r="T326" s="109" t="s">
        <v>138</v>
      </c>
      <c r="U326" s="109" t="s">
        <v>138</v>
      </c>
      <c r="V326" s="109" t="s">
        <v>138</v>
      </c>
      <c r="W326" s="109" t="s">
        <v>138</v>
      </c>
      <c r="X326" s="109" t="s">
        <v>138</v>
      </c>
      <c r="Y326" s="109" t="s">
        <v>138</v>
      </c>
      <c r="Z326" s="109" t="str">
        <f>IF('BD2'!$AA326 &lt; 14, "no", "si")</f>
        <v>si</v>
      </c>
      <c r="AA326" s="109">
        <v>121</v>
      </c>
      <c r="AB326" s="109">
        <v>42.7</v>
      </c>
      <c r="AC326" s="110" t="s">
        <v>967</v>
      </c>
      <c r="AD326" s="110" t="s">
        <v>957</v>
      </c>
      <c r="AE326" s="109">
        <f t="shared" si="17"/>
        <v>8</v>
      </c>
      <c r="AF326" s="111" t="str">
        <f t="shared" si="18"/>
        <v>Estable</v>
      </c>
    </row>
    <row r="327" spans="1:32" x14ac:dyDescent="0.2">
      <c r="A327" s="112">
        <v>822</v>
      </c>
      <c r="B327" s="113" t="s">
        <v>956</v>
      </c>
      <c r="C327" s="114" t="s">
        <v>429</v>
      </c>
      <c r="D327" s="114" t="s">
        <v>16</v>
      </c>
      <c r="E327" s="115" t="s">
        <v>357</v>
      </c>
      <c r="F327" s="115" t="s">
        <v>746</v>
      </c>
      <c r="G327" s="115" t="s">
        <v>1139</v>
      </c>
      <c r="H327" s="113" t="s">
        <v>8</v>
      </c>
      <c r="I327" s="114">
        <v>21.135914</v>
      </c>
      <c r="J327" s="114">
        <v>-101.64742099999999</v>
      </c>
      <c r="K327" s="113" t="s">
        <v>139</v>
      </c>
      <c r="L327" s="116" t="str">
        <f t="shared" si="16"/>
        <v>Ver en Google Maps</v>
      </c>
      <c r="M327" s="113">
        <v>1</v>
      </c>
      <c r="N327" s="117">
        <v>45957</v>
      </c>
      <c r="O327" s="118">
        <f>DAY('BD2'!$N327)</f>
        <v>27</v>
      </c>
      <c r="P327" s="118">
        <f>MONTH('BD2'!$N327)</f>
        <v>10</v>
      </c>
      <c r="Q327" s="118">
        <f>YEAR('BD2'!$N327)</f>
        <v>2025</v>
      </c>
      <c r="R327" s="118">
        <v>2</v>
      </c>
      <c r="S327" s="118" t="s">
        <v>138</v>
      </c>
      <c r="T327" s="118" t="s">
        <v>138</v>
      </c>
      <c r="U327" s="118" t="s">
        <v>138</v>
      </c>
      <c r="V327" s="118" t="s">
        <v>138</v>
      </c>
      <c r="W327" s="118" t="s">
        <v>138</v>
      </c>
      <c r="X327" s="118" t="s">
        <v>138</v>
      </c>
      <c r="Y327" s="118" t="s">
        <v>138</v>
      </c>
      <c r="Z327" s="118" t="str">
        <f>IF('BD2'!$AA327 &lt; 14, "no", "si")</f>
        <v>si</v>
      </c>
      <c r="AA327" s="118">
        <v>21.8</v>
      </c>
      <c r="AB327" s="118">
        <v>8.5299999999999994</v>
      </c>
      <c r="AC327" s="119" t="s">
        <v>951</v>
      </c>
      <c r="AD327" s="119"/>
      <c r="AE327" s="118">
        <f t="shared" si="17"/>
        <v>8</v>
      </c>
      <c r="AF327" s="120" t="str">
        <f t="shared" si="18"/>
        <v>Estable</v>
      </c>
    </row>
    <row r="328" spans="1:32" x14ac:dyDescent="0.2">
      <c r="A328" s="121">
        <v>844</v>
      </c>
      <c r="B328" s="122" t="s">
        <v>956</v>
      </c>
      <c r="C328" s="123" t="s">
        <v>14</v>
      </c>
      <c r="D328" s="123" t="s">
        <v>404</v>
      </c>
      <c r="E328" s="124" t="s">
        <v>747</v>
      </c>
      <c r="F328" s="124" t="s">
        <v>748</v>
      </c>
      <c r="G328" s="124" t="s">
        <v>988</v>
      </c>
      <c r="H328" s="122" t="s">
        <v>8</v>
      </c>
      <c r="I328" s="123">
        <v>21.116177</v>
      </c>
      <c r="J328" s="123">
        <v>-101.660112</v>
      </c>
      <c r="K328" s="122"/>
      <c r="L328" s="125" t="str">
        <f t="shared" si="16"/>
        <v>Ver en Google Maps</v>
      </c>
      <c r="M328" s="122">
        <v>1</v>
      </c>
      <c r="N328" s="130"/>
      <c r="O328" s="109"/>
      <c r="P328" s="109"/>
      <c r="Q328" s="109"/>
      <c r="R328" s="109"/>
      <c r="S328" s="109"/>
      <c r="T328" s="109"/>
      <c r="U328" s="109"/>
      <c r="V328" s="109"/>
      <c r="W328" s="109"/>
      <c r="X328" s="109"/>
      <c r="Y328" s="109"/>
      <c r="Z328" s="109"/>
      <c r="AA328" s="109"/>
      <c r="AB328" s="109"/>
      <c r="AC328" s="109"/>
      <c r="AD328" s="110"/>
      <c r="AE328" s="109"/>
      <c r="AF328" s="111"/>
    </row>
    <row r="329" spans="1:32" x14ac:dyDescent="0.2">
      <c r="A329" s="112">
        <v>845</v>
      </c>
      <c r="B329" s="113" t="s">
        <v>956</v>
      </c>
      <c r="C329" s="114" t="s">
        <v>429</v>
      </c>
      <c r="D329" s="114" t="s">
        <v>15</v>
      </c>
      <c r="E329" s="115" t="s">
        <v>358</v>
      </c>
      <c r="F329" s="115" t="s">
        <v>749</v>
      </c>
      <c r="G329" s="115" t="s">
        <v>1159</v>
      </c>
      <c r="H329" s="113" t="s">
        <v>8</v>
      </c>
      <c r="I329" s="114">
        <v>21.090931999999999</v>
      </c>
      <c r="J329" s="114">
        <v>-101.66857</v>
      </c>
      <c r="K329" s="113"/>
      <c r="L329" s="116" t="str">
        <f t="shared" si="16"/>
        <v>Ver en Google Maps</v>
      </c>
      <c r="M329" s="113">
        <v>2</v>
      </c>
      <c r="N329" s="129"/>
      <c r="O329" s="118"/>
      <c r="P329" s="118"/>
      <c r="Q329" s="118"/>
      <c r="R329" s="118"/>
      <c r="S329" s="118"/>
      <c r="T329" s="118"/>
      <c r="U329" s="118"/>
      <c r="V329" s="118"/>
      <c r="W329" s="118"/>
      <c r="X329" s="118"/>
      <c r="Y329" s="118"/>
      <c r="Z329" s="118"/>
      <c r="AA329" s="118"/>
      <c r="AB329" s="118"/>
      <c r="AC329" s="118"/>
      <c r="AD329" s="119"/>
      <c r="AE329" s="118"/>
      <c r="AF329" s="120"/>
    </row>
    <row r="330" spans="1:32" x14ac:dyDescent="0.2">
      <c r="A330" s="121">
        <v>848</v>
      </c>
      <c r="B330" s="122" t="s">
        <v>956</v>
      </c>
      <c r="C330" s="123" t="s">
        <v>14</v>
      </c>
      <c r="D330" s="123" t="s">
        <v>404</v>
      </c>
      <c r="E330" s="124" t="s">
        <v>331</v>
      </c>
      <c r="F330" s="124" t="s">
        <v>711</v>
      </c>
      <c r="G330" s="124" t="s">
        <v>1149</v>
      </c>
      <c r="H330" s="122" t="s">
        <v>8</v>
      </c>
      <c r="I330" s="123">
        <v>21.12473</v>
      </c>
      <c r="J330" s="123">
        <v>-101.60183000000001</v>
      </c>
      <c r="K330" s="122"/>
      <c r="L330" s="125" t="str">
        <f t="shared" si="16"/>
        <v>Ver en Google Maps</v>
      </c>
      <c r="M330" s="122">
        <v>2</v>
      </c>
      <c r="N330" s="130"/>
      <c r="O330" s="109"/>
      <c r="P330" s="109"/>
      <c r="Q330" s="109"/>
      <c r="R330" s="109"/>
      <c r="S330" s="109"/>
      <c r="T330" s="109"/>
      <c r="U330" s="109"/>
      <c r="V330" s="109"/>
      <c r="W330" s="109"/>
      <c r="X330" s="109"/>
      <c r="Y330" s="109"/>
      <c r="Z330" s="109"/>
      <c r="AA330" s="109"/>
      <c r="AB330" s="109"/>
      <c r="AC330" s="109"/>
      <c r="AD330" s="110"/>
      <c r="AE330" s="109"/>
      <c r="AF330" s="111"/>
    </row>
    <row r="331" spans="1:32" x14ac:dyDescent="0.2">
      <c r="A331" s="112">
        <v>855</v>
      </c>
      <c r="B331" s="113" t="s">
        <v>956</v>
      </c>
      <c r="C331" s="114" t="s">
        <v>14</v>
      </c>
      <c r="D331" s="114" t="s">
        <v>404</v>
      </c>
      <c r="E331" s="115" t="s">
        <v>750</v>
      </c>
      <c r="F331" s="115" t="s">
        <v>751</v>
      </c>
      <c r="G331" s="115" t="s">
        <v>1159</v>
      </c>
      <c r="H331" s="113" t="s">
        <v>8</v>
      </c>
      <c r="I331" s="114">
        <v>21.093992</v>
      </c>
      <c r="J331" s="114">
        <v>-101.667636</v>
      </c>
      <c r="K331" s="113"/>
      <c r="L331" s="116" t="str">
        <f t="shared" si="16"/>
        <v>Ver en Google Maps</v>
      </c>
      <c r="M331" s="113">
        <v>2</v>
      </c>
      <c r="N331" s="129"/>
      <c r="O331" s="118"/>
      <c r="P331" s="118"/>
      <c r="Q331" s="118"/>
      <c r="R331" s="118"/>
      <c r="S331" s="118"/>
      <c r="T331" s="118"/>
      <c r="U331" s="118"/>
      <c r="V331" s="118"/>
      <c r="W331" s="118"/>
      <c r="X331" s="118"/>
      <c r="Y331" s="118"/>
      <c r="Z331" s="118"/>
      <c r="AA331" s="118"/>
      <c r="AB331" s="118"/>
      <c r="AC331" s="118"/>
      <c r="AD331" s="119"/>
      <c r="AE331" s="118"/>
      <c r="AF331" s="120"/>
    </row>
    <row r="332" spans="1:32" x14ac:dyDescent="0.2">
      <c r="A332" s="121">
        <v>868</v>
      </c>
      <c r="B332" s="122" t="s">
        <v>956</v>
      </c>
      <c r="C332" s="123" t="s">
        <v>14</v>
      </c>
      <c r="D332" s="123" t="s">
        <v>735</v>
      </c>
      <c r="E332" s="124" t="s">
        <v>752</v>
      </c>
      <c r="F332" s="124" t="s">
        <v>753</v>
      </c>
      <c r="G332" s="124" t="s">
        <v>145</v>
      </c>
      <c r="H332" s="122" t="s">
        <v>8</v>
      </c>
      <c r="I332" s="123">
        <v>21.135532999999999</v>
      </c>
      <c r="J332" s="123">
        <v>-101.773034</v>
      </c>
      <c r="K332" s="122"/>
      <c r="L332" s="125" t="str">
        <f t="shared" si="16"/>
        <v>Ver en Google Maps</v>
      </c>
      <c r="M332" s="122">
        <v>2</v>
      </c>
      <c r="N332" s="130"/>
      <c r="O332" s="109"/>
      <c r="P332" s="109"/>
      <c r="Q332" s="109"/>
      <c r="R332" s="109"/>
      <c r="S332" s="109"/>
      <c r="T332" s="109"/>
      <c r="U332" s="109"/>
      <c r="V332" s="109"/>
      <c r="W332" s="109"/>
      <c r="X332" s="109"/>
      <c r="Y332" s="109"/>
      <c r="Z332" s="109"/>
      <c r="AA332" s="109"/>
      <c r="AB332" s="109"/>
      <c r="AC332" s="109"/>
      <c r="AD332" s="110"/>
      <c r="AE332" s="109"/>
      <c r="AF332" s="111"/>
    </row>
    <row r="333" spans="1:32" x14ac:dyDescent="0.2">
      <c r="A333" s="112">
        <v>869</v>
      </c>
      <c r="B333" s="113" t="s">
        <v>956</v>
      </c>
      <c r="C333" s="114" t="s">
        <v>14</v>
      </c>
      <c r="D333" s="114" t="s">
        <v>735</v>
      </c>
      <c r="E333" s="115" t="s">
        <v>754</v>
      </c>
      <c r="F333" s="115" t="s">
        <v>755</v>
      </c>
      <c r="G333" s="115" t="s">
        <v>53</v>
      </c>
      <c r="H333" s="113" t="s">
        <v>8</v>
      </c>
      <c r="I333" s="114">
        <v>21.115690000000001</v>
      </c>
      <c r="J333" s="114">
        <v>-101.602761</v>
      </c>
      <c r="K333" s="113"/>
      <c r="L333" s="116" t="str">
        <f t="shared" si="16"/>
        <v>Ver en Google Maps</v>
      </c>
      <c r="M333" s="113">
        <v>1</v>
      </c>
      <c r="N333" s="129"/>
      <c r="O333" s="118"/>
      <c r="P333" s="118"/>
      <c r="Q333" s="118"/>
      <c r="R333" s="118"/>
      <c r="S333" s="118"/>
      <c r="T333" s="118"/>
      <c r="U333" s="118"/>
      <c r="V333" s="118"/>
      <c r="W333" s="118"/>
      <c r="X333" s="118"/>
      <c r="Y333" s="118"/>
      <c r="Z333" s="118"/>
      <c r="AA333" s="118"/>
      <c r="AB333" s="118"/>
      <c r="AC333" s="118"/>
      <c r="AD333" s="119"/>
      <c r="AE333" s="118"/>
      <c r="AF333" s="120"/>
    </row>
    <row r="334" spans="1:32" x14ac:dyDescent="0.2">
      <c r="A334" s="121">
        <v>870</v>
      </c>
      <c r="B334" s="122" t="s">
        <v>956</v>
      </c>
      <c r="C334" s="123" t="s">
        <v>14</v>
      </c>
      <c r="D334" s="123" t="s">
        <v>735</v>
      </c>
      <c r="E334" s="124" t="s">
        <v>756</v>
      </c>
      <c r="F334" s="124" t="s">
        <v>757</v>
      </c>
      <c r="G334" s="124" t="s">
        <v>1145</v>
      </c>
      <c r="H334" s="122" t="s">
        <v>8</v>
      </c>
      <c r="I334" s="123">
        <v>21.067585999999999</v>
      </c>
      <c r="J334" s="123">
        <v>-101.633381</v>
      </c>
      <c r="K334" s="122"/>
      <c r="L334" s="125" t="str">
        <f t="shared" si="16"/>
        <v>Ver en Google Maps</v>
      </c>
      <c r="M334" s="122">
        <v>1</v>
      </c>
      <c r="N334" s="130"/>
      <c r="O334" s="109"/>
      <c r="P334" s="109"/>
      <c r="Q334" s="109"/>
      <c r="R334" s="109"/>
      <c r="S334" s="109"/>
      <c r="T334" s="109"/>
      <c r="U334" s="109"/>
      <c r="V334" s="109"/>
      <c r="W334" s="109"/>
      <c r="X334" s="109"/>
      <c r="Y334" s="109"/>
      <c r="Z334" s="109"/>
      <c r="AA334" s="109"/>
      <c r="AB334" s="109"/>
      <c r="AC334" s="109"/>
      <c r="AD334" s="110"/>
      <c r="AE334" s="109"/>
      <c r="AF334" s="111"/>
    </row>
    <row r="335" spans="1:32" x14ac:dyDescent="0.2">
      <c r="A335" s="112">
        <v>874</v>
      </c>
      <c r="B335" s="113" t="s">
        <v>956</v>
      </c>
      <c r="C335" s="114" t="s">
        <v>14</v>
      </c>
      <c r="D335" s="114" t="s">
        <v>735</v>
      </c>
      <c r="E335" s="115" t="s">
        <v>758</v>
      </c>
      <c r="F335" s="115" t="s">
        <v>759</v>
      </c>
      <c r="G335" s="115" t="s">
        <v>1160</v>
      </c>
      <c r="H335" s="113" t="s">
        <v>8</v>
      </c>
      <c r="I335" s="114">
        <v>21.197420000000001</v>
      </c>
      <c r="J335" s="114">
        <v>-101.67252000000001</v>
      </c>
      <c r="K335" s="113"/>
      <c r="L335" s="116" t="str">
        <f t="shared" si="16"/>
        <v>Ver en Google Maps</v>
      </c>
      <c r="M335" s="113">
        <v>2</v>
      </c>
      <c r="N335" s="129"/>
      <c r="O335" s="118"/>
      <c r="P335" s="118"/>
      <c r="Q335" s="118"/>
      <c r="R335" s="118"/>
      <c r="S335" s="118"/>
      <c r="T335" s="118"/>
      <c r="U335" s="118"/>
      <c r="V335" s="118"/>
      <c r="W335" s="118"/>
      <c r="X335" s="118"/>
      <c r="Y335" s="118"/>
      <c r="Z335" s="118"/>
      <c r="AA335" s="118"/>
      <c r="AB335" s="118"/>
      <c r="AC335" s="118"/>
      <c r="AD335" s="119"/>
      <c r="AE335" s="118"/>
      <c r="AF335" s="120"/>
    </row>
    <row r="336" spans="1:32" x14ac:dyDescent="0.2">
      <c r="A336" s="121">
        <v>875</v>
      </c>
      <c r="B336" s="122" t="s">
        <v>956</v>
      </c>
      <c r="C336" s="123" t="s">
        <v>14</v>
      </c>
      <c r="D336" s="123" t="s">
        <v>735</v>
      </c>
      <c r="E336" s="124" t="s">
        <v>760</v>
      </c>
      <c r="F336" s="124" t="s">
        <v>761</v>
      </c>
      <c r="G336" s="124" t="s">
        <v>1161</v>
      </c>
      <c r="H336" s="122" t="s">
        <v>8</v>
      </c>
      <c r="I336" s="123">
        <v>21.173334000000001</v>
      </c>
      <c r="J336" s="123">
        <v>-101.639273</v>
      </c>
      <c r="K336" s="122"/>
      <c r="L336" s="125" t="str">
        <f t="shared" si="16"/>
        <v>Ver en Google Maps</v>
      </c>
      <c r="M336" s="122">
        <v>1</v>
      </c>
      <c r="N336" s="130"/>
      <c r="O336" s="109"/>
      <c r="P336" s="109"/>
      <c r="Q336" s="109"/>
      <c r="R336" s="109"/>
      <c r="S336" s="109"/>
      <c r="T336" s="109"/>
      <c r="U336" s="109"/>
      <c r="V336" s="109"/>
      <c r="W336" s="109"/>
      <c r="X336" s="109"/>
      <c r="Y336" s="109"/>
      <c r="Z336" s="109"/>
      <c r="AA336" s="109"/>
      <c r="AB336" s="109"/>
      <c r="AC336" s="109"/>
      <c r="AD336" s="110"/>
      <c r="AE336" s="109"/>
      <c r="AF336" s="111"/>
    </row>
    <row r="337" spans="1:32" x14ac:dyDescent="0.2">
      <c r="A337" s="112">
        <v>881</v>
      </c>
      <c r="B337" s="113" t="s">
        <v>956</v>
      </c>
      <c r="C337" s="114" t="s">
        <v>14</v>
      </c>
      <c r="D337" s="114" t="s">
        <v>404</v>
      </c>
      <c r="E337" s="115" t="s">
        <v>762</v>
      </c>
      <c r="F337" s="115" t="s">
        <v>763</v>
      </c>
      <c r="G337" s="115" t="s">
        <v>1162</v>
      </c>
      <c r="H337" s="113" t="s">
        <v>8</v>
      </c>
      <c r="I337" s="114">
        <v>21.095739999999999</v>
      </c>
      <c r="J337" s="114">
        <v>-101.61698</v>
      </c>
      <c r="K337" s="113"/>
      <c r="L337" s="116" t="str">
        <f t="shared" si="16"/>
        <v>Ver en Google Maps</v>
      </c>
      <c r="M337" s="113">
        <v>1</v>
      </c>
      <c r="N337" s="129"/>
      <c r="O337" s="118"/>
      <c r="P337" s="118"/>
      <c r="Q337" s="118"/>
      <c r="R337" s="118"/>
      <c r="S337" s="118"/>
      <c r="T337" s="118"/>
      <c r="U337" s="118"/>
      <c r="V337" s="118"/>
      <c r="W337" s="118"/>
      <c r="X337" s="118"/>
      <c r="Y337" s="118"/>
      <c r="Z337" s="118"/>
      <c r="AA337" s="118"/>
      <c r="AB337" s="118"/>
      <c r="AC337" s="118"/>
      <c r="AD337" s="119"/>
      <c r="AE337" s="118"/>
      <c r="AF337" s="120"/>
    </row>
    <row r="338" spans="1:32" x14ac:dyDescent="0.2">
      <c r="A338" s="121">
        <v>882</v>
      </c>
      <c r="B338" s="122" t="s">
        <v>956</v>
      </c>
      <c r="C338" s="123" t="s">
        <v>14</v>
      </c>
      <c r="D338" s="123" t="s">
        <v>404</v>
      </c>
      <c r="E338" s="124" t="s">
        <v>359</v>
      </c>
      <c r="F338" s="124" t="s">
        <v>764</v>
      </c>
      <c r="G338" s="124" t="s">
        <v>360</v>
      </c>
      <c r="H338" s="122" t="s">
        <v>8</v>
      </c>
      <c r="I338" s="123">
        <v>21.121300000000002</v>
      </c>
      <c r="J338" s="123">
        <v>-101.684</v>
      </c>
      <c r="K338" s="122" t="s">
        <v>139</v>
      </c>
      <c r="L338" s="125" t="str">
        <f t="shared" si="16"/>
        <v>Ver en Google Maps</v>
      </c>
      <c r="M338" s="122">
        <v>1</v>
      </c>
      <c r="N338" s="108">
        <v>45954</v>
      </c>
      <c r="O338" s="109">
        <f>DAY('BD2'!$N338)</f>
        <v>24</v>
      </c>
      <c r="P338" s="109">
        <f>MONTH('BD2'!$N338)</f>
        <v>10</v>
      </c>
      <c r="Q338" s="109">
        <f>YEAR('BD2'!$N338)</f>
        <v>2025</v>
      </c>
      <c r="R338" s="109">
        <v>2</v>
      </c>
      <c r="S338" s="109" t="s">
        <v>138</v>
      </c>
      <c r="T338" s="109" t="s">
        <v>138</v>
      </c>
      <c r="U338" s="109" t="s">
        <v>138</v>
      </c>
      <c r="V338" s="109" t="s">
        <v>138</v>
      </c>
      <c r="W338" s="109" t="s">
        <v>138</v>
      </c>
      <c r="X338" s="109" t="s">
        <v>138</v>
      </c>
      <c r="Y338" s="109" t="s">
        <v>138</v>
      </c>
      <c r="Z338" s="109" t="str">
        <f>IF('BD2'!$AA338 &lt; 14, "no", "si")</f>
        <v>no</v>
      </c>
      <c r="AA338" s="109">
        <v>0</v>
      </c>
      <c r="AB338" s="109">
        <v>0</v>
      </c>
      <c r="AC338" s="110" t="s">
        <v>3077</v>
      </c>
      <c r="AD338" s="110" t="s">
        <v>957</v>
      </c>
      <c r="AE338" s="109">
        <f t="shared" si="17"/>
        <v>7</v>
      </c>
      <c r="AF338" s="111" t="str">
        <f t="shared" si="18"/>
        <v>Funcional con observaciones</v>
      </c>
    </row>
    <row r="339" spans="1:32" x14ac:dyDescent="0.2">
      <c r="A339" s="112">
        <v>895</v>
      </c>
      <c r="B339" s="113" t="s">
        <v>956</v>
      </c>
      <c r="C339" s="114" t="s">
        <v>14</v>
      </c>
      <c r="D339" s="114" t="s">
        <v>404</v>
      </c>
      <c r="E339" s="115" t="s">
        <v>361</v>
      </c>
      <c r="F339" s="115" t="s">
        <v>765</v>
      </c>
      <c r="G339" s="115" t="s">
        <v>1163</v>
      </c>
      <c r="H339" s="113" t="s">
        <v>8</v>
      </c>
      <c r="I339" s="114">
        <v>21.151591</v>
      </c>
      <c r="J339" s="114">
        <v>-101.72846</v>
      </c>
      <c r="K339" s="113"/>
      <c r="L339" s="116" t="str">
        <f t="shared" si="16"/>
        <v>Ver en Google Maps</v>
      </c>
      <c r="M339" s="113">
        <v>1</v>
      </c>
      <c r="N339" s="129"/>
      <c r="O339" s="118"/>
      <c r="P339" s="118"/>
      <c r="Q339" s="118"/>
      <c r="R339" s="118"/>
      <c r="S339" s="118"/>
      <c r="T339" s="118"/>
      <c r="U339" s="118"/>
      <c r="V339" s="118"/>
      <c r="W339" s="118"/>
      <c r="X339" s="118"/>
      <c r="Y339" s="118"/>
      <c r="Z339" s="118"/>
      <c r="AA339" s="118"/>
      <c r="AB339" s="118"/>
      <c r="AC339" s="118"/>
      <c r="AD339" s="119"/>
      <c r="AE339" s="118"/>
      <c r="AF339" s="120"/>
    </row>
    <row r="340" spans="1:32" x14ac:dyDescent="0.2">
      <c r="A340" s="121">
        <v>898</v>
      </c>
      <c r="B340" s="122" t="s">
        <v>956</v>
      </c>
      <c r="C340" s="123" t="s">
        <v>14</v>
      </c>
      <c r="D340" s="123" t="s">
        <v>404</v>
      </c>
      <c r="E340" s="124" t="s">
        <v>362</v>
      </c>
      <c r="F340" s="124" t="s">
        <v>766</v>
      </c>
      <c r="G340" s="124" t="s">
        <v>1038</v>
      </c>
      <c r="H340" s="122" t="s">
        <v>8</v>
      </c>
      <c r="I340" s="123">
        <v>21.122399999999999</v>
      </c>
      <c r="J340" s="123">
        <v>-101.69385</v>
      </c>
      <c r="K340" s="122" t="s">
        <v>139</v>
      </c>
      <c r="L340" s="125" t="str">
        <f t="shared" si="16"/>
        <v>Ver en Google Maps</v>
      </c>
      <c r="M340" s="122">
        <v>2</v>
      </c>
      <c r="N340" s="108">
        <v>45958</v>
      </c>
      <c r="O340" s="109">
        <f>DAY('BD2'!$N340)</f>
        <v>28</v>
      </c>
      <c r="P340" s="109">
        <f>MONTH('BD2'!$N340)</f>
        <v>10</v>
      </c>
      <c r="Q340" s="109">
        <f>YEAR('BD2'!$N340)</f>
        <v>2025</v>
      </c>
      <c r="R340" s="109">
        <v>2</v>
      </c>
      <c r="S340" s="109" t="s">
        <v>138</v>
      </c>
      <c r="T340" s="109" t="s">
        <v>138</v>
      </c>
      <c r="U340" s="109" t="s">
        <v>138</v>
      </c>
      <c r="V340" s="109" t="s">
        <v>138</v>
      </c>
      <c r="W340" s="109" t="s">
        <v>138</v>
      </c>
      <c r="X340" s="109" t="s">
        <v>138</v>
      </c>
      <c r="Y340" s="109" t="s">
        <v>138</v>
      </c>
      <c r="Z340" s="109" t="str">
        <f>IF('BD2'!$AA340 &lt; 14, "no", "si")</f>
        <v>si</v>
      </c>
      <c r="AA340" s="109">
        <v>48.4</v>
      </c>
      <c r="AB340" s="109">
        <v>10.7</v>
      </c>
      <c r="AC340" s="110" t="s">
        <v>967</v>
      </c>
      <c r="AD340" s="110" t="s">
        <v>957</v>
      </c>
      <c r="AE340" s="109">
        <f t="shared" si="17"/>
        <v>8</v>
      </c>
      <c r="AF340" s="111" t="str">
        <f t="shared" si="18"/>
        <v>Estable</v>
      </c>
    </row>
    <row r="341" spans="1:32" x14ac:dyDescent="0.2">
      <c r="A341" s="112">
        <v>900</v>
      </c>
      <c r="B341" s="113" t="s">
        <v>956</v>
      </c>
      <c r="C341" s="114" t="s">
        <v>14</v>
      </c>
      <c r="D341" s="114" t="s">
        <v>404</v>
      </c>
      <c r="E341" s="115" t="s">
        <v>363</v>
      </c>
      <c r="F341" s="115" t="s">
        <v>767</v>
      </c>
      <c r="G341" s="115" t="s">
        <v>1076</v>
      </c>
      <c r="H341" s="113" t="s">
        <v>8</v>
      </c>
      <c r="I341" s="114">
        <v>21.132912999999999</v>
      </c>
      <c r="J341" s="114">
        <v>-101.698329</v>
      </c>
      <c r="K341" s="113"/>
      <c r="L341" s="116" t="str">
        <f t="shared" si="16"/>
        <v>Ver en Google Maps</v>
      </c>
      <c r="M341" s="113">
        <v>2</v>
      </c>
      <c r="N341" s="129"/>
      <c r="O341" s="118"/>
      <c r="P341" s="118"/>
      <c r="Q341" s="118"/>
      <c r="R341" s="118"/>
      <c r="S341" s="118"/>
      <c r="T341" s="118"/>
      <c r="U341" s="118"/>
      <c r="V341" s="118"/>
      <c r="W341" s="118"/>
      <c r="X341" s="118"/>
      <c r="Y341" s="118"/>
      <c r="Z341" s="118"/>
      <c r="AA341" s="118"/>
      <c r="AB341" s="118"/>
      <c r="AC341" s="118"/>
      <c r="AD341" s="119"/>
      <c r="AE341" s="118"/>
      <c r="AF341" s="120"/>
    </row>
    <row r="342" spans="1:32" x14ac:dyDescent="0.2">
      <c r="A342" s="121">
        <v>911</v>
      </c>
      <c r="B342" s="122" t="s">
        <v>956</v>
      </c>
      <c r="C342" s="123" t="s">
        <v>14</v>
      </c>
      <c r="D342" s="123" t="s">
        <v>404</v>
      </c>
      <c r="E342" s="124" t="s">
        <v>364</v>
      </c>
      <c r="F342" s="124" t="s">
        <v>768</v>
      </c>
      <c r="G342" s="124" t="s">
        <v>1164</v>
      </c>
      <c r="H342" s="122" t="s">
        <v>8</v>
      </c>
      <c r="I342" s="123">
        <v>21.104240000000001</v>
      </c>
      <c r="J342" s="123">
        <v>-101.68776</v>
      </c>
      <c r="K342" s="122" t="s">
        <v>139</v>
      </c>
      <c r="L342" s="125" t="str">
        <f t="shared" si="16"/>
        <v>Ver en Google Maps</v>
      </c>
      <c r="M342" s="122">
        <v>2</v>
      </c>
      <c r="N342" s="108">
        <v>45964</v>
      </c>
      <c r="O342" s="109">
        <f>DAY('BD2'!$N342)</f>
        <v>3</v>
      </c>
      <c r="P342" s="109">
        <f>MONTH('BD2'!$N342)</f>
        <v>11</v>
      </c>
      <c r="Q342" s="109">
        <f>YEAR('BD2'!$N342)</f>
        <v>2025</v>
      </c>
      <c r="R342" s="109">
        <v>2</v>
      </c>
      <c r="S342" s="109" t="s">
        <v>138</v>
      </c>
      <c r="T342" s="109" t="s">
        <v>138</v>
      </c>
      <c r="U342" s="109" t="s">
        <v>138</v>
      </c>
      <c r="V342" s="109" t="s">
        <v>138</v>
      </c>
      <c r="W342" s="109" t="s">
        <v>138</v>
      </c>
      <c r="X342" s="109" t="s">
        <v>138</v>
      </c>
      <c r="Y342" s="109" t="s">
        <v>138</v>
      </c>
      <c r="Z342" s="109" t="str">
        <f>IF('BD2'!$AA342 &lt; 14, "no", "si")</f>
        <v>si</v>
      </c>
      <c r="AA342" s="109">
        <v>100</v>
      </c>
      <c r="AB342" s="109">
        <v>37.799999999999997</v>
      </c>
      <c r="AC342" s="110" t="s">
        <v>967</v>
      </c>
      <c r="AD342" s="110" t="s">
        <v>957</v>
      </c>
      <c r="AE342" s="109">
        <f t="shared" si="17"/>
        <v>8</v>
      </c>
      <c r="AF342" s="111" t="str">
        <f t="shared" si="18"/>
        <v>Estable</v>
      </c>
    </row>
    <row r="343" spans="1:32" x14ac:dyDescent="0.2">
      <c r="A343" s="112">
        <v>912</v>
      </c>
      <c r="B343" s="113" t="s">
        <v>956</v>
      </c>
      <c r="C343" s="114" t="s">
        <v>14</v>
      </c>
      <c r="D343" s="114" t="s">
        <v>404</v>
      </c>
      <c r="E343" s="115" t="s">
        <v>365</v>
      </c>
      <c r="F343" s="115" t="s">
        <v>769</v>
      </c>
      <c r="G343" s="115" t="s">
        <v>1165</v>
      </c>
      <c r="H343" s="113" t="s">
        <v>8</v>
      </c>
      <c r="I343" s="114">
        <v>21.085076999999998</v>
      </c>
      <c r="J343" s="114">
        <v>-101.61923</v>
      </c>
      <c r="K343" s="113"/>
      <c r="L343" s="116" t="str">
        <f t="shared" si="16"/>
        <v>Ver en Google Maps</v>
      </c>
      <c r="M343" s="113">
        <v>2</v>
      </c>
      <c r="N343" s="129"/>
      <c r="O343" s="118"/>
      <c r="P343" s="118"/>
      <c r="Q343" s="118"/>
      <c r="R343" s="118"/>
      <c r="S343" s="118"/>
      <c r="T343" s="118"/>
      <c r="U343" s="118"/>
      <c r="V343" s="118"/>
      <c r="W343" s="118"/>
      <c r="X343" s="118"/>
      <c r="Y343" s="118"/>
      <c r="Z343" s="118"/>
      <c r="AA343" s="118"/>
      <c r="AB343" s="118"/>
      <c r="AC343" s="118"/>
      <c r="AD343" s="119"/>
      <c r="AE343" s="118"/>
      <c r="AF343" s="120"/>
    </row>
    <row r="344" spans="1:32" x14ac:dyDescent="0.2">
      <c r="A344" s="121">
        <v>916</v>
      </c>
      <c r="B344" s="122" t="s">
        <v>956</v>
      </c>
      <c r="C344" s="123" t="s">
        <v>14</v>
      </c>
      <c r="D344" s="123" t="s">
        <v>404</v>
      </c>
      <c r="E344" s="124" t="s">
        <v>366</v>
      </c>
      <c r="F344" s="124" t="s">
        <v>770</v>
      </c>
      <c r="G344" s="124" t="s">
        <v>1166</v>
      </c>
      <c r="H344" s="122" t="s">
        <v>8</v>
      </c>
      <c r="I344" s="123">
        <v>21.120384000000001</v>
      </c>
      <c r="J344" s="123">
        <v>-101.667776</v>
      </c>
      <c r="K344" s="122" t="s">
        <v>139</v>
      </c>
      <c r="L344" s="125" t="str">
        <f t="shared" si="16"/>
        <v>Ver en Google Maps</v>
      </c>
      <c r="M344" s="122">
        <v>2</v>
      </c>
      <c r="N344" s="108">
        <v>45960</v>
      </c>
      <c r="O344" s="109">
        <f>DAY('BD2'!$N344)</f>
        <v>30</v>
      </c>
      <c r="P344" s="109">
        <f>MONTH('BD2'!$N344)</f>
        <v>10</v>
      </c>
      <c r="Q344" s="109">
        <f>YEAR('BD2'!$N344)</f>
        <v>2025</v>
      </c>
      <c r="R344" s="109">
        <v>2</v>
      </c>
      <c r="S344" s="109" t="s">
        <v>138</v>
      </c>
      <c r="T344" s="109" t="s">
        <v>934</v>
      </c>
      <c r="U344" s="109" t="s">
        <v>138</v>
      </c>
      <c r="V344" s="109" t="s">
        <v>934</v>
      </c>
      <c r="W344" s="109" t="s">
        <v>138</v>
      </c>
      <c r="X344" s="109" t="s">
        <v>934</v>
      </c>
      <c r="Y344" s="109" t="s">
        <v>934</v>
      </c>
      <c r="Z344" s="109" t="str">
        <f>IF('BD2'!$AA344 &lt; 14, "no", "si")</f>
        <v>si</v>
      </c>
      <c r="AA344" s="109">
        <v>19.899999999999999</v>
      </c>
      <c r="AB344" s="109">
        <v>13.5</v>
      </c>
      <c r="AC344" s="110" t="s">
        <v>3120</v>
      </c>
      <c r="AD344" s="110" t="s">
        <v>957</v>
      </c>
      <c r="AE344" s="109">
        <f t="shared" si="17"/>
        <v>4</v>
      </c>
      <c r="AF344" s="111" t="str">
        <f t="shared" si="18"/>
        <v>Parcialmente funcional</v>
      </c>
    </row>
    <row r="345" spans="1:32" x14ac:dyDescent="0.2">
      <c r="A345" s="112">
        <v>928</v>
      </c>
      <c r="B345" s="113" t="s">
        <v>956</v>
      </c>
      <c r="C345" s="114" t="s">
        <v>429</v>
      </c>
      <c r="D345" s="114" t="s">
        <v>336</v>
      </c>
      <c r="E345" s="115" t="s">
        <v>771</v>
      </c>
      <c r="F345" s="115" t="s">
        <v>772</v>
      </c>
      <c r="G345" s="115" t="s">
        <v>367</v>
      </c>
      <c r="H345" s="113" t="s">
        <v>8</v>
      </c>
      <c r="I345" s="114">
        <v>21.104908999999999</v>
      </c>
      <c r="J345" s="114">
        <v>-101.63147600000001</v>
      </c>
      <c r="K345" s="113" t="s">
        <v>139</v>
      </c>
      <c r="L345" s="116" t="str">
        <f t="shared" si="16"/>
        <v>Ver en Google Maps</v>
      </c>
      <c r="M345" s="113">
        <v>2</v>
      </c>
      <c r="N345" s="117">
        <v>45957</v>
      </c>
      <c r="O345" s="118">
        <f>DAY('BD2'!$N345)</f>
        <v>27</v>
      </c>
      <c r="P345" s="118">
        <f>MONTH('BD2'!$N345)</f>
        <v>10</v>
      </c>
      <c r="Q345" s="118">
        <f>YEAR('BD2'!$N345)</f>
        <v>2025</v>
      </c>
      <c r="R345" s="118">
        <v>2</v>
      </c>
      <c r="S345" s="118" t="s">
        <v>138</v>
      </c>
      <c r="T345" s="118" t="s">
        <v>138</v>
      </c>
      <c r="U345" s="118" t="s">
        <v>138</v>
      </c>
      <c r="V345" s="118" t="s">
        <v>138</v>
      </c>
      <c r="W345" s="118" t="s">
        <v>138</v>
      </c>
      <c r="X345" s="118" t="s">
        <v>138</v>
      </c>
      <c r="Y345" s="118" t="s">
        <v>138</v>
      </c>
      <c r="Z345" s="118" t="str">
        <f>IF('BD2'!$AA345 &lt; 14, "no", "si")</f>
        <v>si</v>
      </c>
      <c r="AA345" s="118">
        <v>46.8</v>
      </c>
      <c r="AB345" s="118">
        <v>15.7</v>
      </c>
      <c r="AC345" s="119" t="s">
        <v>967</v>
      </c>
      <c r="AD345" s="119" t="s">
        <v>957</v>
      </c>
      <c r="AE345" s="118">
        <f t="shared" si="17"/>
        <v>8</v>
      </c>
      <c r="AF345" s="120" t="str">
        <f t="shared" si="18"/>
        <v>Estable</v>
      </c>
    </row>
    <row r="346" spans="1:32" x14ac:dyDescent="0.2">
      <c r="A346" s="121">
        <v>930</v>
      </c>
      <c r="B346" s="122" t="s">
        <v>956</v>
      </c>
      <c r="C346" s="123" t="s">
        <v>429</v>
      </c>
      <c r="D346" s="123" t="s">
        <v>336</v>
      </c>
      <c r="E346" s="124" t="s">
        <v>773</v>
      </c>
      <c r="F346" s="124" t="s">
        <v>774</v>
      </c>
      <c r="G346" s="124" t="s">
        <v>368</v>
      </c>
      <c r="H346" s="122" t="s">
        <v>8</v>
      </c>
      <c r="I346" s="123">
        <v>21.090973999999999</v>
      </c>
      <c r="J346" s="123">
        <v>-101.652574</v>
      </c>
      <c r="K346" s="122"/>
      <c r="L346" s="125" t="str">
        <f t="shared" si="16"/>
        <v>Ver en Google Maps</v>
      </c>
      <c r="M346" s="122">
        <v>2</v>
      </c>
      <c r="N346" s="130"/>
      <c r="O346" s="109"/>
      <c r="P346" s="109"/>
      <c r="Q346" s="109"/>
      <c r="R346" s="109"/>
      <c r="S346" s="109"/>
      <c r="T346" s="109"/>
      <c r="U346" s="109"/>
      <c r="V346" s="109"/>
      <c r="W346" s="109"/>
      <c r="X346" s="109"/>
      <c r="Y346" s="109"/>
      <c r="Z346" s="109"/>
      <c r="AA346" s="109"/>
      <c r="AB346" s="109"/>
      <c r="AC346" s="109"/>
      <c r="AD346" s="110"/>
      <c r="AE346" s="109"/>
      <c r="AF346" s="111"/>
    </row>
    <row r="347" spans="1:32" x14ac:dyDescent="0.2">
      <c r="A347" s="112">
        <v>933</v>
      </c>
      <c r="B347" s="113" t="s">
        <v>956</v>
      </c>
      <c r="C347" s="114" t="s">
        <v>429</v>
      </c>
      <c r="D347" s="114" t="s">
        <v>336</v>
      </c>
      <c r="E347" s="115" t="s">
        <v>369</v>
      </c>
      <c r="F347" s="115" t="s">
        <v>775</v>
      </c>
      <c r="G347" s="115" t="s">
        <v>1167</v>
      </c>
      <c r="H347" s="113" t="s">
        <v>8</v>
      </c>
      <c r="I347" s="114">
        <v>21.147639999999999</v>
      </c>
      <c r="J347" s="114">
        <v>-101.666763</v>
      </c>
      <c r="K347" s="113" t="s">
        <v>139</v>
      </c>
      <c r="L347" s="116" t="str">
        <f t="shared" si="16"/>
        <v>Ver en Google Maps</v>
      </c>
      <c r="M347" s="113">
        <v>2</v>
      </c>
      <c r="N347" s="117">
        <v>45955</v>
      </c>
      <c r="O347" s="118">
        <f>DAY('BD2'!$N347)</f>
        <v>25</v>
      </c>
      <c r="P347" s="118">
        <f>MONTH('BD2'!$N347)</f>
        <v>10</v>
      </c>
      <c r="Q347" s="118">
        <f>YEAR('BD2'!$N347)</f>
        <v>2025</v>
      </c>
      <c r="R347" s="118">
        <v>2</v>
      </c>
      <c r="S347" s="118" t="s">
        <v>138</v>
      </c>
      <c r="T347" s="118" t="s">
        <v>138</v>
      </c>
      <c r="U347" s="118" t="s">
        <v>138</v>
      </c>
      <c r="V347" s="118" t="s">
        <v>934</v>
      </c>
      <c r="W347" s="118" t="s">
        <v>138</v>
      </c>
      <c r="X347" s="118" t="s">
        <v>934</v>
      </c>
      <c r="Y347" s="118" t="s">
        <v>934</v>
      </c>
      <c r="Z347" s="118" t="str">
        <f>IF('BD2'!$AA347 &lt; 14, "no", "si")</f>
        <v>no</v>
      </c>
      <c r="AA347" s="118">
        <v>0</v>
      </c>
      <c r="AB347" s="118">
        <v>0</v>
      </c>
      <c r="AC347" s="119" t="s">
        <v>3093</v>
      </c>
      <c r="AD347" s="119" t="s">
        <v>957</v>
      </c>
      <c r="AE347" s="118">
        <f t="shared" si="17"/>
        <v>4</v>
      </c>
      <c r="AF347" s="120" t="str">
        <f t="shared" si="18"/>
        <v>Parcialmente funcional</v>
      </c>
    </row>
    <row r="348" spans="1:32" x14ac:dyDescent="0.2">
      <c r="A348" s="121">
        <v>939</v>
      </c>
      <c r="B348" s="122" t="s">
        <v>956</v>
      </c>
      <c r="C348" s="123" t="s">
        <v>429</v>
      </c>
      <c r="D348" s="123" t="s">
        <v>132</v>
      </c>
      <c r="E348" s="124" t="s">
        <v>370</v>
      </c>
      <c r="F348" s="124" t="s">
        <v>776</v>
      </c>
      <c r="G348" s="124" t="s">
        <v>1168</v>
      </c>
      <c r="H348" s="122" t="s">
        <v>8</v>
      </c>
      <c r="I348" s="123">
        <v>21.100860999999998</v>
      </c>
      <c r="J348" s="123">
        <v>-101.73314000000001</v>
      </c>
      <c r="K348" s="122"/>
      <c r="L348" s="125" t="str">
        <f t="shared" si="16"/>
        <v>Ver en Google Maps</v>
      </c>
      <c r="M348" s="122">
        <v>2</v>
      </c>
      <c r="N348" s="130"/>
      <c r="O348" s="109"/>
      <c r="P348" s="109"/>
      <c r="Q348" s="109"/>
      <c r="R348" s="109"/>
      <c r="S348" s="109"/>
      <c r="T348" s="109"/>
      <c r="U348" s="109"/>
      <c r="V348" s="109"/>
      <c r="W348" s="109"/>
      <c r="X348" s="109"/>
      <c r="Y348" s="109"/>
      <c r="Z348" s="109"/>
      <c r="AA348" s="109"/>
      <c r="AB348" s="109"/>
      <c r="AC348" s="109"/>
      <c r="AD348" s="110"/>
      <c r="AE348" s="109"/>
      <c r="AF348" s="111"/>
    </row>
    <row r="349" spans="1:32" x14ac:dyDescent="0.2">
      <c r="A349" s="112">
        <v>948</v>
      </c>
      <c r="B349" s="113" t="s">
        <v>956</v>
      </c>
      <c r="C349" s="114" t="s">
        <v>429</v>
      </c>
      <c r="D349" s="114" t="s">
        <v>132</v>
      </c>
      <c r="E349" s="115" t="s">
        <v>371</v>
      </c>
      <c r="F349" s="115" t="s">
        <v>777</v>
      </c>
      <c r="G349" s="115" t="s">
        <v>1169</v>
      </c>
      <c r="H349" s="113" t="s">
        <v>8</v>
      </c>
      <c r="I349" s="114">
        <v>21.079839</v>
      </c>
      <c r="J349" s="114">
        <v>-101.64776999999999</v>
      </c>
      <c r="K349" s="113"/>
      <c r="L349" s="116" t="str">
        <f t="shared" si="16"/>
        <v>Ver en Google Maps</v>
      </c>
      <c r="M349" s="113">
        <v>2</v>
      </c>
      <c r="N349" s="129"/>
      <c r="O349" s="118"/>
      <c r="P349" s="118"/>
      <c r="Q349" s="118"/>
      <c r="R349" s="118"/>
      <c r="S349" s="118"/>
      <c r="T349" s="118"/>
      <c r="U349" s="118"/>
      <c r="V349" s="118"/>
      <c r="W349" s="118"/>
      <c r="X349" s="118"/>
      <c r="Y349" s="118"/>
      <c r="Z349" s="118"/>
      <c r="AA349" s="118"/>
      <c r="AB349" s="118"/>
      <c r="AC349" s="118"/>
      <c r="AD349" s="119"/>
      <c r="AE349" s="118"/>
      <c r="AF349" s="120"/>
    </row>
    <row r="350" spans="1:32" x14ac:dyDescent="0.2">
      <c r="A350" s="121">
        <v>949</v>
      </c>
      <c r="B350" s="122" t="s">
        <v>956</v>
      </c>
      <c r="C350" s="123" t="s">
        <v>429</v>
      </c>
      <c r="D350" s="123" t="s">
        <v>132</v>
      </c>
      <c r="E350" s="124" t="s">
        <v>372</v>
      </c>
      <c r="F350" s="124" t="s">
        <v>778</v>
      </c>
      <c r="G350" s="124" t="s">
        <v>1158</v>
      </c>
      <c r="H350" s="122" t="s">
        <v>8</v>
      </c>
      <c r="I350" s="123">
        <v>21.14772</v>
      </c>
      <c r="J350" s="123">
        <v>-101.635763</v>
      </c>
      <c r="K350" s="122"/>
      <c r="L350" s="125" t="str">
        <f t="shared" si="16"/>
        <v>Ver en Google Maps</v>
      </c>
      <c r="M350" s="122">
        <v>2</v>
      </c>
      <c r="N350" s="130"/>
      <c r="O350" s="109"/>
      <c r="P350" s="109"/>
      <c r="Q350" s="109"/>
      <c r="R350" s="109"/>
      <c r="S350" s="109"/>
      <c r="T350" s="109"/>
      <c r="U350" s="109"/>
      <c r="V350" s="109"/>
      <c r="W350" s="109"/>
      <c r="X350" s="109"/>
      <c r="Y350" s="109"/>
      <c r="Z350" s="109"/>
      <c r="AA350" s="109"/>
      <c r="AB350" s="109"/>
      <c r="AC350" s="109"/>
      <c r="AD350" s="110"/>
      <c r="AE350" s="109"/>
      <c r="AF350" s="111"/>
    </row>
    <row r="351" spans="1:32" x14ac:dyDescent="0.2">
      <c r="A351" s="112">
        <v>952</v>
      </c>
      <c r="B351" s="113" t="s">
        <v>956</v>
      </c>
      <c r="C351" s="114" t="s">
        <v>429</v>
      </c>
      <c r="D351" s="114" t="s">
        <v>132</v>
      </c>
      <c r="E351" s="115" t="s">
        <v>779</v>
      </c>
      <c r="F351" s="115" t="s">
        <v>780</v>
      </c>
      <c r="G351" s="115" t="s">
        <v>73</v>
      </c>
      <c r="H351" s="113" t="s">
        <v>8</v>
      </c>
      <c r="I351" s="114">
        <v>21.108991</v>
      </c>
      <c r="J351" s="114">
        <v>-101.630983</v>
      </c>
      <c r="K351" s="113" t="s">
        <v>139</v>
      </c>
      <c r="L351" s="116" t="str">
        <f t="shared" si="16"/>
        <v>Ver en Google Maps</v>
      </c>
      <c r="M351" s="113">
        <v>2</v>
      </c>
      <c r="N351" s="117">
        <v>45957</v>
      </c>
      <c r="O351" s="118">
        <f>DAY('BD2'!$N351)</f>
        <v>27</v>
      </c>
      <c r="P351" s="118">
        <f>MONTH('BD2'!$N351)</f>
        <v>10</v>
      </c>
      <c r="Q351" s="118">
        <f>YEAR('BD2'!$N351)</f>
        <v>2025</v>
      </c>
      <c r="R351" s="118">
        <v>2</v>
      </c>
      <c r="S351" s="118" t="s">
        <v>138</v>
      </c>
      <c r="T351" s="118" t="s">
        <v>138</v>
      </c>
      <c r="U351" s="118" t="s">
        <v>138</v>
      </c>
      <c r="V351" s="118" t="s">
        <v>138</v>
      </c>
      <c r="W351" s="118" t="s">
        <v>138</v>
      </c>
      <c r="X351" s="118" t="s">
        <v>934</v>
      </c>
      <c r="Y351" s="118" t="s">
        <v>934</v>
      </c>
      <c r="Z351" s="118" t="str">
        <f>IF('BD2'!$AA351 &lt; 14, "no", "si")</f>
        <v>si</v>
      </c>
      <c r="AA351" s="118">
        <v>17.899999999999999</v>
      </c>
      <c r="AB351" s="118">
        <v>4.3899999999999997</v>
      </c>
      <c r="AC351" s="119" t="s">
        <v>3098</v>
      </c>
      <c r="AD351" s="119" t="s">
        <v>957</v>
      </c>
      <c r="AE351" s="118">
        <f t="shared" si="17"/>
        <v>6</v>
      </c>
      <c r="AF351" s="120" t="str">
        <f t="shared" si="18"/>
        <v>Funcional con observaciones</v>
      </c>
    </row>
    <row r="352" spans="1:32" x14ac:dyDescent="0.2">
      <c r="A352" s="121">
        <v>953</v>
      </c>
      <c r="B352" s="122" t="s">
        <v>956</v>
      </c>
      <c r="C352" s="123" t="s">
        <v>429</v>
      </c>
      <c r="D352" s="123" t="s">
        <v>132</v>
      </c>
      <c r="E352" s="124" t="s">
        <v>373</v>
      </c>
      <c r="F352" s="124" t="s">
        <v>781</v>
      </c>
      <c r="G352" s="124" t="s">
        <v>1170</v>
      </c>
      <c r="H352" s="122" t="s">
        <v>8</v>
      </c>
      <c r="I352" s="123">
        <v>21.138309</v>
      </c>
      <c r="J352" s="123">
        <v>-101.651798</v>
      </c>
      <c r="K352" s="122" t="s">
        <v>139</v>
      </c>
      <c r="L352" s="125" t="str">
        <f t="shared" si="16"/>
        <v>Ver en Google Maps</v>
      </c>
      <c r="M352" s="122">
        <v>2</v>
      </c>
      <c r="N352" s="108">
        <v>45955</v>
      </c>
      <c r="O352" s="109">
        <f>DAY('BD2'!$N352)</f>
        <v>25</v>
      </c>
      <c r="P352" s="109">
        <f>MONTH('BD2'!$N352)</f>
        <v>10</v>
      </c>
      <c r="Q352" s="109">
        <f>YEAR('BD2'!$N352)</f>
        <v>2025</v>
      </c>
      <c r="R352" s="109">
        <v>2</v>
      </c>
      <c r="S352" s="109" t="s">
        <v>138</v>
      </c>
      <c r="T352" s="109" t="s">
        <v>138</v>
      </c>
      <c r="U352" s="109" t="s">
        <v>138</v>
      </c>
      <c r="V352" s="109" t="s">
        <v>138</v>
      </c>
      <c r="W352" s="109" t="s">
        <v>138</v>
      </c>
      <c r="X352" s="109" t="s">
        <v>138</v>
      </c>
      <c r="Y352" s="109" t="s">
        <v>138</v>
      </c>
      <c r="Z352" s="109" t="str">
        <f>IF('BD2'!$AA352 &lt; 14, "no", "si")</f>
        <v>si</v>
      </c>
      <c r="AA352" s="109">
        <v>98</v>
      </c>
      <c r="AB352" s="109">
        <v>87.9</v>
      </c>
      <c r="AC352" s="110" t="s">
        <v>967</v>
      </c>
      <c r="AD352" s="110" t="s">
        <v>957</v>
      </c>
      <c r="AE352" s="109">
        <f t="shared" si="17"/>
        <v>8</v>
      </c>
      <c r="AF352" s="111" t="str">
        <f t="shared" si="18"/>
        <v>Estable</v>
      </c>
    </row>
    <row r="353" spans="1:32" x14ac:dyDescent="0.2">
      <c r="A353" s="112">
        <v>966</v>
      </c>
      <c r="B353" s="113" t="s">
        <v>956</v>
      </c>
      <c r="C353" s="114" t="s">
        <v>87</v>
      </c>
      <c r="D353" s="114" t="s">
        <v>782</v>
      </c>
      <c r="E353" s="115" t="s">
        <v>374</v>
      </c>
      <c r="F353" s="115" t="s">
        <v>783</v>
      </c>
      <c r="G353" s="115" t="s">
        <v>1132</v>
      </c>
      <c r="H353" s="113" t="s">
        <v>8</v>
      </c>
      <c r="I353" s="114">
        <v>21.122631999999999</v>
      </c>
      <c r="J353" s="114">
        <v>-101.71655</v>
      </c>
      <c r="K353" s="113" t="s">
        <v>139</v>
      </c>
      <c r="L353" s="116" t="str">
        <f t="shared" si="16"/>
        <v>Ver en Google Maps</v>
      </c>
      <c r="M353" s="113">
        <v>2</v>
      </c>
      <c r="N353" s="117">
        <v>45964</v>
      </c>
      <c r="O353" s="118">
        <f>DAY('BD2'!$N353)</f>
        <v>3</v>
      </c>
      <c r="P353" s="118">
        <f>MONTH('BD2'!$N353)</f>
        <v>11</v>
      </c>
      <c r="Q353" s="118">
        <f>YEAR('BD2'!$N353)</f>
        <v>2025</v>
      </c>
      <c r="R353" s="118">
        <v>2</v>
      </c>
      <c r="S353" s="118" t="s">
        <v>138</v>
      </c>
      <c r="T353" s="118" t="s">
        <v>138</v>
      </c>
      <c r="U353" s="118" t="s">
        <v>138</v>
      </c>
      <c r="V353" s="118" t="s">
        <v>138</v>
      </c>
      <c r="W353" s="118" t="s">
        <v>138</v>
      </c>
      <c r="X353" s="118" t="s">
        <v>138</v>
      </c>
      <c r="Y353" s="118" t="s">
        <v>138</v>
      </c>
      <c r="Z353" s="118" t="str">
        <f>IF('BD2'!$AA353 &lt; 14, "no", "si")</f>
        <v>si</v>
      </c>
      <c r="AA353" s="118">
        <v>28.7</v>
      </c>
      <c r="AB353" s="118">
        <v>28</v>
      </c>
      <c r="AC353" s="119" t="s">
        <v>967</v>
      </c>
      <c r="AD353" s="119" t="s">
        <v>957</v>
      </c>
      <c r="AE353" s="118">
        <f t="shared" si="17"/>
        <v>8</v>
      </c>
      <c r="AF353" s="120" t="str">
        <f t="shared" si="18"/>
        <v>Estable</v>
      </c>
    </row>
    <row r="354" spans="1:32" x14ac:dyDescent="0.2">
      <c r="A354" s="121">
        <v>967</v>
      </c>
      <c r="B354" s="122" t="s">
        <v>956</v>
      </c>
      <c r="C354" s="123" t="s">
        <v>87</v>
      </c>
      <c r="D354" s="123" t="s">
        <v>782</v>
      </c>
      <c r="E354" s="124" t="s">
        <v>784</v>
      </c>
      <c r="F354" s="124" t="s">
        <v>785</v>
      </c>
      <c r="G354" s="124" t="s">
        <v>1171</v>
      </c>
      <c r="H354" s="122" t="s">
        <v>8</v>
      </c>
      <c r="I354" s="123">
        <v>21.132656999999998</v>
      </c>
      <c r="J354" s="123">
        <v>-101.680187</v>
      </c>
      <c r="K354" s="122" t="s">
        <v>139</v>
      </c>
      <c r="L354" s="125" t="str">
        <f t="shared" si="16"/>
        <v>Ver en Google Maps</v>
      </c>
      <c r="M354" s="122">
        <v>2</v>
      </c>
      <c r="N354" s="108">
        <v>45954</v>
      </c>
      <c r="O354" s="109">
        <f>DAY('BD2'!$N354)</f>
        <v>24</v>
      </c>
      <c r="P354" s="109">
        <f>MONTH('BD2'!$N354)</f>
        <v>10</v>
      </c>
      <c r="Q354" s="109">
        <f>YEAR('BD2'!$N354)</f>
        <v>2025</v>
      </c>
      <c r="R354" s="109">
        <v>2</v>
      </c>
      <c r="S354" s="109" t="s">
        <v>138</v>
      </c>
      <c r="T354" s="109" t="s">
        <v>138</v>
      </c>
      <c r="U354" s="109" t="s">
        <v>138</v>
      </c>
      <c r="V354" s="109" t="s">
        <v>138</v>
      </c>
      <c r="W354" s="109" t="s">
        <v>138</v>
      </c>
      <c r="X354" s="109" t="s">
        <v>138</v>
      </c>
      <c r="Y354" s="109" t="s">
        <v>138</v>
      </c>
      <c r="Z354" s="109" t="str">
        <f>IF('BD2'!$AA354 &lt; 14, "no", "si")</f>
        <v>si</v>
      </c>
      <c r="AA354" s="109">
        <v>83.9</v>
      </c>
      <c r="AB354" s="109">
        <v>33.799999999999997</v>
      </c>
      <c r="AC354" s="110" t="s">
        <v>967</v>
      </c>
      <c r="AD354" s="110" t="s">
        <v>957</v>
      </c>
      <c r="AE354" s="109">
        <f t="shared" si="17"/>
        <v>8</v>
      </c>
      <c r="AF354" s="111" t="str">
        <f t="shared" si="18"/>
        <v>Estable</v>
      </c>
    </row>
    <row r="355" spans="1:32" x14ac:dyDescent="0.2">
      <c r="A355" s="112">
        <v>968</v>
      </c>
      <c r="B355" s="113" t="s">
        <v>956</v>
      </c>
      <c r="C355" s="114" t="s">
        <v>87</v>
      </c>
      <c r="D355" s="114" t="s">
        <v>563</v>
      </c>
      <c r="E355" s="115" t="s">
        <v>786</v>
      </c>
      <c r="F355" s="115" t="s">
        <v>787</v>
      </c>
      <c r="G355" s="115" t="s">
        <v>1008</v>
      </c>
      <c r="H355" s="113" t="s">
        <v>8</v>
      </c>
      <c r="I355" s="114">
        <v>21.109079999999999</v>
      </c>
      <c r="J355" s="114">
        <v>-101.69552</v>
      </c>
      <c r="K355" s="113" t="s">
        <v>139</v>
      </c>
      <c r="L355" s="116" t="str">
        <f t="shared" si="16"/>
        <v>Ver en Google Maps</v>
      </c>
      <c r="M355" s="113">
        <v>1</v>
      </c>
      <c r="N355" s="117">
        <v>45965</v>
      </c>
      <c r="O355" s="118">
        <f>DAY('BD2'!$N355)</f>
        <v>4</v>
      </c>
      <c r="P355" s="118">
        <f>MONTH('BD2'!$N355)</f>
        <v>11</v>
      </c>
      <c r="Q355" s="118">
        <f>YEAR('BD2'!$N355)</f>
        <v>2025</v>
      </c>
      <c r="R355" s="118">
        <v>2</v>
      </c>
      <c r="S355" s="118" t="s">
        <v>138</v>
      </c>
      <c r="T355" s="118" t="s">
        <v>138</v>
      </c>
      <c r="U355" s="118" t="s">
        <v>138</v>
      </c>
      <c r="V355" s="118" t="s">
        <v>138</v>
      </c>
      <c r="W355" s="118" t="s">
        <v>138</v>
      </c>
      <c r="X355" s="118" t="s">
        <v>138</v>
      </c>
      <c r="Y355" s="118" t="s">
        <v>138</v>
      </c>
      <c r="Z355" s="118" t="str">
        <f>IF('BD2'!$AA355 &lt; 14, "no", "si")</f>
        <v>si</v>
      </c>
      <c r="AA355" s="118">
        <v>83.5</v>
      </c>
      <c r="AB355" s="118">
        <v>49.6</v>
      </c>
      <c r="AC355" s="119" t="s">
        <v>967</v>
      </c>
      <c r="AD355" s="119" t="s">
        <v>957</v>
      </c>
      <c r="AE355" s="118">
        <f t="shared" si="17"/>
        <v>8</v>
      </c>
      <c r="AF355" s="120" t="str">
        <f t="shared" si="18"/>
        <v>Estable</v>
      </c>
    </row>
    <row r="356" spans="1:32" x14ac:dyDescent="0.2">
      <c r="A356" s="121">
        <v>969</v>
      </c>
      <c r="B356" s="122" t="s">
        <v>956</v>
      </c>
      <c r="C356" s="123" t="s">
        <v>87</v>
      </c>
      <c r="D356" s="123" t="s">
        <v>563</v>
      </c>
      <c r="E356" s="124" t="s">
        <v>788</v>
      </c>
      <c r="F356" s="124" t="s">
        <v>789</v>
      </c>
      <c r="G356" s="124" t="s">
        <v>375</v>
      </c>
      <c r="H356" s="122" t="s">
        <v>8</v>
      </c>
      <c r="I356" s="123">
        <v>21.114879999999999</v>
      </c>
      <c r="J356" s="123">
        <v>-101.64427000000001</v>
      </c>
      <c r="K356" s="122" t="s">
        <v>139</v>
      </c>
      <c r="L356" s="125" t="str">
        <f t="shared" si="16"/>
        <v>Ver en Google Maps</v>
      </c>
      <c r="M356" s="122">
        <v>2</v>
      </c>
      <c r="N356" s="108">
        <v>45957</v>
      </c>
      <c r="O356" s="109">
        <f>DAY('BD2'!$N356)</f>
        <v>27</v>
      </c>
      <c r="P356" s="109">
        <f>MONTH('BD2'!$N356)</f>
        <v>10</v>
      </c>
      <c r="Q356" s="109">
        <f>YEAR('BD2'!$N356)</f>
        <v>2025</v>
      </c>
      <c r="R356" s="109">
        <v>2</v>
      </c>
      <c r="S356" s="109" t="s">
        <v>138</v>
      </c>
      <c r="T356" s="109" t="s">
        <v>138</v>
      </c>
      <c r="U356" s="109" t="s">
        <v>138</v>
      </c>
      <c r="V356" s="109" t="s">
        <v>138</v>
      </c>
      <c r="W356" s="109" t="s">
        <v>138</v>
      </c>
      <c r="X356" s="109" t="s">
        <v>138</v>
      </c>
      <c r="Y356" s="109" t="s">
        <v>138</v>
      </c>
      <c r="Z356" s="109" t="str">
        <f>IF('BD2'!$AA356 &lt; 14, "no", "si")</f>
        <v>si</v>
      </c>
      <c r="AA356" s="109">
        <v>121</v>
      </c>
      <c r="AB356" s="109">
        <v>93.5</v>
      </c>
      <c r="AC356" s="110" t="s">
        <v>969</v>
      </c>
      <c r="AD356" s="110" t="s">
        <v>957</v>
      </c>
      <c r="AE356" s="109">
        <f t="shared" si="17"/>
        <v>8</v>
      </c>
      <c r="AF356" s="111" t="str">
        <f t="shared" si="18"/>
        <v>Estable</v>
      </c>
    </row>
    <row r="357" spans="1:32" x14ac:dyDescent="0.2">
      <c r="A357" s="112">
        <v>970</v>
      </c>
      <c r="B357" s="113" t="s">
        <v>956</v>
      </c>
      <c r="C357" s="114" t="s">
        <v>14</v>
      </c>
      <c r="D357" s="114" t="s">
        <v>404</v>
      </c>
      <c r="E357" s="115" t="s">
        <v>790</v>
      </c>
      <c r="F357" s="115" t="s">
        <v>748</v>
      </c>
      <c r="G357" s="115" t="s">
        <v>988</v>
      </c>
      <c r="H357" s="113" t="s">
        <v>8</v>
      </c>
      <c r="I357" s="114">
        <v>21.116177</v>
      </c>
      <c r="J357" s="114">
        <v>-101.660112</v>
      </c>
      <c r="K357" s="113"/>
      <c r="L357" s="116" t="str">
        <f t="shared" si="16"/>
        <v>Ver en Google Maps</v>
      </c>
      <c r="M357" s="113">
        <v>1</v>
      </c>
      <c r="N357" s="129"/>
      <c r="O357" s="118"/>
      <c r="P357" s="118"/>
      <c r="Q357" s="118"/>
      <c r="R357" s="118"/>
      <c r="S357" s="118"/>
      <c r="T357" s="118"/>
      <c r="U357" s="118"/>
      <c r="V357" s="118"/>
      <c r="W357" s="118"/>
      <c r="X357" s="118"/>
      <c r="Y357" s="118"/>
      <c r="Z357" s="118"/>
      <c r="AA357" s="118"/>
      <c r="AB357" s="118"/>
      <c r="AC357" s="118"/>
      <c r="AD357" s="119"/>
      <c r="AE357" s="118"/>
      <c r="AF357" s="120"/>
    </row>
    <row r="358" spans="1:32" x14ac:dyDescent="0.2">
      <c r="A358" s="121">
        <v>971</v>
      </c>
      <c r="B358" s="122" t="s">
        <v>956</v>
      </c>
      <c r="C358" s="123" t="s">
        <v>87</v>
      </c>
      <c r="D358" s="123" t="s">
        <v>563</v>
      </c>
      <c r="E358" s="124" t="s">
        <v>791</v>
      </c>
      <c r="F358" s="124" t="s">
        <v>792</v>
      </c>
      <c r="G358" s="124" t="s">
        <v>1047</v>
      </c>
      <c r="H358" s="122" t="s">
        <v>8</v>
      </c>
      <c r="I358" s="123">
        <v>21.14433</v>
      </c>
      <c r="J358" s="123">
        <v>-101.70335</v>
      </c>
      <c r="K358" s="122" t="s">
        <v>139</v>
      </c>
      <c r="L358" s="125" t="str">
        <f t="shared" si="16"/>
        <v>Ver en Google Maps</v>
      </c>
      <c r="M358" s="122">
        <v>1</v>
      </c>
      <c r="N358" s="108">
        <v>45958</v>
      </c>
      <c r="O358" s="109">
        <f>DAY('BD2'!$N358)</f>
        <v>28</v>
      </c>
      <c r="P358" s="109">
        <f>MONTH('BD2'!$N358)</f>
        <v>10</v>
      </c>
      <c r="Q358" s="109">
        <f>YEAR('BD2'!$N358)</f>
        <v>2025</v>
      </c>
      <c r="R358" s="109">
        <v>2</v>
      </c>
      <c r="S358" s="109" t="s">
        <v>138</v>
      </c>
      <c r="T358" s="109" t="s">
        <v>138</v>
      </c>
      <c r="U358" s="109" t="s">
        <v>138</v>
      </c>
      <c r="V358" s="109" t="s">
        <v>138</v>
      </c>
      <c r="W358" s="109" t="s">
        <v>138</v>
      </c>
      <c r="X358" s="109" t="s">
        <v>138</v>
      </c>
      <c r="Y358" s="109" t="s">
        <v>138</v>
      </c>
      <c r="Z358" s="109" t="str">
        <f>IF('BD2'!$AA358 &lt; 14, "no", "si")</f>
        <v>si</v>
      </c>
      <c r="AA358" s="109">
        <v>106</v>
      </c>
      <c r="AB358" s="109">
        <v>64.099999999999994</v>
      </c>
      <c r="AC358" s="110" t="s">
        <v>969</v>
      </c>
      <c r="AD358" s="110" t="s">
        <v>957</v>
      </c>
      <c r="AE358" s="109">
        <f t="shared" si="17"/>
        <v>8</v>
      </c>
      <c r="AF358" s="111" t="str">
        <f t="shared" si="18"/>
        <v>Estable</v>
      </c>
    </row>
    <row r="359" spans="1:32" x14ac:dyDescent="0.2">
      <c r="A359" s="112">
        <v>972</v>
      </c>
      <c r="B359" s="113" t="s">
        <v>956</v>
      </c>
      <c r="C359" s="114" t="s">
        <v>87</v>
      </c>
      <c r="D359" s="114" t="s">
        <v>563</v>
      </c>
      <c r="E359" s="115" t="s">
        <v>793</v>
      </c>
      <c r="F359" s="115" t="s">
        <v>794</v>
      </c>
      <c r="G359" s="115" t="s">
        <v>991</v>
      </c>
      <c r="H359" s="113" t="s">
        <v>8</v>
      </c>
      <c r="I359" s="114">
        <v>21.106836999999999</v>
      </c>
      <c r="J359" s="114">
        <v>-101.65272299999999</v>
      </c>
      <c r="K359" s="113" t="s">
        <v>139</v>
      </c>
      <c r="L359" s="116" t="str">
        <f t="shared" si="16"/>
        <v>Ver en Google Maps</v>
      </c>
      <c r="M359" s="113">
        <v>2</v>
      </c>
      <c r="N359" s="117">
        <v>45960</v>
      </c>
      <c r="O359" s="118">
        <f>DAY('BD2'!$N359)</f>
        <v>30</v>
      </c>
      <c r="P359" s="118">
        <f>MONTH('BD2'!$N359)</f>
        <v>10</v>
      </c>
      <c r="Q359" s="118">
        <f>YEAR('BD2'!$N359)</f>
        <v>2025</v>
      </c>
      <c r="R359" s="118">
        <v>2</v>
      </c>
      <c r="S359" s="118" t="s">
        <v>138</v>
      </c>
      <c r="T359" s="118" t="s">
        <v>138</v>
      </c>
      <c r="U359" s="118" t="s">
        <v>138</v>
      </c>
      <c r="V359" s="118" t="s">
        <v>138</v>
      </c>
      <c r="W359" s="118" t="s">
        <v>138</v>
      </c>
      <c r="X359" s="118" t="s">
        <v>138</v>
      </c>
      <c r="Y359" s="118" t="s">
        <v>138</v>
      </c>
      <c r="Z359" s="118" t="str">
        <f>IF('BD2'!$AA359 &lt; 14, "no", "si")</f>
        <v>si</v>
      </c>
      <c r="AA359" s="118">
        <v>14.5</v>
      </c>
      <c r="AB359" s="118">
        <v>11.1</v>
      </c>
      <c r="AC359" s="119" t="s">
        <v>967</v>
      </c>
      <c r="AD359" s="119" t="s">
        <v>957</v>
      </c>
      <c r="AE359" s="118">
        <f t="shared" si="17"/>
        <v>8</v>
      </c>
      <c r="AF359" s="120" t="str">
        <f t="shared" si="18"/>
        <v>Estable</v>
      </c>
    </row>
    <row r="360" spans="1:32" x14ac:dyDescent="0.2">
      <c r="A360" s="121">
        <v>973</v>
      </c>
      <c r="B360" s="122" t="s">
        <v>956</v>
      </c>
      <c r="C360" s="123" t="s">
        <v>87</v>
      </c>
      <c r="D360" s="123" t="s">
        <v>563</v>
      </c>
      <c r="E360" s="124" t="s">
        <v>795</v>
      </c>
      <c r="F360" s="124" t="s">
        <v>796</v>
      </c>
      <c r="G360" s="124" t="s">
        <v>1127</v>
      </c>
      <c r="H360" s="122" t="s">
        <v>8</v>
      </c>
      <c r="I360" s="123">
        <v>21.10098</v>
      </c>
      <c r="J360" s="123">
        <v>-101.66424000000001</v>
      </c>
      <c r="K360" s="122" t="s">
        <v>139</v>
      </c>
      <c r="L360" s="125" t="str">
        <f t="shared" si="16"/>
        <v>Ver en Google Maps</v>
      </c>
      <c r="M360" s="122">
        <v>2</v>
      </c>
      <c r="N360" s="108">
        <v>45964</v>
      </c>
      <c r="O360" s="109">
        <f>DAY('BD2'!$N360)</f>
        <v>3</v>
      </c>
      <c r="P360" s="109">
        <f>MONTH('BD2'!$N360)</f>
        <v>11</v>
      </c>
      <c r="Q360" s="109">
        <f>YEAR('BD2'!$N360)</f>
        <v>2025</v>
      </c>
      <c r="R360" s="109">
        <v>2</v>
      </c>
      <c r="S360" s="109" t="s">
        <v>138</v>
      </c>
      <c r="T360" s="109" t="s">
        <v>138</v>
      </c>
      <c r="U360" s="109" t="s">
        <v>138</v>
      </c>
      <c r="V360" s="109" t="s">
        <v>138</v>
      </c>
      <c r="W360" s="109" t="s">
        <v>138</v>
      </c>
      <c r="X360" s="109" t="s">
        <v>138</v>
      </c>
      <c r="Y360" s="109" t="s">
        <v>138</v>
      </c>
      <c r="Z360" s="109" t="str">
        <f>IF('BD2'!$AA360 &lt; 14, "no", "si")</f>
        <v>si</v>
      </c>
      <c r="AA360" s="109">
        <v>114</v>
      </c>
      <c r="AB360" s="109">
        <v>48.5</v>
      </c>
      <c r="AC360" s="110" t="s">
        <v>967</v>
      </c>
      <c r="AD360" s="110" t="s">
        <v>957</v>
      </c>
      <c r="AE360" s="109">
        <f t="shared" si="17"/>
        <v>8</v>
      </c>
      <c r="AF360" s="111" t="str">
        <f t="shared" si="18"/>
        <v>Estable</v>
      </c>
    </row>
    <row r="361" spans="1:32" x14ac:dyDescent="0.2">
      <c r="A361" s="112">
        <v>974</v>
      </c>
      <c r="B361" s="113" t="s">
        <v>956</v>
      </c>
      <c r="C361" s="114" t="s">
        <v>87</v>
      </c>
      <c r="D361" s="114" t="s">
        <v>563</v>
      </c>
      <c r="E361" s="115" t="s">
        <v>797</v>
      </c>
      <c r="F361" s="115" t="s">
        <v>798</v>
      </c>
      <c r="G361" s="115" t="s">
        <v>1143</v>
      </c>
      <c r="H361" s="113" t="s">
        <v>8</v>
      </c>
      <c r="I361" s="114">
        <v>21.088480000000001</v>
      </c>
      <c r="J361" s="114">
        <v>-101.69063</v>
      </c>
      <c r="K361" s="113"/>
      <c r="L361" s="116" t="str">
        <f t="shared" si="16"/>
        <v>Ver en Google Maps</v>
      </c>
      <c r="M361" s="113">
        <v>1</v>
      </c>
      <c r="N361" s="129"/>
      <c r="O361" s="118"/>
      <c r="P361" s="118"/>
      <c r="Q361" s="118"/>
      <c r="R361" s="118"/>
      <c r="S361" s="118"/>
      <c r="T361" s="118"/>
      <c r="U361" s="118"/>
      <c r="V361" s="118"/>
      <c r="W361" s="118"/>
      <c r="X361" s="118"/>
      <c r="Y361" s="118"/>
      <c r="Z361" s="118"/>
      <c r="AA361" s="118"/>
      <c r="AB361" s="118"/>
      <c r="AC361" s="118"/>
      <c r="AD361" s="119"/>
      <c r="AE361" s="118"/>
      <c r="AF361" s="120"/>
    </row>
    <row r="362" spans="1:32" x14ac:dyDescent="0.2">
      <c r="A362" s="121">
        <v>975</v>
      </c>
      <c r="B362" s="122" t="s">
        <v>956</v>
      </c>
      <c r="C362" s="123" t="s">
        <v>87</v>
      </c>
      <c r="D362" s="123" t="s">
        <v>563</v>
      </c>
      <c r="E362" s="124" t="s">
        <v>799</v>
      </c>
      <c r="F362" s="124" t="s">
        <v>800</v>
      </c>
      <c r="G362" s="124" t="s">
        <v>1172</v>
      </c>
      <c r="H362" s="122" t="s">
        <v>8</v>
      </c>
      <c r="I362" s="123">
        <v>21.095300000000002</v>
      </c>
      <c r="J362" s="123">
        <v>-101.71648</v>
      </c>
      <c r="K362" s="122" t="s">
        <v>139</v>
      </c>
      <c r="L362" s="125" t="str">
        <f t="shared" si="16"/>
        <v>Ver en Google Maps</v>
      </c>
      <c r="M362" s="122">
        <v>1</v>
      </c>
      <c r="N362" s="108">
        <v>45964</v>
      </c>
      <c r="O362" s="109">
        <f>DAY('BD2'!$N362)</f>
        <v>3</v>
      </c>
      <c r="P362" s="109">
        <f>MONTH('BD2'!$N362)</f>
        <v>11</v>
      </c>
      <c r="Q362" s="109">
        <f>YEAR('BD2'!$N362)</f>
        <v>2025</v>
      </c>
      <c r="R362" s="109">
        <v>2</v>
      </c>
      <c r="S362" s="109" t="s">
        <v>138</v>
      </c>
      <c r="T362" s="109" t="s">
        <v>138</v>
      </c>
      <c r="U362" s="109" t="s">
        <v>138</v>
      </c>
      <c r="V362" s="109" t="s">
        <v>138</v>
      </c>
      <c r="W362" s="109" t="s">
        <v>138</v>
      </c>
      <c r="X362" s="109" t="s">
        <v>138</v>
      </c>
      <c r="Y362" s="109" t="s">
        <v>138</v>
      </c>
      <c r="Z362" s="109" t="str">
        <f>IF('BD2'!$AA362 &lt; 14, "no", "si")</f>
        <v>si</v>
      </c>
      <c r="AA362" s="109">
        <v>116</v>
      </c>
      <c r="AB362" s="109">
        <v>70.400000000000006</v>
      </c>
      <c r="AC362" s="110" t="s">
        <v>967</v>
      </c>
      <c r="AD362" s="110" t="s">
        <v>957</v>
      </c>
      <c r="AE362" s="109">
        <f t="shared" si="17"/>
        <v>8</v>
      </c>
      <c r="AF362" s="111" t="str">
        <f t="shared" si="18"/>
        <v>Estable</v>
      </c>
    </row>
    <row r="363" spans="1:32" x14ac:dyDescent="0.2">
      <c r="A363" s="112">
        <v>976</v>
      </c>
      <c r="B363" s="113" t="s">
        <v>956</v>
      </c>
      <c r="C363" s="114" t="s">
        <v>87</v>
      </c>
      <c r="D363" s="114" t="s">
        <v>563</v>
      </c>
      <c r="E363" s="115" t="s">
        <v>801</v>
      </c>
      <c r="F363" s="115" t="s">
        <v>802</v>
      </c>
      <c r="G363" s="115" t="s">
        <v>976</v>
      </c>
      <c r="H363" s="113" t="s">
        <v>8</v>
      </c>
      <c r="I363" s="114">
        <v>21.103536999999999</v>
      </c>
      <c r="J363" s="114">
        <v>-101.701385</v>
      </c>
      <c r="K363" s="113" t="s">
        <v>3057</v>
      </c>
      <c r="L363" s="116" t="str">
        <f t="shared" si="16"/>
        <v>Ver en Google Maps</v>
      </c>
      <c r="M363" s="113">
        <v>1</v>
      </c>
      <c r="N363" s="117">
        <v>45964</v>
      </c>
      <c r="O363" s="118">
        <f>DAY('BD2'!$N363)</f>
        <v>3</v>
      </c>
      <c r="P363" s="118">
        <f>MONTH('BD2'!$N363)</f>
        <v>11</v>
      </c>
      <c r="Q363" s="118">
        <f>YEAR('BD2'!$N363)</f>
        <v>2025</v>
      </c>
      <c r="R363" s="118">
        <v>2</v>
      </c>
      <c r="S363" s="118" t="s">
        <v>138</v>
      </c>
      <c r="T363" s="118" t="s">
        <v>138</v>
      </c>
      <c r="U363" s="118" t="s">
        <v>138</v>
      </c>
      <c r="V363" s="118" t="s">
        <v>138</v>
      </c>
      <c r="W363" s="118" t="s">
        <v>138</v>
      </c>
      <c r="X363" s="118" t="s">
        <v>138</v>
      </c>
      <c r="Y363" s="118" t="s">
        <v>138</v>
      </c>
      <c r="Z363" s="118" t="str">
        <f>IF('BD2'!$AA363 &lt; 14, "no", "si")</f>
        <v>si</v>
      </c>
      <c r="AA363" s="118">
        <v>54</v>
      </c>
      <c r="AB363" s="118">
        <v>26.2</v>
      </c>
      <c r="AC363" s="119" t="s">
        <v>967</v>
      </c>
      <c r="AD363" s="119" t="s">
        <v>957</v>
      </c>
      <c r="AE363" s="118">
        <f t="shared" si="17"/>
        <v>8</v>
      </c>
      <c r="AF363" s="120" t="str">
        <f t="shared" si="18"/>
        <v>Estable</v>
      </c>
    </row>
    <row r="364" spans="1:32" x14ac:dyDescent="0.2">
      <c r="A364" s="121">
        <v>977</v>
      </c>
      <c r="B364" s="122" t="s">
        <v>956</v>
      </c>
      <c r="C364" s="123" t="s">
        <v>87</v>
      </c>
      <c r="D364" s="123" t="s">
        <v>563</v>
      </c>
      <c r="E364" s="124" t="s">
        <v>803</v>
      </c>
      <c r="F364" s="124" t="s">
        <v>804</v>
      </c>
      <c r="G364" s="124" t="s">
        <v>1016</v>
      </c>
      <c r="H364" s="122" t="s">
        <v>8</v>
      </c>
      <c r="I364" s="123">
        <v>21.08839</v>
      </c>
      <c r="J364" s="123">
        <v>-101.63072</v>
      </c>
      <c r="K364" s="122"/>
      <c r="L364" s="125" t="str">
        <f t="shared" si="16"/>
        <v>Ver en Google Maps</v>
      </c>
      <c r="M364" s="122">
        <v>2</v>
      </c>
      <c r="N364" s="130"/>
      <c r="O364" s="109"/>
      <c r="P364" s="109"/>
      <c r="Q364" s="109"/>
      <c r="R364" s="109"/>
      <c r="S364" s="109"/>
      <c r="T364" s="109"/>
      <c r="U364" s="109"/>
      <c r="V364" s="109"/>
      <c r="W364" s="109"/>
      <c r="X364" s="109"/>
      <c r="Y364" s="109"/>
      <c r="Z364" s="109"/>
      <c r="AA364" s="109"/>
      <c r="AB364" s="109"/>
      <c r="AC364" s="109"/>
      <c r="AD364" s="110"/>
      <c r="AE364" s="109"/>
      <c r="AF364" s="111"/>
    </row>
    <row r="365" spans="1:32" x14ac:dyDescent="0.2">
      <c r="A365" s="112">
        <v>978</v>
      </c>
      <c r="B365" s="113" t="s">
        <v>956</v>
      </c>
      <c r="C365" s="114" t="s">
        <v>87</v>
      </c>
      <c r="D365" s="114" t="s">
        <v>805</v>
      </c>
      <c r="E365" s="115" t="s">
        <v>806</v>
      </c>
      <c r="F365" s="115" t="s">
        <v>807</v>
      </c>
      <c r="G365" s="115" t="s">
        <v>1074</v>
      </c>
      <c r="H365" s="113" t="s">
        <v>8</v>
      </c>
      <c r="I365" s="114">
        <v>21.1097</v>
      </c>
      <c r="J365" s="114">
        <v>-101.70059000000001</v>
      </c>
      <c r="K365" s="113" t="s">
        <v>139</v>
      </c>
      <c r="L365" s="116" t="str">
        <f t="shared" si="16"/>
        <v>Ver en Google Maps</v>
      </c>
      <c r="M365" s="113">
        <v>1</v>
      </c>
      <c r="N365" s="117">
        <v>45965</v>
      </c>
      <c r="O365" s="118">
        <f>DAY('BD2'!$N365)</f>
        <v>4</v>
      </c>
      <c r="P365" s="118">
        <f>MONTH('BD2'!$N365)</f>
        <v>11</v>
      </c>
      <c r="Q365" s="118">
        <f>YEAR('BD2'!$N365)</f>
        <v>2025</v>
      </c>
      <c r="R365" s="118">
        <v>2</v>
      </c>
      <c r="S365" s="118" t="s">
        <v>138</v>
      </c>
      <c r="T365" s="118" t="s">
        <v>138</v>
      </c>
      <c r="U365" s="118" t="s">
        <v>138</v>
      </c>
      <c r="V365" s="118" t="s">
        <v>138</v>
      </c>
      <c r="W365" s="118" t="s">
        <v>138</v>
      </c>
      <c r="X365" s="118" t="s">
        <v>138</v>
      </c>
      <c r="Y365" s="118" t="s">
        <v>138</v>
      </c>
      <c r="Z365" s="118" t="str">
        <f>IF('BD2'!$AA365 &lt; 14, "no", "si")</f>
        <v>si</v>
      </c>
      <c r="AA365" s="118">
        <v>96.4</v>
      </c>
      <c r="AB365" s="118">
        <v>98.4</v>
      </c>
      <c r="AC365" s="119" t="s">
        <v>967</v>
      </c>
      <c r="AD365" s="119" t="s">
        <v>957</v>
      </c>
      <c r="AE365" s="118">
        <f t="shared" si="17"/>
        <v>8</v>
      </c>
      <c r="AF365" s="120" t="str">
        <f t="shared" si="18"/>
        <v>Estable</v>
      </c>
    </row>
    <row r="366" spans="1:32" x14ac:dyDescent="0.2">
      <c r="A366" s="121">
        <v>979</v>
      </c>
      <c r="B366" s="122" t="s">
        <v>956</v>
      </c>
      <c r="C366" s="123" t="s">
        <v>87</v>
      </c>
      <c r="D366" s="123" t="s">
        <v>563</v>
      </c>
      <c r="E366" s="124" t="s">
        <v>808</v>
      </c>
      <c r="F366" s="124" t="s">
        <v>809</v>
      </c>
      <c r="G366" s="124" t="s">
        <v>1107</v>
      </c>
      <c r="H366" s="122" t="s">
        <v>8</v>
      </c>
      <c r="I366" s="123">
        <v>21.097100000000001</v>
      </c>
      <c r="J366" s="123">
        <v>-101.69062</v>
      </c>
      <c r="K366" s="122"/>
      <c r="L366" s="125" t="str">
        <f t="shared" si="16"/>
        <v>Ver en Google Maps</v>
      </c>
      <c r="M366" s="122">
        <v>1</v>
      </c>
      <c r="N366" s="130"/>
      <c r="O366" s="109"/>
      <c r="P366" s="109"/>
      <c r="Q366" s="109"/>
      <c r="R366" s="109"/>
      <c r="S366" s="109"/>
      <c r="T366" s="109"/>
      <c r="U366" s="109"/>
      <c r="V366" s="109"/>
      <c r="W366" s="109"/>
      <c r="X366" s="109"/>
      <c r="Y366" s="109"/>
      <c r="Z366" s="109"/>
      <c r="AA366" s="109"/>
      <c r="AB366" s="109"/>
      <c r="AC366" s="109"/>
      <c r="AD366" s="110"/>
      <c r="AE366" s="109"/>
      <c r="AF366" s="111"/>
    </row>
    <row r="367" spans="1:32" x14ac:dyDescent="0.2">
      <c r="A367" s="112">
        <v>980</v>
      </c>
      <c r="B367" s="113" t="s">
        <v>956</v>
      </c>
      <c r="C367" s="114" t="s">
        <v>87</v>
      </c>
      <c r="D367" s="114" t="s">
        <v>563</v>
      </c>
      <c r="E367" s="115" t="s">
        <v>810</v>
      </c>
      <c r="F367" s="115" t="s">
        <v>811</v>
      </c>
      <c r="G367" s="115" t="s">
        <v>1173</v>
      </c>
      <c r="H367" s="113" t="s">
        <v>8</v>
      </c>
      <c r="I367" s="114">
        <v>21.09412</v>
      </c>
      <c r="J367" s="114">
        <v>-101.6589</v>
      </c>
      <c r="K367" s="113"/>
      <c r="L367" s="116" t="str">
        <f t="shared" si="16"/>
        <v>Ver en Google Maps</v>
      </c>
      <c r="M367" s="113">
        <v>2</v>
      </c>
      <c r="N367" s="129"/>
      <c r="O367" s="118"/>
      <c r="P367" s="118"/>
      <c r="Q367" s="118"/>
      <c r="R367" s="118"/>
      <c r="S367" s="118"/>
      <c r="T367" s="118"/>
      <c r="U367" s="118"/>
      <c r="V367" s="118"/>
      <c r="W367" s="118"/>
      <c r="X367" s="118"/>
      <c r="Y367" s="118"/>
      <c r="Z367" s="118"/>
      <c r="AA367" s="118"/>
      <c r="AB367" s="118"/>
      <c r="AC367" s="118"/>
      <c r="AD367" s="119"/>
      <c r="AE367" s="118"/>
      <c r="AF367" s="120"/>
    </row>
    <row r="368" spans="1:32" x14ac:dyDescent="0.2">
      <c r="A368" s="121">
        <v>981</v>
      </c>
      <c r="B368" s="122" t="s">
        <v>956</v>
      </c>
      <c r="C368" s="123" t="s">
        <v>87</v>
      </c>
      <c r="D368" s="123" t="s">
        <v>805</v>
      </c>
      <c r="E368" s="124" t="s">
        <v>812</v>
      </c>
      <c r="F368" s="124" t="s">
        <v>813</v>
      </c>
      <c r="G368" s="124" t="s">
        <v>1025</v>
      </c>
      <c r="H368" s="122" t="s">
        <v>8</v>
      </c>
      <c r="I368" s="123">
        <v>21.120349000000001</v>
      </c>
      <c r="J368" s="123">
        <v>-101.638986</v>
      </c>
      <c r="K368" s="122" t="s">
        <v>139</v>
      </c>
      <c r="L368" s="125" t="str">
        <f t="shared" si="16"/>
        <v>Ver en Google Maps</v>
      </c>
      <c r="M368" s="122">
        <v>1</v>
      </c>
      <c r="N368" s="108">
        <v>45955</v>
      </c>
      <c r="O368" s="109">
        <f>DAY('BD2'!$N368)</f>
        <v>25</v>
      </c>
      <c r="P368" s="109">
        <f>MONTH('BD2'!$N368)</f>
        <v>10</v>
      </c>
      <c r="Q368" s="109">
        <f>YEAR('BD2'!$N368)</f>
        <v>2025</v>
      </c>
      <c r="R368" s="109">
        <v>2</v>
      </c>
      <c r="S368" s="109" t="s">
        <v>934</v>
      </c>
      <c r="T368" s="109" t="s">
        <v>934</v>
      </c>
      <c r="U368" s="109" t="s">
        <v>934</v>
      </c>
      <c r="V368" s="109" t="s">
        <v>934</v>
      </c>
      <c r="W368" s="109" t="s">
        <v>934</v>
      </c>
      <c r="X368" s="109" t="s">
        <v>934</v>
      </c>
      <c r="Y368" s="109" t="s">
        <v>934</v>
      </c>
      <c r="Z368" s="109" t="str">
        <f>IF('BD2'!$AA368 &lt; 14, "no", "si")</f>
        <v>no</v>
      </c>
      <c r="AA368" s="109">
        <v>0</v>
      </c>
      <c r="AB368" s="109">
        <v>0</v>
      </c>
      <c r="AC368" s="110" t="s">
        <v>3091</v>
      </c>
      <c r="AD368" s="110" t="s">
        <v>957</v>
      </c>
      <c r="AE368" s="109">
        <f t="shared" si="17"/>
        <v>0</v>
      </c>
      <c r="AF368" s="111" t="str">
        <f t="shared" si="18"/>
        <v>Crítico</v>
      </c>
    </row>
    <row r="369" spans="1:32" x14ac:dyDescent="0.2">
      <c r="A369" s="112">
        <v>982</v>
      </c>
      <c r="B369" s="113" t="s">
        <v>956</v>
      </c>
      <c r="C369" s="114" t="s">
        <v>87</v>
      </c>
      <c r="D369" s="114" t="s">
        <v>805</v>
      </c>
      <c r="E369" s="115" t="s">
        <v>814</v>
      </c>
      <c r="F369" s="115" t="s">
        <v>815</v>
      </c>
      <c r="G369" s="115" t="s">
        <v>993</v>
      </c>
      <c r="H369" s="113" t="s">
        <v>8</v>
      </c>
      <c r="I369" s="114">
        <v>21.126010000000001</v>
      </c>
      <c r="J369" s="114">
        <v>-101.7029</v>
      </c>
      <c r="K369" s="113" t="s">
        <v>139</v>
      </c>
      <c r="L369" s="116" t="str">
        <f t="shared" si="16"/>
        <v>Ver en Google Maps</v>
      </c>
      <c r="M369" s="113">
        <v>1</v>
      </c>
      <c r="N369" s="117">
        <v>45958</v>
      </c>
      <c r="O369" s="118">
        <f>DAY('BD2'!$N369)</f>
        <v>28</v>
      </c>
      <c r="P369" s="118">
        <f>MONTH('BD2'!$N369)</f>
        <v>10</v>
      </c>
      <c r="Q369" s="118">
        <f>YEAR('BD2'!$N369)</f>
        <v>2025</v>
      </c>
      <c r="R369" s="118">
        <v>2</v>
      </c>
      <c r="S369" s="118" t="s">
        <v>138</v>
      </c>
      <c r="T369" s="118" t="s">
        <v>138</v>
      </c>
      <c r="U369" s="118" t="s">
        <v>138</v>
      </c>
      <c r="V369" s="118" t="s">
        <v>138</v>
      </c>
      <c r="W369" s="118" t="s">
        <v>138</v>
      </c>
      <c r="X369" s="118" t="s">
        <v>138</v>
      </c>
      <c r="Y369" s="118" t="s">
        <v>138</v>
      </c>
      <c r="Z369" s="118" t="str">
        <f>IF('BD2'!$AA369 &lt; 14, "no", "si")</f>
        <v>si</v>
      </c>
      <c r="AA369" s="118">
        <v>88</v>
      </c>
      <c r="AB369" s="118">
        <v>35</v>
      </c>
      <c r="AC369" s="119" t="s">
        <v>967</v>
      </c>
      <c r="AD369" s="119" t="s">
        <v>957</v>
      </c>
      <c r="AE369" s="118">
        <f t="shared" si="17"/>
        <v>8</v>
      </c>
      <c r="AF369" s="120" t="str">
        <f t="shared" si="18"/>
        <v>Estable</v>
      </c>
    </row>
    <row r="370" spans="1:32" x14ac:dyDescent="0.2">
      <c r="A370" s="121">
        <v>983</v>
      </c>
      <c r="B370" s="122" t="s">
        <v>956</v>
      </c>
      <c r="C370" s="123" t="s">
        <v>87</v>
      </c>
      <c r="D370" s="123" t="s">
        <v>563</v>
      </c>
      <c r="E370" s="124" t="s">
        <v>816</v>
      </c>
      <c r="F370" s="124" t="s">
        <v>817</v>
      </c>
      <c r="G370" s="124" t="s">
        <v>1012</v>
      </c>
      <c r="H370" s="122" t="s">
        <v>8</v>
      </c>
      <c r="I370" s="123">
        <v>21.141390000000001</v>
      </c>
      <c r="J370" s="123">
        <v>-101.69641</v>
      </c>
      <c r="K370" s="122"/>
      <c r="L370" s="125" t="str">
        <f t="shared" si="16"/>
        <v>Ver en Google Maps</v>
      </c>
      <c r="M370" s="122">
        <v>1</v>
      </c>
      <c r="N370" s="130"/>
      <c r="O370" s="109"/>
      <c r="P370" s="109"/>
      <c r="Q370" s="109"/>
      <c r="R370" s="109"/>
      <c r="S370" s="109"/>
      <c r="T370" s="109"/>
      <c r="U370" s="109"/>
      <c r="V370" s="109"/>
      <c r="W370" s="109"/>
      <c r="X370" s="109"/>
      <c r="Y370" s="109"/>
      <c r="Z370" s="109"/>
      <c r="AA370" s="109"/>
      <c r="AB370" s="109"/>
      <c r="AC370" s="109"/>
      <c r="AD370" s="110"/>
      <c r="AE370" s="109"/>
      <c r="AF370" s="111"/>
    </row>
    <row r="371" spans="1:32" x14ac:dyDescent="0.2">
      <c r="A371" s="112">
        <v>984</v>
      </c>
      <c r="B371" s="113" t="s">
        <v>956</v>
      </c>
      <c r="C371" s="114" t="s">
        <v>87</v>
      </c>
      <c r="D371" s="114" t="s">
        <v>782</v>
      </c>
      <c r="E371" s="115" t="s">
        <v>376</v>
      </c>
      <c r="F371" s="115" t="s">
        <v>818</v>
      </c>
      <c r="G371" s="115" t="s">
        <v>1056</v>
      </c>
      <c r="H371" s="113" t="s">
        <v>8</v>
      </c>
      <c r="I371" s="114">
        <v>21.134789999999999</v>
      </c>
      <c r="J371" s="114">
        <v>-101.7071</v>
      </c>
      <c r="K371" s="113" t="s">
        <v>139</v>
      </c>
      <c r="L371" s="116" t="str">
        <f t="shared" si="16"/>
        <v>Ver en Google Maps</v>
      </c>
      <c r="M371" s="113">
        <v>1</v>
      </c>
      <c r="N371" s="117">
        <v>45958</v>
      </c>
      <c r="O371" s="118">
        <f>DAY('BD2'!$N371)</f>
        <v>28</v>
      </c>
      <c r="P371" s="118">
        <f>MONTH('BD2'!$N371)</f>
        <v>10</v>
      </c>
      <c r="Q371" s="118">
        <f>YEAR('BD2'!$N371)</f>
        <v>2025</v>
      </c>
      <c r="R371" s="118">
        <v>2</v>
      </c>
      <c r="S371" s="118" t="s">
        <v>138</v>
      </c>
      <c r="T371" s="118" t="s">
        <v>934</v>
      </c>
      <c r="U371" s="118" t="s">
        <v>138</v>
      </c>
      <c r="V371" s="118" t="s">
        <v>934</v>
      </c>
      <c r="W371" s="118" t="s">
        <v>138</v>
      </c>
      <c r="X371" s="118" t="s">
        <v>934</v>
      </c>
      <c r="Y371" s="118" t="s">
        <v>934</v>
      </c>
      <c r="Z371" s="118" t="str">
        <f>IF('BD2'!$AA371 &lt; 14, "no", "si")</f>
        <v>no</v>
      </c>
      <c r="AA371" s="118">
        <v>0</v>
      </c>
      <c r="AB371" s="118">
        <v>0</v>
      </c>
      <c r="AC371" s="119" t="s">
        <v>3111</v>
      </c>
      <c r="AD371" s="119" t="s">
        <v>957</v>
      </c>
      <c r="AE371" s="118">
        <f t="shared" si="17"/>
        <v>3</v>
      </c>
      <c r="AF371" s="120" t="str">
        <f t="shared" si="18"/>
        <v>Parcialmente funcional</v>
      </c>
    </row>
    <row r="372" spans="1:32" x14ac:dyDescent="0.2">
      <c r="A372" s="121">
        <v>985</v>
      </c>
      <c r="B372" s="122" t="s">
        <v>956</v>
      </c>
      <c r="C372" s="123" t="s">
        <v>87</v>
      </c>
      <c r="D372" s="123" t="s">
        <v>805</v>
      </c>
      <c r="E372" s="124" t="s">
        <v>819</v>
      </c>
      <c r="F372" s="124" t="s">
        <v>820</v>
      </c>
      <c r="G372" s="124" t="s">
        <v>1059</v>
      </c>
      <c r="H372" s="122" t="s">
        <v>8</v>
      </c>
      <c r="I372" s="123">
        <v>21.116361999999999</v>
      </c>
      <c r="J372" s="123">
        <v>-101.718405</v>
      </c>
      <c r="K372" s="122" t="s">
        <v>139</v>
      </c>
      <c r="L372" s="125" t="str">
        <f t="shared" si="16"/>
        <v>Ver en Google Maps</v>
      </c>
      <c r="M372" s="122">
        <v>1</v>
      </c>
      <c r="N372" s="108">
        <v>45964</v>
      </c>
      <c r="O372" s="109">
        <f>DAY('BD2'!$N372)</f>
        <v>3</v>
      </c>
      <c r="P372" s="109">
        <f>MONTH('BD2'!$N372)</f>
        <v>11</v>
      </c>
      <c r="Q372" s="109">
        <f>YEAR('BD2'!$N372)</f>
        <v>2025</v>
      </c>
      <c r="R372" s="109">
        <v>2</v>
      </c>
      <c r="S372" s="109" t="s">
        <v>138</v>
      </c>
      <c r="T372" s="109" t="s">
        <v>138</v>
      </c>
      <c r="U372" s="109" t="s">
        <v>138</v>
      </c>
      <c r="V372" s="109" t="s">
        <v>138</v>
      </c>
      <c r="W372" s="109" t="s">
        <v>138</v>
      </c>
      <c r="X372" s="109" t="s">
        <v>138</v>
      </c>
      <c r="Y372" s="109" t="s">
        <v>138</v>
      </c>
      <c r="Z372" s="109" t="str">
        <f>IF('BD2'!$AA372 &lt; 14, "no", "si")</f>
        <v>si</v>
      </c>
      <c r="AA372" s="109">
        <v>88.6</v>
      </c>
      <c r="AB372" s="109">
        <v>27</v>
      </c>
      <c r="AC372" s="110" t="s">
        <v>967</v>
      </c>
      <c r="AD372" s="110" t="s">
        <v>957</v>
      </c>
      <c r="AE372" s="109">
        <f t="shared" si="17"/>
        <v>8</v>
      </c>
      <c r="AF372" s="111" t="str">
        <f t="shared" si="18"/>
        <v>Estable</v>
      </c>
    </row>
    <row r="373" spans="1:32" x14ac:dyDescent="0.2">
      <c r="A373" s="112">
        <v>986</v>
      </c>
      <c r="B373" s="113" t="s">
        <v>956</v>
      </c>
      <c r="C373" s="114" t="s">
        <v>87</v>
      </c>
      <c r="D373" s="114" t="s">
        <v>563</v>
      </c>
      <c r="E373" s="115" t="s">
        <v>821</v>
      </c>
      <c r="F373" s="115" t="s">
        <v>822</v>
      </c>
      <c r="G373" s="115" t="s">
        <v>1082</v>
      </c>
      <c r="H373" s="113" t="s">
        <v>8</v>
      </c>
      <c r="I373" s="114">
        <v>21.09403</v>
      </c>
      <c r="J373" s="114">
        <v>-101.750462</v>
      </c>
      <c r="K373" s="113"/>
      <c r="L373" s="116" t="str">
        <f t="shared" si="16"/>
        <v>Ver en Google Maps</v>
      </c>
      <c r="M373" s="113">
        <v>1</v>
      </c>
      <c r="N373" s="129"/>
      <c r="O373" s="118"/>
      <c r="P373" s="118"/>
      <c r="Q373" s="118"/>
      <c r="R373" s="118"/>
      <c r="S373" s="118"/>
      <c r="T373" s="118"/>
      <c r="U373" s="118"/>
      <c r="V373" s="118"/>
      <c r="W373" s="118"/>
      <c r="X373" s="118"/>
      <c r="Y373" s="118"/>
      <c r="Z373" s="118"/>
      <c r="AA373" s="118"/>
      <c r="AB373" s="118"/>
      <c r="AC373" s="118"/>
      <c r="AD373" s="119"/>
      <c r="AE373" s="118"/>
      <c r="AF373" s="120"/>
    </row>
    <row r="374" spans="1:32" x14ac:dyDescent="0.2">
      <c r="A374" s="121">
        <v>987</v>
      </c>
      <c r="B374" s="122" t="s">
        <v>956</v>
      </c>
      <c r="C374" s="123" t="s">
        <v>87</v>
      </c>
      <c r="D374" s="123" t="s">
        <v>805</v>
      </c>
      <c r="E374" s="124" t="s">
        <v>823</v>
      </c>
      <c r="F374" s="124" t="s">
        <v>824</v>
      </c>
      <c r="G374" s="124" t="s">
        <v>1174</v>
      </c>
      <c r="H374" s="122" t="s">
        <v>8</v>
      </c>
      <c r="I374" s="123">
        <v>21.139773999999999</v>
      </c>
      <c r="J374" s="123">
        <v>-101.704215</v>
      </c>
      <c r="K374" s="122" t="s">
        <v>139</v>
      </c>
      <c r="L374" s="125" t="str">
        <f t="shared" si="16"/>
        <v>Ver en Google Maps</v>
      </c>
      <c r="M374" s="122">
        <v>1</v>
      </c>
      <c r="N374" s="108">
        <v>45958</v>
      </c>
      <c r="O374" s="109">
        <f>DAY('BD2'!$N374)</f>
        <v>28</v>
      </c>
      <c r="P374" s="109">
        <f>MONTH('BD2'!$N374)</f>
        <v>10</v>
      </c>
      <c r="Q374" s="109">
        <f>YEAR('BD2'!$N374)</f>
        <v>2025</v>
      </c>
      <c r="R374" s="109">
        <v>2</v>
      </c>
      <c r="S374" s="109" t="s">
        <v>138</v>
      </c>
      <c r="T374" s="109" t="s">
        <v>138</v>
      </c>
      <c r="U374" s="109" t="s">
        <v>138</v>
      </c>
      <c r="V374" s="109" t="s">
        <v>138</v>
      </c>
      <c r="W374" s="109" t="s">
        <v>138</v>
      </c>
      <c r="X374" s="109" t="s">
        <v>138</v>
      </c>
      <c r="Y374" s="109" t="s">
        <v>138</v>
      </c>
      <c r="Z374" s="109" t="str">
        <f>IF('BD2'!$AA374 &lt; 14, "no", "si")</f>
        <v>si</v>
      </c>
      <c r="AA374" s="109">
        <v>100</v>
      </c>
      <c r="AB374" s="109">
        <v>7.97</v>
      </c>
      <c r="AC374" s="110" t="s">
        <v>967</v>
      </c>
      <c r="AD374" s="110" t="s">
        <v>957</v>
      </c>
      <c r="AE374" s="109">
        <f t="shared" si="17"/>
        <v>8</v>
      </c>
      <c r="AF374" s="111" t="str">
        <f t="shared" si="18"/>
        <v>Estable</v>
      </c>
    </row>
    <row r="375" spans="1:32" x14ac:dyDescent="0.2">
      <c r="A375" s="112">
        <v>988</v>
      </c>
      <c r="B375" s="113" t="s">
        <v>956</v>
      </c>
      <c r="C375" s="114" t="s">
        <v>87</v>
      </c>
      <c r="D375" s="114" t="s">
        <v>805</v>
      </c>
      <c r="E375" s="115" t="s">
        <v>825</v>
      </c>
      <c r="F375" s="115" t="s">
        <v>826</v>
      </c>
      <c r="G375" s="115" t="s">
        <v>1175</v>
      </c>
      <c r="H375" s="113" t="s">
        <v>8</v>
      </c>
      <c r="I375" s="114">
        <v>21.066761</v>
      </c>
      <c r="J375" s="114">
        <v>-101.633943</v>
      </c>
      <c r="K375" s="113"/>
      <c r="L375" s="116" t="str">
        <f t="shared" si="16"/>
        <v>Ver en Google Maps</v>
      </c>
      <c r="M375" s="113">
        <v>1</v>
      </c>
      <c r="N375" s="129"/>
      <c r="O375" s="118"/>
      <c r="P375" s="118"/>
      <c r="Q375" s="118"/>
      <c r="R375" s="118"/>
      <c r="S375" s="118"/>
      <c r="T375" s="118"/>
      <c r="U375" s="118"/>
      <c r="V375" s="118"/>
      <c r="W375" s="118"/>
      <c r="X375" s="118"/>
      <c r="Y375" s="118"/>
      <c r="Z375" s="118"/>
      <c r="AA375" s="118"/>
      <c r="AB375" s="118"/>
      <c r="AC375" s="118"/>
      <c r="AD375" s="119"/>
      <c r="AE375" s="118"/>
      <c r="AF375" s="120"/>
    </row>
    <row r="376" spans="1:32" x14ac:dyDescent="0.2">
      <c r="A376" s="121">
        <v>989</v>
      </c>
      <c r="B376" s="122" t="s">
        <v>956</v>
      </c>
      <c r="C376" s="123" t="s">
        <v>429</v>
      </c>
      <c r="D376" s="123" t="s">
        <v>15</v>
      </c>
      <c r="E376" s="124" t="s">
        <v>377</v>
      </c>
      <c r="F376" s="124" t="s">
        <v>827</v>
      </c>
      <c r="G376" s="124" t="s">
        <v>1176</v>
      </c>
      <c r="H376" s="122" t="s">
        <v>8</v>
      </c>
      <c r="I376" s="123">
        <v>21.099332</v>
      </c>
      <c r="J376" s="123">
        <v>-101.67699500000001</v>
      </c>
      <c r="K376" s="122"/>
      <c r="L376" s="125" t="str">
        <f t="shared" si="16"/>
        <v>Ver en Google Maps</v>
      </c>
      <c r="M376" s="122">
        <v>2</v>
      </c>
      <c r="N376" s="130"/>
      <c r="O376" s="109"/>
      <c r="P376" s="109"/>
      <c r="Q376" s="109"/>
      <c r="R376" s="109"/>
      <c r="S376" s="109"/>
      <c r="T376" s="109"/>
      <c r="U376" s="109"/>
      <c r="V376" s="109"/>
      <c r="W376" s="109"/>
      <c r="X376" s="109"/>
      <c r="Y376" s="109"/>
      <c r="Z376" s="109"/>
      <c r="AA376" s="109"/>
      <c r="AB376" s="109"/>
      <c r="AC376" s="109"/>
      <c r="AD376" s="110"/>
      <c r="AE376" s="109"/>
      <c r="AF376" s="111"/>
    </row>
    <row r="377" spans="1:32" x14ac:dyDescent="0.2">
      <c r="A377" s="112">
        <v>990</v>
      </c>
      <c r="B377" s="113" t="s">
        <v>956</v>
      </c>
      <c r="C377" s="114" t="s">
        <v>87</v>
      </c>
      <c r="D377" s="114" t="s">
        <v>805</v>
      </c>
      <c r="E377" s="115" t="s">
        <v>828</v>
      </c>
      <c r="F377" s="115" t="s">
        <v>829</v>
      </c>
      <c r="G377" s="115" t="s">
        <v>1177</v>
      </c>
      <c r="H377" s="113" t="s">
        <v>8</v>
      </c>
      <c r="I377" s="114">
        <v>21.15006</v>
      </c>
      <c r="J377" s="114">
        <v>-101.68125999999999</v>
      </c>
      <c r="K377" s="113" t="s">
        <v>139</v>
      </c>
      <c r="L377" s="116" t="str">
        <f t="shared" si="16"/>
        <v>Ver en Google Maps</v>
      </c>
      <c r="M377" s="113">
        <v>1</v>
      </c>
      <c r="N377" s="117">
        <v>45952</v>
      </c>
      <c r="O377" s="118">
        <f>DAY('BD2'!$N377)</f>
        <v>22</v>
      </c>
      <c r="P377" s="118">
        <f>MONTH('BD2'!$N377)</f>
        <v>10</v>
      </c>
      <c r="Q377" s="118">
        <f>YEAR('BD2'!$N377)</f>
        <v>2025</v>
      </c>
      <c r="R377" s="118">
        <v>2</v>
      </c>
      <c r="S377" s="118" t="s">
        <v>138</v>
      </c>
      <c r="T377" s="118" t="s">
        <v>138</v>
      </c>
      <c r="U377" s="118" t="s">
        <v>138</v>
      </c>
      <c r="V377" s="118" t="s">
        <v>138</v>
      </c>
      <c r="W377" s="118" t="s">
        <v>138</v>
      </c>
      <c r="X377" s="118" t="s">
        <v>138</v>
      </c>
      <c r="Y377" s="118" t="s">
        <v>138</v>
      </c>
      <c r="Z377" s="118" t="str">
        <f>IF('BD2'!$AA377 &lt; 14, "no", "si")</f>
        <v>si</v>
      </c>
      <c r="AA377" s="118">
        <v>59.3</v>
      </c>
      <c r="AB377" s="118">
        <v>6.96</v>
      </c>
      <c r="AC377" s="119" t="s">
        <v>967</v>
      </c>
      <c r="AD377" s="119" t="s">
        <v>957</v>
      </c>
      <c r="AE377" s="118">
        <f t="shared" si="17"/>
        <v>8</v>
      </c>
      <c r="AF377" s="120" t="str">
        <f t="shared" si="18"/>
        <v>Estable</v>
      </c>
    </row>
    <row r="378" spans="1:32" x14ac:dyDescent="0.2">
      <c r="A378" s="121">
        <v>991</v>
      </c>
      <c r="B378" s="122" t="s">
        <v>956</v>
      </c>
      <c r="C378" s="123" t="s">
        <v>14</v>
      </c>
      <c r="D378" s="123" t="s">
        <v>404</v>
      </c>
      <c r="E378" s="124" t="s">
        <v>830</v>
      </c>
      <c r="F378" s="124" t="s">
        <v>748</v>
      </c>
      <c r="G378" s="124" t="s">
        <v>988</v>
      </c>
      <c r="H378" s="122" t="s">
        <v>8</v>
      </c>
      <c r="I378" s="123">
        <v>21.116177</v>
      </c>
      <c r="J378" s="123">
        <v>-101.660112</v>
      </c>
      <c r="K378" s="122" t="s">
        <v>139</v>
      </c>
      <c r="L378" s="125" t="str">
        <f t="shared" si="16"/>
        <v>Ver en Google Maps</v>
      </c>
      <c r="M378" s="122">
        <v>1</v>
      </c>
      <c r="N378" s="108">
        <v>45960</v>
      </c>
      <c r="O378" s="109">
        <f>DAY('BD2'!$N378)</f>
        <v>30</v>
      </c>
      <c r="P378" s="109">
        <f>MONTH('BD2'!$N378)</f>
        <v>10</v>
      </c>
      <c r="Q378" s="109">
        <f>YEAR('BD2'!$N378)</f>
        <v>2025</v>
      </c>
      <c r="R378" s="109">
        <v>2</v>
      </c>
      <c r="S378" s="109" t="s">
        <v>138</v>
      </c>
      <c r="T378" s="109" t="s">
        <v>138</v>
      </c>
      <c r="U378" s="109" t="s">
        <v>138</v>
      </c>
      <c r="V378" s="109" t="s">
        <v>138</v>
      </c>
      <c r="W378" s="109" t="s">
        <v>138</v>
      </c>
      <c r="X378" s="109" t="s">
        <v>138</v>
      </c>
      <c r="Y378" s="109" t="s">
        <v>138</v>
      </c>
      <c r="Z378" s="109" t="str">
        <f>IF('BD2'!$AA378 &lt; 14, "no", "si")</f>
        <v>si</v>
      </c>
      <c r="AA378" s="109">
        <v>86.8</v>
      </c>
      <c r="AB378" s="109">
        <v>52</v>
      </c>
      <c r="AC378" s="110" t="s">
        <v>1412</v>
      </c>
      <c r="AD378" s="110" t="s">
        <v>957</v>
      </c>
      <c r="AE378" s="109">
        <f t="shared" si="17"/>
        <v>8</v>
      </c>
      <c r="AF378" s="111" t="str">
        <f t="shared" si="18"/>
        <v>Estable</v>
      </c>
    </row>
    <row r="379" spans="1:32" x14ac:dyDescent="0.2">
      <c r="A379" s="112">
        <v>992</v>
      </c>
      <c r="B379" s="113" t="s">
        <v>956</v>
      </c>
      <c r="C379" s="114" t="s">
        <v>87</v>
      </c>
      <c r="D379" s="114" t="s">
        <v>563</v>
      </c>
      <c r="E379" s="115" t="s">
        <v>831</v>
      </c>
      <c r="F379" s="115" t="s">
        <v>832</v>
      </c>
      <c r="G379" s="115" t="s">
        <v>1032</v>
      </c>
      <c r="H379" s="113" t="s">
        <v>8</v>
      </c>
      <c r="I379" s="114">
        <v>21.138863000000001</v>
      </c>
      <c r="J379" s="114">
        <v>-101.754857</v>
      </c>
      <c r="K379" s="113" t="s">
        <v>139</v>
      </c>
      <c r="L379" s="116" t="str">
        <f t="shared" si="16"/>
        <v>Ver en Google Maps</v>
      </c>
      <c r="M379" s="113">
        <v>1</v>
      </c>
      <c r="N379" s="117">
        <v>45960</v>
      </c>
      <c r="O379" s="118">
        <f>DAY('BD2'!$N379)</f>
        <v>30</v>
      </c>
      <c r="P379" s="118">
        <f>MONTH('BD2'!$N379)</f>
        <v>10</v>
      </c>
      <c r="Q379" s="118">
        <f>YEAR('BD2'!$N379)</f>
        <v>2025</v>
      </c>
      <c r="R379" s="118">
        <v>2</v>
      </c>
      <c r="S379" s="118" t="s">
        <v>138</v>
      </c>
      <c r="T379" s="118" t="s">
        <v>138</v>
      </c>
      <c r="U379" s="118" t="s">
        <v>138</v>
      </c>
      <c r="V379" s="118" t="s">
        <v>138</v>
      </c>
      <c r="W379" s="118" t="s">
        <v>138</v>
      </c>
      <c r="X379" s="118" t="s">
        <v>138</v>
      </c>
      <c r="Y379" s="118" t="s">
        <v>138</v>
      </c>
      <c r="Z379" s="118" t="str">
        <f>IF('BD2'!$AA379 &lt; 14, "no", "si")</f>
        <v>si</v>
      </c>
      <c r="AA379" s="118">
        <v>34.6</v>
      </c>
      <c r="AB379" s="118">
        <v>14.5</v>
      </c>
      <c r="AC379" s="119" t="s">
        <v>967</v>
      </c>
      <c r="AD379" s="119" t="s">
        <v>957</v>
      </c>
      <c r="AE379" s="118">
        <f t="shared" si="17"/>
        <v>8</v>
      </c>
      <c r="AF379" s="120" t="str">
        <f t="shared" si="18"/>
        <v>Estable</v>
      </c>
    </row>
    <row r="380" spans="1:32" x14ac:dyDescent="0.2">
      <c r="A380" s="121">
        <v>994</v>
      </c>
      <c r="B380" s="122" t="s">
        <v>956</v>
      </c>
      <c r="C380" s="123" t="s">
        <v>87</v>
      </c>
      <c r="D380" s="123" t="s">
        <v>563</v>
      </c>
      <c r="E380" s="124" t="s">
        <v>833</v>
      </c>
      <c r="F380" s="124" t="s">
        <v>834</v>
      </c>
      <c r="G380" s="124" t="s">
        <v>1041</v>
      </c>
      <c r="H380" s="122" t="s">
        <v>8</v>
      </c>
      <c r="I380" s="123">
        <v>21.150770999999999</v>
      </c>
      <c r="J380" s="123">
        <v>-101.732606</v>
      </c>
      <c r="K380" s="122"/>
      <c r="L380" s="125" t="str">
        <f t="shared" si="16"/>
        <v>Ver en Google Maps</v>
      </c>
      <c r="M380" s="122">
        <v>1</v>
      </c>
      <c r="N380" s="130"/>
      <c r="O380" s="109"/>
      <c r="P380" s="109"/>
      <c r="Q380" s="109"/>
      <c r="R380" s="109"/>
      <c r="S380" s="109"/>
      <c r="T380" s="109"/>
      <c r="U380" s="109"/>
      <c r="V380" s="109"/>
      <c r="W380" s="109"/>
      <c r="X380" s="109"/>
      <c r="Y380" s="109"/>
      <c r="Z380" s="109"/>
      <c r="AA380" s="109"/>
      <c r="AB380" s="109"/>
      <c r="AC380" s="109"/>
      <c r="AD380" s="110"/>
      <c r="AE380" s="109"/>
      <c r="AF380" s="111"/>
    </row>
    <row r="381" spans="1:32" x14ac:dyDescent="0.2">
      <c r="A381" s="112">
        <v>995</v>
      </c>
      <c r="B381" s="113" t="s">
        <v>956</v>
      </c>
      <c r="C381" s="114" t="s">
        <v>87</v>
      </c>
      <c r="D381" s="114" t="s">
        <v>563</v>
      </c>
      <c r="E381" s="115" t="s">
        <v>835</v>
      </c>
      <c r="F381" s="115" t="s">
        <v>836</v>
      </c>
      <c r="G381" s="115" t="s">
        <v>1178</v>
      </c>
      <c r="H381" s="113" t="s">
        <v>8</v>
      </c>
      <c r="I381" s="114">
        <v>21.096487</v>
      </c>
      <c r="J381" s="114">
        <v>-101.59904299999999</v>
      </c>
      <c r="K381" s="113" t="s">
        <v>139</v>
      </c>
      <c r="L381" s="116" t="str">
        <f t="shared" si="16"/>
        <v>Ver en Google Maps</v>
      </c>
      <c r="M381" s="113">
        <v>1</v>
      </c>
      <c r="N381" s="117">
        <v>45957</v>
      </c>
      <c r="O381" s="118">
        <f>DAY('BD2'!$N381)</f>
        <v>27</v>
      </c>
      <c r="P381" s="118">
        <f>MONTH('BD2'!$N381)</f>
        <v>10</v>
      </c>
      <c r="Q381" s="118">
        <f>YEAR('BD2'!$N381)</f>
        <v>2025</v>
      </c>
      <c r="R381" s="118">
        <v>2</v>
      </c>
      <c r="S381" s="118" t="s">
        <v>138</v>
      </c>
      <c r="T381" s="118" t="s">
        <v>138</v>
      </c>
      <c r="U381" s="118" t="s">
        <v>138</v>
      </c>
      <c r="V381" s="118" t="s">
        <v>138</v>
      </c>
      <c r="W381" s="118" t="s">
        <v>138</v>
      </c>
      <c r="X381" s="118" t="s">
        <v>138</v>
      </c>
      <c r="Y381" s="118" t="s">
        <v>138</v>
      </c>
      <c r="Z381" s="118" t="str">
        <f>IF('BD2'!$AA381 &lt; 14, "no", "si")</f>
        <v>si</v>
      </c>
      <c r="AA381" s="118">
        <v>106</v>
      </c>
      <c r="AB381" s="118">
        <v>94.4</v>
      </c>
      <c r="AC381" s="119" t="s">
        <v>967</v>
      </c>
      <c r="AD381" s="119" t="s">
        <v>957</v>
      </c>
      <c r="AE381" s="118">
        <f t="shared" si="17"/>
        <v>8</v>
      </c>
      <c r="AF381" s="120" t="str">
        <f t="shared" si="18"/>
        <v>Estable</v>
      </c>
    </row>
    <row r="382" spans="1:32" x14ac:dyDescent="0.2">
      <c r="A382" s="121">
        <v>996</v>
      </c>
      <c r="B382" s="122" t="s">
        <v>956</v>
      </c>
      <c r="C382" s="123" t="s">
        <v>87</v>
      </c>
      <c r="D382" s="123" t="s">
        <v>563</v>
      </c>
      <c r="E382" s="124" t="s">
        <v>837</v>
      </c>
      <c r="F382" s="124" t="s">
        <v>838</v>
      </c>
      <c r="G382" s="124" t="s">
        <v>378</v>
      </c>
      <c r="H382" s="122" t="s">
        <v>8</v>
      </c>
      <c r="I382" s="123">
        <v>21.119752999999999</v>
      </c>
      <c r="J382" s="123">
        <v>-101.60357500000001</v>
      </c>
      <c r="K382" s="122"/>
      <c r="L382" s="125" t="str">
        <f t="shared" si="16"/>
        <v>Ver en Google Maps</v>
      </c>
      <c r="M382" s="122">
        <v>1</v>
      </c>
      <c r="N382" s="130"/>
      <c r="O382" s="109"/>
      <c r="P382" s="109"/>
      <c r="Q382" s="109"/>
      <c r="R382" s="109"/>
      <c r="S382" s="109"/>
      <c r="T382" s="109"/>
      <c r="U382" s="109"/>
      <c r="V382" s="109"/>
      <c r="W382" s="109"/>
      <c r="X382" s="109"/>
      <c r="Y382" s="109"/>
      <c r="Z382" s="109"/>
      <c r="AA382" s="109"/>
      <c r="AB382" s="109"/>
      <c r="AC382" s="109"/>
      <c r="AD382" s="110"/>
      <c r="AE382" s="109"/>
      <c r="AF382" s="111"/>
    </row>
    <row r="383" spans="1:32" x14ac:dyDescent="0.2">
      <c r="A383" s="112">
        <v>997</v>
      </c>
      <c r="B383" s="113" t="s">
        <v>956</v>
      </c>
      <c r="C383" s="114" t="s">
        <v>87</v>
      </c>
      <c r="D383" s="114" t="s">
        <v>782</v>
      </c>
      <c r="E383" s="115" t="s">
        <v>379</v>
      </c>
      <c r="F383" s="115" t="s">
        <v>839</v>
      </c>
      <c r="G383" s="115" t="s">
        <v>380</v>
      </c>
      <c r="H383" s="113" t="s">
        <v>8</v>
      </c>
      <c r="I383" s="114">
        <v>21.142239</v>
      </c>
      <c r="J383" s="114">
        <v>-101.766533</v>
      </c>
      <c r="K383" s="113"/>
      <c r="L383" s="116" t="str">
        <f t="shared" si="16"/>
        <v>Ver en Google Maps</v>
      </c>
      <c r="M383" s="113">
        <v>3</v>
      </c>
      <c r="N383" s="129"/>
      <c r="O383" s="118"/>
      <c r="P383" s="118"/>
      <c r="Q383" s="118"/>
      <c r="R383" s="118"/>
      <c r="S383" s="118"/>
      <c r="T383" s="118"/>
      <c r="U383" s="118"/>
      <c r="V383" s="118"/>
      <c r="W383" s="118"/>
      <c r="X383" s="118"/>
      <c r="Y383" s="118"/>
      <c r="Z383" s="118"/>
      <c r="AA383" s="118"/>
      <c r="AB383" s="118"/>
      <c r="AC383" s="118"/>
      <c r="AD383" s="119"/>
      <c r="AE383" s="118"/>
      <c r="AF383" s="120"/>
    </row>
    <row r="384" spans="1:32" x14ac:dyDescent="0.2">
      <c r="A384" s="121">
        <v>998</v>
      </c>
      <c r="B384" s="122" t="s">
        <v>956</v>
      </c>
      <c r="C384" s="123" t="s">
        <v>87</v>
      </c>
      <c r="D384" s="123" t="s">
        <v>805</v>
      </c>
      <c r="E384" s="124" t="s">
        <v>840</v>
      </c>
      <c r="F384" s="124" t="s">
        <v>841</v>
      </c>
      <c r="G384" s="124" t="s">
        <v>1080</v>
      </c>
      <c r="H384" s="122" t="s">
        <v>8</v>
      </c>
      <c r="I384" s="123">
        <v>21.065769</v>
      </c>
      <c r="J384" s="123">
        <v>-101.621453</v>
      </c>
      <c r="K384" s="122"/>
      <c r="L384" s="125" t="str">
        <f t="shared" si="16"/>
        <v>Ver en Google Maps</v>
      </c>
      <c r="M384" s="122">
        <v>1</v>
      </c>
      <c r="N384" s="130"/>
      <c r="O384" s="109"/>
      <c r="P384" s="109"/>
      <c r="Q384" s="109"/>
      <c r="R384" s="109"/>
      <c r="S384" s="109"/>
      <c r="T384" s="109"/>
      <c r="U384" s="109"/>
      <c r="V384" s="109"/>
      <c r="W384" s="109"/>
      <c r="X384" s="109"/>
      <c r="Y384" s="109"/>
      <c r="Z384" s="109"/>
      <c r="AA384" s="109"/>
      <c r="AB384" s="109"/>
      <c r="AC384" s="109"/>
      <c r="AD384" s="110"/>
      <c r="AE384" s="109"/>
      <c r="AF384" s="111"/>
    </row>
    <row r="385" spans="1:32" x14ac:dyDescent="0.2">
      <c r="A385" s="112">
        <v>1002</v>
      </c>
      <c r="B385" s="113" t="s">
        <v>956</v>
      </c>
      <c r="C385" s="114" t="s">
        <v>87</v>
      </c>
      <c r="D385" s="114" t="s">
        <v>842</v>
      </c>
      <c r="E385" s="115" t="s">
        <v>843</v>
      </c>
      <c r="F385" s="115" t="s">
        <v>844</v>
      </c>
      <c r="G385" s="115" t="s">
        <v>381</v>
      </c>
      <c r="H385" s="113" t="s">
        <v>8</v>
      </c>
      <c r="I385" s="114">
        <v>21.105554000000001</v>
      </c>
      <c r="J385" s="114">
        <v>-101.73111900000001</v>
      </c>
      <c r="K385" s="113" t="s">
        <v>139</v>
      </c>
      <c r="L385" s="116" t="str">
        <f t="shared" si="16"/>
        <v>Ver en Google Maps</v>
      </c>
      <c r="M385" s="113">
        <v>1</v>
      </c>
      <c r="N385" s="117">
        <v>45964</v>
      </c>
      <c r="O385" s="118">
        <f>DAY('BD2'!$N385)</f>
        <v>3</v>
      </c>
      <c r="P385" s="118">
        <f>MONTH('BD2'!$N385)</f>
        <v>11</v>
      </c>
      <c r="Q385" s="118">
        <f>YEAR('BD2'!$N385)</f>
        <v>2025</v>
      </c>
      <c r="R385" s="118">
        <v>2</v>
      </c>
      <c r="S385" s="118" t="s">
        <v>138</v>
      </c>
      <c r="T385" s="118" t="s">
        <v>138</v>
      </c>
      <c r="U385" s="118" t="s">
        <v>138</v>
      </c>
      <c r="V385" s="118" t="s">
        <v>138</v>
      </c>
      <c r="W385" s="118" t="s">
        <v>138</v>
      </c>
      <c r="X385" s="118" t="s">
        <v>138</v>
      </c>
      <c r="Y385" s="118" t="s">
        <v>138</v>
      </c>
      <c r="Z385" s="118" t="str">
        <f>IF('BD2'!$AA385 &lt; 14, "no", "si")</f>
        <v>si</v>
      </c>
      <c r="AA385" s="118">
        <v>75.099999999999994</v>
      </c>
      <c r="AB385" s="118">
        <v>49.4</v>
      </c>
      <c r="AC385" s="119" t="s">
        <v>967</v>
      </c>
      <c r="AD385" s="119" t="s">
        <v>957</v>
      </c>
      <c r="AE385" s="118">
        <f t="shared" si="17"/>
        <v>8</v>
      </c>
      <c r="AF385" s="120" t="str">
        <f t="shared" si="18"/>
        <v>Estable</v>
      </c>
    </row>
    <row r="386" spans="1:32" x14ac:dyDescent="0.2">
      <c r="A386" s="121">
        <v>1003</v>
      </c>
      <c r="B386" s="122" t="s">
        <v>956</v>
      </c>
      <c r="C386" s="123" t="s">
        <v>87</v>
      </c>
      <c r="D386" s="123" t="s">
        <v>563</v>
      </c>
      <c r="E386" s="124" t="s">
        <v>845</v>
      </c>
      <c r="F386" s="124" t="s">
        <v>846</v>
      </c>
      <c r="G386" s="124" t="s">
        <v>1023</v>
      </c>
      <c r="H386" s="122" t="s">
        <v>8</v>
      </c>
      <c r="I386" s="123">
        <v>21.060807</v>
      </c>
      <c r="J386" s="123">
        <v>-101.62146300000001</v>
      </c>
      <c r="K386" s="122"/>
      <c r="L386" s="125" t="str">
        <f t="shared" si="16"/>
        <v>Ver en Google Maps</v>
      </c>
      <c r="M386" s="122">
        <v>1</v>
      </c>
      <c r="N386" s="130"/>
      <c r="O386" s="109"/>
      <c r="P386" s="109"/>
      <c r="Q386" s="109"/>
      <c r="R386" s="109"/>
      <c r="S386" s="109"/>
      <c r="T386" s="109"/>
      <c r="U386" s="109"/>
      <c r="V386" s="109"/>
      <c r="W386" s="109"/>
      <c r="X386" s="109"/>
      <c r="Y386" s="109"/>
      <c r="Z386" s="109"/>
      <c r="AA386" s="109"/>
      <c r="AB386" s="109"/>
      <c r="AC386" s="109"/>
      <c r="AD386" s="110"/>
      <c r="AE386" s="109"/>
      <c r="AF386" s="111"/>
    </row>
    <row r="387" spans="1:32" x14ac:dyDescent="0.2">
      <c r="A387" s="112">
        <v>1004</v>
      </c>
      <c r="B387" s="113" t="s">
        <v>956</v>
      </c>
      <c r="C387" s="114" t="s">
        <v>87</v>
      </c>
      <c r="D387" s="114" t="s">
        <v>563</v>
      </c>
      <c r="E387" s="115" t="s">
        <v>847</v>
      </c>
      <c r="F387" s="115" t="s">
        <v>848</v>
      </c>
      <c r="G387" s="115" t="s">
        <v>980</v>
      </c>
      <c r="H387" s="113" t="s">
        <v>8</v>
      </c>
      <c r="I387" s="114">
        <v>21.128689999999999</v>
      </c>
      <c r="J387" s="114">
        <v>-101.74529</v>
      </c>
      <c r="K387" s="113"/>
      <c r="L387" s="116" t="str">
        <f t="shared" ref="L387:L453" si="19">HYPERLINK("https://www.google.com/maps?q=" &amp; I387 &amp; "," &amp; J387, "Ver en Google Maps")</f>
        <v>Ver en Google Maps</v>
      </c>
      <c r="M387" s="113">
        <v>1</v>
      </c>
      <c r="N387" s="129"/>
      <c r="O387" s="118"/>
      <c r="P387" s="118"/>
      <c r="Q387" s="118"/>
      <c r="R387" s="118"/>
      <c r="S387" s="118"/>
      <c r="T387" s="118"/>
      <c r="U387" s="118"/>
      <c r="V387" s="118"/>
      <c r="W387" s="118"/>
      <c r="X387" s="118"/>
      <c r="Y387" s="118"/>
      <c r="Z387" s="118"/>
      <c r="AA387" s="118"/>
      <c r="AB387" s="118"/>
      <c r="AC387" s="118"/>
      <c r="AD387" s="119"/>
      <c r="AE387" s="118"/>
      <c r="AF387" s="120"/>
    </row>
    <row r="388" spans="1:32" x14ac:dyDescent="0.2">
      <c r="A388" s="121">
        <v>1008</v>
      </c>
      <c r="B388" s="122" t="s">
        <v>956</v>
      </c>
      <c r="C388" s="123" t="s">
        <v>87</v>
      </c>
      <c r="D388" s="123" t="s">
        <v>563</v>
      </c>
      <c r="E388" s="124" t="s">
        <v>849</v>
      </c>
      <c r="F388" s="124" t="s">
        <v>850</v>
      </c>
      <c r="G388" s="124" t="s">
        <v>1179</v>
      </c>
      <c r="H388" s="122" t="s">
        <v>8</v>
      </c>
      <c r="I388" s="123">
        <v>21.134899999999998</v>
      </c>
      <c r="J388" s="123">
        <v>-101.66589999999999</v>
      </c>
      <c r="K388" s="122" t="s">
        <v>139</v>
      </c>
      <c r="L388" s="125" t="str">
        <f t="shared" si="19"/>
        <v>Ver en Google Maps</v>
      </c>
      <c r="M388" s="122">
        <v>2</v>
      </c>
      <c r="N388" s="108">
        <v>45954</v>
      </c>
      <c r="O388" s="109">
        <f>DAY('BD2'!$N388)</f>
        <v>24</v>
      </c>
      <c r="P388" s="109">
        <f>MONTH('BD2'!$N388)</f>
        <v>10</v>
      </c>
      <c r="Q388" s="109">
        <f>YEAR('BD2'!$N388)</f>
        <v>2025</v>
      </c>
      <c r="R388" s="109">
        <v>2</v>
      </c>
      <c r="S388" s="109" t="s">
        <v>138</v>
      </c>
      <c r="T388" s="109" t="s">
        <v>934</v>
      </c>
      <c r="U388" s="109" t="s">
        <v>934</v>
      </c>
      <c r="V388" s="109" t="s">
        <v>934</v>
      </c>
      <c r="W388" s="109" t="s">
        <v>934</v>
      </c>
      <c r="X388" s="109" t="s">
        <v>934</v>
      </c>
      <c r="Y388" s="109" t="s">
        <v>934</v>
      </c>
      <c r="Z388" s="109" t="str">
        <f>IF('BD2'!$AA388 &lt; 14, "no", "si")</f>
        <v>no</v>
      </c>
      <c r="AA388" s="109">
        <v>0</v>
      </c>
      <c r="AB388" s="109">
        <v>0</v>
      </c>
      <c r="AC388" s="110" t="s">
        <v>3076</v>
      </c>
      <c r="AD388" s="110" t="s">
        <v>957</v>
      </c>
      <c r="AE388" s="109">
        <f t="shared" ref="AE388:AE452" si="20">COUNTIF(S388:Z388, "si")</f>
        <v>1</v>
      </c>
      <c r="AF388" s="111" t="str">
        <f t="shared" ref="AF388:AF451" si="21">IF(AE388=8,"Estable",(IF(AE388=7,"Funcional con observaciones", (IF(AE388=6,"Funcional con observaciones",(IF(AE388=5,"Rendimiento bajo",(IF(AE388=4,"Parcialmente funcional",(IF(AE388=3,"Parcialmente funcional",(IF(AE388=2,"Inoperativo",(IF(AE388=1,"Inoperativo","Crítico")))))))))))))))</f>
        <v>Inoperativo</v>
      </c>
    </row>
    <row r="389" spans="1:32" x14ac:dyDescent="0.2">
      <c r="A389" s="112">
        <v>1016</v>
      </c>
      <c r="B389" s="113" t="s">
        <v>956</v>
      </c>
      <c r="C389" s="114" t="s">
        <v>87</v>
      </c>
      <c r="D389" s="114" t="s">
        <v>842</v>
      </c>
      <c r="E389" s="115" t="s">
        <v>851</v>
      </c>
      <c r="F389" s="115" t="s">
        <v>852</v>
      </c>
      <c r="G389" s="115" t="s">
        <v>1032</v>
      </c>
      <c r="H389" s="113" t="s">
        <v>8</v>
      </c>
      <c r="I389" s="114">
        <v>21.139142</v>
      </c>
      <c r="J389" s="114">
        <v>-101.75469699999999</v>
      </c>
      <c r="K389" s="113" t="s">
        <v>139</v>
      </c>
      <c r="L389" s="116" t="str">
        <f t="shared" si="19"/>
        <v>Ver en Google Maps</v>
      </c>
      <c r="M389" s="113">
        <v>1</v>
      </c>
      <c r="N389" s="117">
        <v>45960</v>
      </c>
      <c r="O389" s="118">
        <f>DAY('BD2'!$N389)</f>
        <v>30</v>
      </c>
      <c r="P389" s="118">
        <f>MONTH('BD2'!$N389)</f>
        <v>10</v>
      </c>
      <c r="Q389" s="118">
        <f>YEAR('BD2'!$N389)</f>
        <v>2025</v>
      </c>
      <c r="R389" s="118">
        <v>2</v>
      </c>
      <c r="S389" s="118" t="s">
        <v>138</v>
      </c>
      <c r="T389" s="118" t="s">
        <v>138</v>
      </c>
      <c r="U389" s="118" t="s">
        <v>138</v>
      </c>
      <c r="V389" s="118" t="s">
        <v>138</v>
      </c>
      <c r="W389" s="118" t="s">
        <v>138</v>
      </c>
      <c r="X389" s="118" t="s">
        <v>138</v>
      </c>
      <c r="Y389" s="118" t="s">
        <v>138</v>
      </c>
      <c r="Z389" s="118" t="str">
        <f>IF('BD2'!$AA389 &lt; 14, "no", "si")</f>
        <v>si</v>
      </c>
      <c r="AA389" s="118">
        <v>56.8</v>
      </c>
      <c r="AB389" s="118">
        <v>5.68</v>
      </c>
      <c r="AC389" s="119" t="s">
        <v>967</v>
      </c>
      <c r="AD389" s="119" t="s">
        <v>957</v>
      </c>
      <c r="AE389" s="118">
        <f t="shared" si="20"/>
        <v>8</v>
      </c>
      <c r="AF389" s="120" t="str">
        <f t="shared" si="21"/>
        <v>Estable</v>
      </c>
    </row>
    <row r="390" spans="1:32" x14ac:dyDescent="0.2">
      <c r="A390" s="121">
        <v>1017</v>
      </c>
      <c r="B390" s="122" t="s">
        <v>956</v>
      </c>
      <c r="C390" s="123" t="s">
        <v>87</v>
      </c>
      <c r="D390" s="123" t="s">
        <v>842</v>
      </c>
      <c r="E390" s="124" t="s">
        <v>853</v>
      </c>
      <c r="F390" s="124" t="s">
        <v>854</v>
      </c>
      <c r="G390" s="124" t="s">
        <v>997</v>
      </c>
      <c r="H390" s="122" t="s">
        <v>8</v>
      </c>
      <c r="I390" s="123">
        <v>21.105696999999999</v>
      </c>
      <c r="J390" s="123">
        <v>-101.730993</v>
      </c>
      <c r="K390" s="122" t="s">
        <v>139</v>
      </c>
      <c r="L390" s="125" t="str">
        <f t="shared" si="19"/>
        <v>Ver en Google Maps</v>
      </c>
      <c r="M390" s="122">
        <v>1</v>
      </c>
      <c r="N390" s="108">
        <v>45964</v>
      </c>
      <c r="O390" s="109">
        <f>DAY('BD2'!$N390)</f>
        <v>3</v>
      </c>
      <c r="P390" s="109">
        <f>MONTH('BD2'!$N390)</f>
        <v>11</v>
      </c>
      <c r="Q390" s="109">
        <f>YEAR('BD2'!$N390)</f>
        <v>2025</v>
      </c>
      <c r="R390" s="109">
        <v>2</v>
      </c>
      <c r="S390" s="109" t="s">
        <v>138</v>
      </c>
      <c r="T390" s="109" t="s">
        <v>138</v>
      </c>
      <c r="U390" s="109" t="s">
        <v>138</v>
      </c>
      <c r="V390" s="109" t="s">
        <v>138</v>
      </c>
      <c r="W390" s="109" t="s">
        <v>138</v>
      </c>
      <c r="X390" s="109" t="s">
        <v>138</v>
      </c>
      <c r="Y390" s="109" t="s">
        <v>138</v>
      </c>
      <c r="Z390" s="109" t="str">
        <f>IF('BD2'!$AA390 &lt; 14, "no", "si")</f>
        <v>no</v>
      </c>
      <c r="AA390" s="109">
        <v>5.35</v>
      </c>
      <c r="AB390" s="109">
        <v>6.18</v>
      </c>
      <c r="AC390" s="110" t="s">
        <v>1412</v>
      </c>
      <c r="AD390" s="110" t="s">
        <v>957</v>
      </c>
      <c r="AE390" s="109">
        <f t="shared" si="20"/>
        <v>7</v>
      </c>
      <c r="AF390" s="111" t="str">
        <f t="shared" si="21"/>
        <v>Funcional con observaciones</v>
      </c>
    </row>
    <row r="391" spans="1:32" x14ac:dyDescent="0.2">
      <c r="A391" s="112">
        <v>1018</v>
      </c>
      <c r="B391" s="113" t="s">
        <v>956</v>
      </c>
      <c r="C391" s="114" t="s">
        <v>87</v>
      </c>
      <c r="D391" s="114" t="s">
        <v>842</v>
      </c>
      <c r="E391" s="115" t="s">
        <v>855</v>
      </c>
      <c r="F391" s="115" t="s">
        <v>856</v>
      </c>
      <c r="G391" s="115" t="s">
        <v>1165</v>
      </c>
      <c r="H391" s="113" t="s">
        <v>8</v>
      </c>
      <c r="I391" s="114">
        <v>21.086127000000001</v>
      </c>
      <c r="J391" s="114">
        <v>-101.625591</v>
      </c>
      <c r="K391" s="113"/>
      <c r="L391" s="116" t="str">
        <f t="shared" si="19"/>
        <v>Ver en Google Maps</v>
      </c>
      <c r="M391" s="113">
        <v>1</v>
      </c>
      <c r="N391" s="129"/>
      <c r="O391" s="118"/>
      <c r="P391" s="118"/>
      <c r="Q391" s="118"/>
      <c r="R391" s="118"/>
      <c r="S391" s="118"/>
      <c r="T391" s="118"/>
      <c r="U391" s="118"/>
      <c r="V391" s="118"/>
      <c r="W391" s="118"/>
      <c r="X391" s="118"/>
      <c r="Y391" s="118"/>
      <c r="Z391" s="118"/>
      <c r="AA391" s="118"/>
      <c r="AB391" s="118"/>
      <c r="AC391" s="118"/>
      <c r="AD391" s="119"/>
      <c r="AE391" s="118"/>
      <c r="AF391" s="120"/>
    </row>
    <row r="392" spans="1:32" x14ac:dyDescent="0.2">
      <c r="A392" s="121">
        <v>1022</v>
      </c>
      <c r="B392" s="122" t="s">
        <v>956</v>
      </c>
      <c r="C392" s="123" t="s">
        <v>87</v>
      </c>
      <c r="D392" s="123" t="s">
        <v>782</v>
      </c>
      <c r="E392" s="124" t="s">
        <v>382</v>
      </c>
      <c r="F392" s="124" t="s">
        <v>857</v>
      </c>
      <c r="G392" s="124" t="s">
        <v>43</v>
      </c>
      <c r="H392" s="122" t="s">
        <v>8</v>
      </c>
      <c r="I392" s="123">
        <v>21.126332999999999</v>
      </c>
      <c r="J392" s="123">
        <v>-101.597076</v>
      </c>
      <c r="K392" s="122"/>
      <c r="L392" s="125" t="str">
        <f t="shared" si="19"/>
        <v>Ver en Google Maps</v>
      </c>
      <c r="M392" s="122">
        <v>2</v>
      </c>
      <c r="N392" s="130"/>
      <c r="O392" s="109"/>
      <c r="P392" s="109"/>
      <c r="Q392" s="109"/>
      <c r="R392" s="109"/>
      <c r="S392" s="109"/>
      <c r="T392" s="109"/>
      <c r="U392" s="109"/>
      <c r="V392" s="109"/>
      <c r="W392" s="109"/>
      <c r="X392" s="109"/>
      <c r="Y392" s="109"/>
      <c r="Z392" s="109"/>
      <c r="AA392" s="109"/>
      <c r="AB392" s="109"/>
      <c r="AC392" s="109"/>
      <c r="AD392" s="110"/>
      <c r="AE392" s="109"/>
      <c r="AF392" s="111"/>
    </row>
    <row r="393" spans="1:32" x14ac:dyDescent="0.2">
      <c r="A393" s="112">
        <v>1027</v>
      </c>
      <c r="B393" s="113" t="s">
        <v>956</v>
      </c>
      <c r="C393" s="114" t="s">
        <v>87</v>
      </c>
      <c r="D393" s="114" t="s">
        <v>782</v>
      </c>
      <c r="E393" s="115" t="s">
        <v>858</v>
      </c>
      <c r="F393" s="115" t="s">
        <v>859</v>
      </c>
      <c r="G393" s="115" t="s">
        <v>1078</v>
      </c>
      <c r="H393" s="113" t="s">
        <v>8</v>
      </c>
      <c r="I393" s="114">
        <v>21.060020000000002</v>
      </c>
      <c r="J393" s="114">
        <v>-101.56666</v>
      </c>
      <c r="K393" s="113"/>
      <c r="L393" s="116" t="str">
        <f t="shared" si="19"/>
        <v>Ver en Google Maps</v>
      </c>
      <c r="M393" s="113">
        <v>3</v>
      </c>
      <c r="N393" s="129"/>
      <c r="O393" s="118"/>
      <c r="P393" s="118"/>
      <c r="Q393" s="118"/>
      <c r="R393" s="118"/>
      <c r="S393" s="118"/>
      <c r="T393" s="118"/>
      <c r="U393" s="118"/>
      <c r="V393" s="118"/>
      <c r="W393" s="118"/>
      <c r="X393" s="118"/>
      <c r="Y393" s="118"/>
      <c r="Z393" s="118"/>
      <c r="AA393" s="118"/>
      <c r="AB393" s="118"/>
      <c r="AC393" s="118"/>
      <c r="AD393" s="119"/>
      <c r="AE393" s="118"/>
      <c r="AF393" s="120"/>
    </row>
    <row r="394" spans="1:32" x14ac:dyDescent="0.2">
      <c r="A394" s="121">
        <v>1030</v>
      </c>
      <c r="B394" s="122" t="s">
        <v>956</v>
      </c>
      <c r="C394" s="123" t="s">
        <v>87</v>
      </c>
      <c r="D394" s="123" t="s">
        <v>563</v>
      </c>
      <c r="E394" s="124" t="s">
        <v>860</v>
      </c>
      <c r="F394" s="124" t="s">
        <v>861</v>
      </c>
      <c r="G394" s="124" t="s">
        <v>1180</v>
      </c>
      <c r="H394" s="122" t="s">
        <v>8</v>
      </c>
      <c r="I394" s="123">
        <v>21.086490000000001</v>
      </c>
      <c r="J394" s="123">
        <v>-101.66942</v>
      </c>
      <c r="K394" s="122"/>
      <c r="L394" s="125" t="str">
        <f t="shared" si="19"/>
        <v>Ver en Google Maps</v>
      </c>
      <c r="M394" s="122">
        <v>1</v>
      </c>
      <c r="N394" s="130"/>
      <c r="O394" s="109"/>
      <c r="P394" s="109"/>
      <c r="Q394" s="109"/>
      <c r="R394" s="109"/>
      <c r="S394" s="109"/>
      <c r="T394" s="109"/>
      <c r="U394" s="109"/>
      <c r="V394" s="109"/>
      <c r="W394" s="109"/>
      <c r="X394" s="109"/>
      <c r="Y394" s="109"/>
      <c r="Z394" s="109"/>
      <c r="AA394" s="109"/>
      <c r="AB394" s="109"/>
      <c r="AC394" s="109"/>
      <c r="AD394" s="110"/>
      <c r="AE394" s="109"/>
      <c r="AF394" s="111"/>
    </row>
    <row r="395" spans="1:32" x14ac:dyDescent="0.2">
      <c r="A395" s="112">
        <v>1031</v>
      </c>
      <c r="B395" s="113" t="s">
        <v>956</v>
      </c>
      <c r="C395" s="114" t="s">
        <v>87</v>
      </c>
      <c r="D395" s="114" t="s">
        <v>404</v>
      </c>
      <c r="E395" s="115" t="s">
        <v>862</v>
      </c>
      <c r="F395" s="115" t="s">
        <v>863</v>
      </c>
      <c r="G395" s="115" t="s">
        <v>1181</v>
      </c>
      <c r="H395" s="113" t="s">
        <v>8</v>
      </c>
      <c r="I395" s="114">
        <v>21.086839999999999</v>
      </c>
      <c r="J395" s="114">
        <v>-101.67225999999999</v>
      </c>
      <c r="K395" s="113"/>
      <c r="L395" s="116" t="str">
        <f t="shared" si="19"/>
        <v>Ver en Google Maps</v>
      </c>
      <c r="M395" s="113">
        <v>1</v>
      </c>
      <c r="N395" s="129"/>
      <c r="O395" s="118"/>
      <c r="P395" s="118"/>
      <c r="Q395" s="118"/>
      <c r="R395" s="118"/>
      <c r="S395" s="118"/>
      <c r="T395" s="118"/>
      <c r="U395" s="118"/>
      <c r="V395" s="118"/>
      <c r="W395" s="118"/>
      <c r="X395" s="118"/>
      <c r="Y395" s="118"/>
      <c r="Z395" s="118"/>
      <c r="AA395" s="118"/>
      <c r="AB395" s="118"/>
      <c r="AC395" s="118"/>
      <c r="AD395" s="119"/>
      <c r="AE395" s="118"/>
      <c r="AF395" s="120"/>
    </row>
    <row r="396" spans="1:32" x14ac:dyDescent="0.2">
      <c r="A396" s="121">
        <v>1032</v>
      </c>
      <c r="B396" s="122" t="s">
        <v>956</v>
      </c>
      <c r="C396" s="123" t="s">
        <v>87</v>
      </c>
      <c r="D396" s="123" t="s">
        <v>563</v>
      </c>
      <c r="E396" s="124" t="s">
        <v>864</v>
      </c>
      <c r="F396" s="124" t="s">
        <v>865</v>
      </c>
      <c r="G396" s="124" t="s">
        <v>1182</v>
      </c>
      <c r="H396" s="122" t="s">
        <v>8</v>
      </c>
      <c r="I396" s="123">
        <v>21.151610000000002</v>
      </c>
      <c r="J396" s="123">
        <v>-101.651213</v>
      </c>
      <c r="K396" s="122"/>
      <c r="L396" s="125" t="str">
        <f t="shared" si="19"/>
        <v>Ver en Google Maps</v>
      </c>
      <c r="M396" s="122">
        <v>1</v>
      </c>
      <c r="N396" s="130"/>
      <c r="O396" s="109"/>
      <c r="P396" s="109"/>
      <c r="Q396" s="109"/>
      <c r="R396" s="109"/>
      <c r="S396" s="109"/>
      <c r="T396" s="109"/>
      <c r="U396" s="109"/>
      <c r="V396" s="109"/>
      <c r="W396" s="109"/>
      <c r="X396" s="109"/>
      <c r="Y396" s="109"/>
      <c r="Z396" s="109"/>
      <c r="AA396" s="109"/>
      <c r="AB396" s="109"/>
      <c r="AC396" s="109"/>
      <c r="AD396" s="110"/>
      <c r="AE396" s="109"/>
      <c r="AF396" s="111"/>
    </row>
    <row r="397" spans="1:32" x14ac:dyDescent="0.2">
      <c r="A397" s="112">
        <v>1033</v>
      </c>
      <c r="B397" s="113" t="s">
        <v>956</v>
      </c>
      <c r="C397" s="114" t="s">
        <v>87</v>
      </c>
      <c r="D397" s="114" t="s">
        <v>563</v>
      </c>
      <c r="E397" s="115" t="s">
        <v>866</v>
      </c>
      <c r="F397" s="115" t="s">
        <v>867</v>
      </c>
      <c r="G397" s="115" t="s">
        <v>1183</v>
      </c>
      <c r="H397" s="113" t="s">
        <v>8</v>
      </c>
      <c r="I397" s="114">
        <v>21.160409999999999</v>
      </c>
      <c r="J397" s="114">
        <v>-101.66097000000001</v>
      </c>
      <c r="K397" s="113"/>
      <c r="L397" s="116" t="str">
        <f t="shared" si="19"/>
        <v>Ver en Google Maps</v>
      </c>
      <c r="M397" s="113">
        <v>1</v>
      </c>
      <c r="N397" s="129"/>
      <c r="O397" s="118"/>
      <c r="P397" s="118"/>
      <c r="Q397" s="118"/>
      <c r="R397" s="118"/>
      <c r="S397" s="118"/>
      <c r="T397" s="118"/>
      <c r="U397" s="118"/>
      <c r="V397" s="118"/>
      <c r="W397" s="118"/>
      <c r="X397" s="118"/>
      <c r="Y397" s="118"/>
      <c r="Z397" s="118"/>
      <c r="AA397" s="118"/>
      <c r="AB397" s="118"/>
      <c r="AC397" s="118"/>
      <c r="AD397" s="119"/>
      <c r="AE397" s="118"/>
      <c r="AF397" s="120"/>
    </row>
    <row r="398" spans="1:32" x14ac:dyDescent="0.2">
      <c r="A398" s="121">
        <v>1034</v>
      </c>
      <c r="B398" s="122" t="s">
        <v>956</v>
      </c>
      <c r="C398" s="123" t="s">
        <v>87</v>
      </c>
      <c r="D398" s="123" t="s">
        <v>563</v>
      </c>
      <c r="E398" s="124" t="s">
        <v>868</v>
      </c>
      <c r="F398" s="124" t="s">
        <v>869</v>
      </c>
      <c r="G398" s="124" t="s">
        <v>986</v>
      </c>
      <c r="H398" s="122" t="s">
        <v>8</v>
      </c>
      <c r="I398" s="123">
        <v>21.10388</v>
      </c>
      <c r="J398" s="123">
        <v>-101.67847</v>
      </c>
      <c r="K398" s="122" t="s">
        <v>139</v>
      </c>
      <c r="L398" s="125" t="str">
        <f t="shared" si="19"/>
        <v>Ver en Google Maps</v>
      </c>
      <c r="M398" s="122">
        <v>1</v>
      </c>
      <c r="N398" s="108">
        <v>45964</v>
      </c>
      <c r="O398" s="109">
        <f>DAY('BD2'!$N398)</f>
        <v>3</v>
      </c>
      <c r="P398" s="109">
        <f>MONTH('BD2'!$N398)</f>
        <v>11</v>
      </c>
      <c r="Q398" s="109">
        <f>YEAR('BD2'!$N398)</f>
        <v>2025</v>
      </c>
      <c r="R398" s="109">
        <v>2</v>
      </c>
      <c r="S398" s="109" t="s">
        <v>138</v>
      </c>
      <c r="T398" s="109" t="s">
        <v>138</v>
      </c>
      <c r="U398" s="109" t="s">
        <v>138</v>
      </c>
      <c r="V398" s="109" t="s">
        <v>138</v>
      </c>
      <c r="W398" s="109" t="s">
        <v>138</v>
      </c>
      <c r="X398" s="109" t="s">
        <v>934</v>
      </c>
      <c r="Y398" s="109" t="s">
        <v>934</v>
      </c>
      <c r="Z398" s="109" t="str">
        <f>IF('BD2'!$AA398 &lt; 14, "no", "si")</f>
        <v>no</v>
      </c>
      <c r="AA398" s="109">
        <v>0</v>
      </c>
      <c r="AB398" s="109">
        <v>0</v>
      </c>
      <c r="AC398" s="110" t="s">
        <v>3148</v>
      </c>
      <c r="AD398" s="110" t="s">
        <v>957</v>
      </c>
      <c r="AE398" s="109">
        <f t="shared" si="20"/>
        <v>5</v>
      </c>
      <c r="AF398" s="111" t="str">
        <f t="shared" si="21"/>
        <v>Rendimiento bajo</v>
      </c>
    </row>
    <row r="399" spans="1:32" x14ac:dyDescent="0.2">
      <c r="A399" s="112">
        <v>1035</v>
      </c>
      <c r="B399" s="113" t="s">
        <v>956</v>
      </c>
      <c r="C399" s="114" t="s">
        <v>87</v>
      </c>
      <c r="D399" s="114" t="s">
        <v>563</v>
      </c>
      <c r="E399" s="115" t="s">
        <v>870</v>
      </c>
      <c r="F399" s="115" t="s">
        <v>871</v>
      </c>
      <c r="G399" s="115" t="s">
        <v>1184</v>
      </c>
      <c r="H399" s="113" t="s">
        <v>8</v>
      </c>
      <c r="I399" s="114">
        <v>21.176024000000002</v>
      </c>
      <c r="J399" s="114">
        <v>-101.67465199999999</v>
      </c>
      <c r="K399" s="113" t="s">
        <v>139</v>
      </c>
      <c r="L399" s="116" t="str">
        <f t="shared" si="19"/>
        <v>Ver en Google Maps</v>
      </c>
      <c r="M399" s="113">
        <v>1</v>
      </c>
      <c r="N399" s="117">
        <v>45952</v>
      </c>
      <c r="O399" s="118">
        <f>DAY('BD2'!$N399)</f>
        <v>22</v>
      </c>
      <c r="P399" s="118">
        <f>MONTH('BD2'!$N399)</f>
        <v>10</v>
      </c>
      <c r="Q399" s="118">
        <f>YEAR('BD2'!$N399)</f>
        <v>2025</v>
      </c>
      <c r="R399" s="118">
        <v>2</v>
      </c>
      <c r="S399" s="118" t="s">
        <v>138</v>
      </c>
      <c r="T399" s="118" t="s">
        <v>138</v>
      </c>
      <c r="U399" s="118" t="s">
        <v>138</v>
      </c>
      <c r="V399" s="118" t="s">
        <v>138</v>
      </c>
      <c r="W399" s="118" t="s">
        <v>138</v>
      </c>
      <c r="X399" s="118" t="s">
        <v>138</v>
      </c>
      <c r="Y399" s="118" t="s">
        <v>138</v>
      </c>
      <c r="Z399" s="118" t="str">
        <f>IF('BD2'!$AA399 &lt; 14, "no", "si")</f>
        <v>si</v>
      </c>
      <c r="AA399" s="118">
        <v>84.3</v>
      </c>
      <c r="AB399" s="118">
        <v>32.1</v>
      </c>
      <c r="AC399" s="119" t="s">
        <v>967</v>
      </c>
      <c r="AD399" s="119" t="s">
        <v>957</v>
      </c>
      <c r="AE399" s="118">
        <f t="shared" si="20"/>
        <v>8</v>
      </c>
      <c r="AF399" s="120" t="str">
        <f t="shared" si="21"/>
        <v>Estable</v>
      </c>
    </row>
    <row r="400" spans="1:32" x14ac:dyDescent="0.2">
      <c r="A400" s="121">
        <v>1036</v>
      </c>
      <c r="B400" s="122" t="s">
        <v>956</v>
      </c>
      <c r="C400" s="123" t="s">
        <v>87</v>
      </c>
      <c r="D400" s="123" t="s">
        <v>563</v>
      </c>
      <c r="E400" s="124" t="s">
        <v>872</v>
      </c>
      <c r="F400" s="124" t="s">
        <v>873</v>
      </c>
      <c r="G400" s="124" t="s">
        <v>1185</v>
      </c>
      <c r="H400" s="122" t="s">
        <v>8</v>
      </c>
      <c r="I400" s="123">
        <v>21.158840000000001</v>
      </c>
      <c r="J400" s="123">
        <v>-101.63087</v>
      </c>
      <c r="K400" s="122"/>
      <c r="L400" s="125" t="str">
        <f t="shared" si="19"/>
        <v>Ver en Google Maps</v>
      </c>
      <c r="M400" s="122">
        <v>1</v>
      </c>
      <c r="N400" s="130"/>
      <c r="O400" s="109"/>
      <c r="P400" s="109"/>
      <c r="Q400" s="109"/>
      <c r="R400" s="109"/>
      <c r="S400" s="109"/>
      <c r="T400" s="109"/>
      <c r="U400" s="109"/>
      <c r="V400" s="109"/>
      <c r="W400" s="109"/>
      <c r="X400" s="109"/>
      <c r="Y400" s="109"/>
      <c r="Z400" s="109"/>
      <c r="AA400" s="109"/>
      <c r="AB400" s="109"/>
      <c r="AC400" s="109"/>
      <c r="AD400" s="110"/>
      <c r="AE400" s="109"/>
      <c r="AF400" s="111"/>
    </row>
    <row r="401" spans="1:32" x14ac:dyDescent="0.2">
      <c r="A401" s="112">
        <v>1037</v>
      </c>
      <c r="B401" s="113" t="s">
        <v>956</v>
      </c>
      <c r="C401" s="114" t="s">
        <v>87</v>
      </c>
      <c r="D401" s="114" t="s">
        <v>563</v>
      </c>
      <c r="E401" s="115" t="s">
        <v>874</v>
      </c>
      <c r="F401" s="115" t="s">
        <v>875</v>
      </c>
      <c r="G401" s="115" t="s">
        <v>383</v>
      </c>
      <c r="H401" s="113" t="s">
        <v>8</v>
      </c>
      <c r="I401" s="114">
        <v>21.193593</v>
      </c>
      <c r="J401" s="114">
        <v>-101.673776</v>
      </c>
      <c r="K401" s="113"/>
      <c r="L401" s="116" t="str">
        <f t="shared" si="19"/>
        <v>Ver en Google Maps</v>
      </c>
      <c r="M401" s="113">
        <v>1</v>
      </c>
      <c r="N401" s="129"/>
      <c r="O401" s="118"/>
      <c r="P401" s="118"/>
      <c r="Q401" s="118"/>
      <c r="R401" s="118"/>
      <c r="S401" s="118"/>
      <c r="T401" s="118"/>
      <c r="U401" s="118"/>
      <c r="V401" s="118"/>
      <c r="W401" s="118"/>
      <c r="X401" s="118"/>
      <c r="Y401" s="118"/>
      <c r="Z401" s="118"/>
      <c r="AA401" s="118"/>
      <c r="AB401" s="118"/>
      <c r="AC401" s="118"/>
      <c r="AD401" s="119"/>
      <c r="AE401" s="118"/>
      <c r="AF401" s="120"/>
    </row>
    <row r="402" spans="1:32" x14ac:dyDescent="0.2">
      <c r="A402" s="121">
        <v>1038</v>
      </c>
      <c r="B402" s="122" t="s">
        <v>956</v>
      </c>
      <c r="C402" s="123" t="s">
        <v>87</v>
      </c>
      <c r="D402" s="123" t="s">
        <v>876</v>
      </c>
      <c r="E402" s="124" t="s">
        <v>877</v>
      </c>
      <c r="F402" s="124" t="s">
        <v>878</v>
      </c>
      <c r="G402" s="124" t="s">
        <v>1186</v>
      </c>
      <c r="H402" s="122" t="s">
        <v>8</v>
      </c>
      <c r="I402" s="123">
        <v>21.190618000000001</v>
      </c>
      <c r="J402" s="123">
        <v>-101.65072499999999</v>
      </c>
      <c r="K402" s="122"/>
      <c r="L402" s="125" t="str">
        <f t="shared" si="19"/>
        <v>Ver en Google Maps</v>
      </c>
      <c r="M402" s="122">
        <v>1</v>
      </c>
      <c r="N402" s="130"/>
      <c r="O402" s="109"/>
      <c r="P402" s="109"/>
      <c r="Q402" s="109"/>
      <c r="R402" s="109"/>
      <c r="S402" s="109"/>
      <c r="T402" s="109"/>
      <c r="U402" s="109"/>
      <c r="V402" s="109"/>
      <c r="W402" s="109"/>
      <c r="X402" s="109"/>
      <c r="Y402" s="109"/>
      <c r="Z402" s="109"/>
      <c r="AA402" s="109"/>
      <c r="AB402" s="109"/>
      <c r="AC402" s="109"/>
      <c r="AD402" s="110"/>
      <c r="AE402" s="109"/>
      <c r="AF402" s="111"/>
    </row>
    <row r="403" spans="1:32" x14ac:dyDescent="0.2">
      <c r="A403" s="112">
        <v>1039</v>
      </c>
      <c r="B403" s="113" t="s">
        <v>956</v>
      </c>
      <c r="C403" s="114" t="s">
        <v>87</v>
      </c>
      <c r="D403" s="114" t="s">
        <v>805</v>
      </c>
      <c r="E403" s="115" t="s">
        <v>879</v>
      </c>
      <c r="F403" s="115" t="s">
        <v>880</v>
      </c>
      <c r="G403" s="115" t="s">
        <v>1187</v>
      </c>
      <c r="H403" s="113" t="s">
        <v>8</v>
      </c>
      <c r="I403" s="114">
        <v>21.129698000000001</v>
      </c>
      <c r="J403" s="114">
        <v>-101.67059399999999</v>
      </c>
      <c r="K403" s="113" t="s">
        <v>139</v>
      </c>
      <c r="L403" s="116" t="str">
        <f t="shared" si="19"/>
        <v>Ver en Google Maps</v>
      </c>
      <c r="M403" s="113">
        <v>1</v>
      </c>
      <c r="N403" s="117">
        <v>45954</v>
      </c>
      <c r="O403" s="118">
        <f>DAY('BD2'!$N403)</f>
        <v>24</v>
      </c>
      <c r="P403" s="118">
        <f>MONTH('BD2'!$N403)</f>
        <v>10</v>
      </c>
      <c r="Q403" s="118">
        <f>YEAR('BD2'!$N403)</f>
        <v>2025</v>
      </c>
      <c r="R403" s="118">
        <v>2</v>
      </c>
      <c r="S403" s="118" t="s">
        <v>138</v>
      </c>
      <c r="T403" s="118" t="s">
        <v>138</v>
      </c>
      <c r="U403" s="118" t="s">
        <v>138</v>
      </c>
      <c r="V403" s="118" t="s">
        <v>138</v>
      </c>
      <c r="W403" s="118" t="s">
        <v>138</v>
      </c>
      <c r="X403" s="118" t="s">
        <v>138</v>
      </c>
      <c r="Y403" s="118" t="s">
        <v>138</v>
      </c>
      <c r="Z403" s="118" t="str">
        <f>IF('BD2'!$AA403 &lt; 14, "no", "si")</f>
        <v>si</v>
      </c>
      <c r="AA403" s="118">
        <v>65.900000000000006</v>
      </c>
      <c r="AB403" s="118">
        <v>37.5</v>
      </c>
      <c r="AC403" s="119" t="s">
        <v>967</v>
      </c>
      <c r="AD403" s="119" t="s">
        <v>957</v>
      </c>
      <c r="AE403" s="118">
        <f t="shared" si="20"/>
        <v>8</v>
      </c>
      <c r="AF403" s="120" t="str">
        <f t="shared" si="21"/>
        <v>Estable</v>
      </c>
    </row>
    <row r="404" spans="1:32" x14ac:dyDescent="0.2">
      <c r="A404" s="121">
        <v>1040</v>
      </c>
      <c r="B404" s="122" t="s">
        <v>956</v>
      </c>
      <c r="C404" s="123" t="s">
        <v>87</v>
      </c>
      <c r="D404" s="123" t="s">
        <v>563</v>
      </c>
      <c r="E404" s="124" t="s">
        <v>881</v>
      </c>
      <c r="F404" s="124" t="s">
        <v>882</v>
      </c>
      <c r="G404" s="124" t="s">
        <v>1188</v>
      </c>
      <c r="H404" s="122" t="s">
        <v>8</v>
      </c>
      <c r="I404" s="123">
        <v>21.143038000000001</v>
      </c>
      <c r="J404" s="123">
        <v>-101.653372</v>
      </c>
      <c r="K404" s="122" t="s">
        <v>139</v>
      </c>
      <c r="L404" s="125" t="str">
        <f t="shared" si="19"/>
        <v>Ver en Google Maps</v>
      </c>
      <c r="M404" s="122">
        <v>1</v>
      </c>
      <c r="N404" s="108">
        <v>45955</v>
      </c>
      <c r="O404" s="109">
        <f>DAY('BD2'!$N404)</f>
        <v>25</v>
      </c>
      <c r="P404" s="109">
        <f>MONTH('BD2'!$N404)</f>
        <v>10</v>
      </c>
      <c r="Q404" s="109">
        <f>YEAR('BD2'!$N404)</f>
        <v>2025</v>
      </c>
      <c r="R404" s="109">
        <v>2</v>
      </c>
      <c r="S404" s="109" t="s">
        <v>138</v>
      </c>
      <c r="T404" s="109" t="s">
        <v>138</v>
      </c>
      <c r="U404" s="109" t="s">
        <v>138</v>
      </c>
      <c r="V404" s="109" t="s">
        <v>934</v>
      </c>
      <c r="W404" s="109" t="s">
        <v>138</v>
      </c>
      <c r="X404" s="109" t="s">
        <v>138</v>
      </c>
      <c r="Y404" s="109" t="s">
        <v>138</v>
      </c>
      <c r="Z404" s="109" t="str">
        <f>IF('BD2'!$AA404 &lt; 14, "no", "si")</f>
        <v>no</v>
      </c>
      <c r="AA404" s="109">
        <v>9.48</v>
      </c>
      <c r="AB404" s="109">
        <v>4.2699999999999996</v>
      </c>
      <c r="AC404" s="110" t="s">
        <v>1412</v>
      </c>
      <c r="AD404" s="110" t="s">
        <v>957</v>
      </c>
      <c r="AE404" s="109">
        <f t="shared" si="20"/>
        <v>6</v>
      </c>
      <c r="AF404" s="111" t="str">
        <f t="shared" si="21"/>
        <v>Funcional con observaciones</v>
      </c>
    </row>
    <row r="405" spans="1:32" x14ac:dyDescent="0.2">
      <c r="A405" s="112">
        <v>1041</v>
      </c>
      <c r="B405" s="113" t="s">
        <v>956</v>
      </c>
      <c r="C405" s="114" t="s">
        <v>87</v>
      </c>
      <c r="D405" s="114" t="s">
        <v>805</v>
      </c>
      <c r="E405" s="115" t="s">
        <v>883</v>
      </c>
      <c r="F405" s="115" t="s">
        <v>884</v>
      </c>
      <c r="G405" s="115" t="s">
        <v>1189</v>
      </c>
      <c r="H405" s="113" t="s">
        <v>8</v>
      </c>
      <c r="I405" s="114">
        <v>21.093938999999999</v>
      </c>
      <c r="J405" s="114">
        <v>-101.674997</v>
      </c>
      <c r="K405" s="113"/>
      <c r="L405" s="116" t="str">
        <f t="shared" si="19"/>
        <v>Ver en Google Maps</v>
      </c>
      <c r="M405" s="113">
        <v>1</v>
      </c>
      <c r="N405" s="129"/>
      <c r="O405" s="118"/>
      <c r="P405" s="118"/>
      <c r="Q405" s="118"/>
      <c r="R405" s="118"/>
      <c r="S405" s="118"/>
      <c r="T405" s="118"/>
      <c r="U405" s="118"/>
      <c r="V405" s="118"/>
      <c r="W405" s="118"/>
      <c r="X405" s="118"/>
      <c r="Y405" s="118"/>
      <c r="Z405" s="118"/>
      <c r="AA405" s="118"/>
      <c r="AB405" s="118"/>
      <c r="AC405" s="118"/>
      <c r="AD405" s="119"/>
      <c r="AE405" s="118"/>
      <c r="AF405" s="120"/>
    </row>
    <row r="406" spans="1:32" x14ac:dyDescent="0.2">
      <c r="A406" s="121">
        <v>1042</v>
      </c>
      <c r="B406" s="122" t="s">
        <v>956</v>
      </c>
      <c r="C406" s="123" t="s">
        <v>87</v>
      </c>
      <c r="D406" s="123" t="s">
        <v>805</v>
      </c>
      <c r="E406" s="124" t="s">
        <v>885</v>
      </c>
      <c r="F406" s="124" t="s">
        <v>886</v>
      </c>
      <c r="G406" s="124" t="s">
        <v>1139</v>
      </c>
      <c r="H406" s="122" t="s">
        <v>8</v>
      </c>
      <c r="I406" s="123">
        <v>21.133462999999999</v>
      </c>
      <c r="J406" s="123">
        <v>-101.64882299999999</v>
      </c>
      <c r="K406" s="122" t="s">
        <v>139</v>
      </c>
      <c r="L406" s="125" t="str">
        <f t="shared" si="19"/>
        <v>Ver en Google Maps</v>
      </c>
      <c r="M406" s="122">
        <v>1</v>
      </c>
      <c r="N406" s="108">
        <v>45955</v>
      </c>
      <c r="O406" s="109">
        <f>DAY('BD2'!$N406)</f>
        <v>25</v>
      </c>
      <c r="P406" s="109">
        <f>MONTH('BD2'!$N406)</f>
        <v>10</v>
      </c>
      <c r="Q406" s="109">
        <f>YEAR('BD2'!$N406)</f>
        <v>2025</v>
      </c>
      <c r="R406" s="109">
        <v>2</v>
      </c>
      <c r="S406" s="109" t="s">
        <v>138</v>
      </c>
      <c r="T406" s="109" t="s">
        <v>138</v>
      </c>
      <c r="U406" s="109" t="s">
        <v>138</v>
      </c>
      <c r="V406" s="109" t="s">
        <v>138</v>
      </c>
      <c r="W406" s="109" t="s">
        <v>138</v>
      </c>
      <c r="X406" s="109" t="s">
        <v>138</v>
      </c>
      <c r="Y406" s="109" t="s">
        <v>138</v>
      </c>
      <c r="Z406" s="109" t="str">
        <f>IF('BD2'!$AA406 &lt; 14, "no", "si")</f>
        <v>si</v>
      </c>
      <c r="AA406" s="109">
        <v>58.6</v>
      </c>
      <c r="AB406" s="109">
        <v>39.700000000000003</v>
      </c>
      <c r="AC406" s="110" t="s">
        <v>967</v>
      </c>
      <c r="AD406" s="110" t="s">
        <v>957</v>
      </c>
      <c r="AE406" s="109">
        <f t="shared" si="20"/>
        <v>8</v>
      </c>
      <c r="AF406" s="111" t="str">
        <f t="shared" si="21"/>
        <v>Estable</v>
      </c>
    </row>
    <row r="407" spans="1:32" x14ac:dyDescent="0.2">
      <c r="A407" s="112">
        <v>1047</v>
      </c>
      <c r="B407" s="113" t="s">
        <v>956</v>
      </c>
      <c r="C407" s="114" t="s">
        <v>87</v>
      </c>
      <c r="D407" s="114" t="s">
        <v>563</v>
      </c>
      <c r="E407" s="115" t="s">
        <v>887</v>
      </c>
      <c r="F407" s="115" t="s">
        <v>888</v>
      </c>
      <c r="G407" s="115" t="s">
        <v>1190</v>
      </c>
      <c r="H407" s="113" t="s">
        <v>8</v>
      </c>
      <c r="I407" s="114">
        <v>21.179489</v>
      </c>
      <c r="J407" s="114">
        <v>-101.660347</v>
      </c>
      <c r="K407" s="113" t="s">
        <v>139</v>
      </c>
      <c r="L407" s="116" t="str">
        <f t="shared" si="19"/>
        <v>Ver en Google Maps</v>
      </c>
      <c r="M407" s="113">
        <v>1</v>
      </c>
      <c r="N407" s="117">
        <v>45958</v>
      </c>
      <c r="O407" s="118">
        <f>DAY('BD2'!$N407)</f>
        <v>28</v>
      </c>
      <c r="P407" s="118">
        <f>MONTH('BD2'!$N407)</f>
        <v>10</v>
      </c>
      <c r="Q407" s="118">
        <f>YEAR('BD2'!$N407)</f>
        <v>2025</v>
      </c>
      <c r="R407" s="118">
        <v>2</v>
      </c>
      <c r="S407" s="118" t="s">
        <v>138</v>
      </c>
      <c r="T407" s="118" t="s">
        <v>138</v>
      </c>
      <c r="U407" s="118" t="s">
        <v>138</v>
      </c>
      <c r="V407" s="118" t="s">
        <v>138</v>
      </c>
      <c r="W407" s="118" t="s">
        <v>138</v>
      </c>
      <c r="X407" s="118" t="s">
        <v>138</v>
      </c>
      <c r="Y407" s="118" t="s">
        <v>138</v>
      </c>
      <c r="Z407" s="118" t="str">
        <f>IF('BD2'!$AA407 &lt; 14, "no", "si")</f>
        <v>si</v>
      </c>
      <c r="AA407" s="118">
        <v>91.4</v>
      </c>
      <c r="AB407" s="118">
        <v>59</v>
      </c>
      <c r="AC407" s="119" t="s">
        <v>967</v>
      </c>
      <c r="AD407" s="119" t="s">
        <v>957</v>
      </c>
      <c r="AE407" s="118">
        <f t="shared" si="20"/>
        <v>8</v>
      </c>
      <c r="AF407" s="120" t="str">
        <f t="shared" si="21"/>
        <v>Estable</v>
      </c>
    </row>
    <row r="408" spans="1:32" x14ac:dyDescent="0.2">
      <c r="A408" s="121">
        <v>1048</v>
      </c>
      <c r="B408" s="122" t="s">
        <v>956</v>
      </c>
      <c r="C408" s="123" t="s">
        <v>87</v>
      </c>
      <c r="D408" s="123" t="s">
        <v>563</v>
      </c>
      <c r="E408" s="124" t="s">
        <v>889</v>
      </c>
      <c r="F408" s="124" t="s">
        <v>890</v>
      </c>
      <c r="G408" s="124" t="s">
        <v>1191</v>
      </c>
      <c r="H408" s="122" t="s">
        <v>8</v>
      </c>
      <c r="I408" s="123">
        <v>21.208880000000001</v>
      </c>
      <c r="J408" s="123">
        <v>-101.67459599999999</v>
      </c>
      <c r="K408" s="122"/>
      <c r="L408" s="125" t="str">
        <f t="shared" si="19"/>
        <v>Ver en Google Maps</v>
      </c>
      <c r="M408" s="122">
        <v>1</v>
      </c>
      <c r="N408" s="130"/>
      <c r="O408" s="109"/>
      <c r="P408" s="109"/>
      <c r="Q408" s="109"/>
      <c r="R408" s="109"/>
      <c r="S408" s="109"/>
      <c r="T408" s="109"/>
      <c r="U408" s="109"/>
      <c r="V408" s="109"/>
      <c r="W408" s="109"/>
      <c r="X408" s="109"/>
      <c r="Y408" s="109"/>
      <c r="Z408" s="109"/>
      <c r="AA408" s="109"/>
      <c r="AB408" s="109"/>
      <c r="AC408" s="109"/>
      <c r="AD408" s="110"/>
      <c r="AE408" s="109"/>
      <c r="AF408" s="111"/>
    </row>
    <row r="409" spans="1:32" x14ac:dyDescent="0.2">
      <c r="A409" s="112">
        <v>1049</v>
      </c>
      <c r="B409" s="113" t="s">
        <v>956</v>
      </c>
      <c r="C409" s="114" t="s">
        <v>87</v>
      </c>
      <c r="D409" s="114" t="s">
        <v>563</v>
      </c>
      <c r="E409" s="115" t="s">
        <v>891</v>
      </c>
      <c r="F409" s="115" t="s">
        <v>892</v>
      </c>
      <c r="G409" s="115" t="s">
        <v>1192</v>
      </c>
      <c r="H409" s="113" t="s">
        <v>8</v>
      </c>
      <c r="I409" s="114">
        <v>21.169146999999999</v>
      </c>
      <c r="J409" s="114">
        <v>-101.638357</v>
      </c>
      <c r="K409" s="113"/>
      <c r="L409" s="116" t="str">
        <f t="shared" si="19"/>
        <v>Ver en Google Maps</v>
      </c>
      <c r="M409" s="113">
        <v>1</v>
      </c>
      <c r="N409" s="129"/>
      <c r="O409" s="118"/>
      <c r="P409" s="118"/>
      <c r="Q409" s="118"/>
      <c r="R409" s="118"/>
      <c r="S409" s="118"/>
      <c r="T409" s="118"/>
      <c r="U409" s="118"/>
      <c r="V409" s="118"/>
      <c r="W409" s="118"/>
      <c r="X409" s="118"/>
      <c r="Y409" s="118"/>
      <c r="Z409" s="118"/>
      <c r="AA409" s="118"/>
      <c r="AB409" s="118"/>
      <c r="AC409" s="118"/>
      <c r="AD409" s="119"/>
      <c r="AE409" s="118"/>
      <c r="AF409" s="120"/>
    </row>
    <row r="410" spans="1:32" x14ac:dyDescent="0.2">
      <c r="A410" s="121">
        <v>1055</v>
      </c>
      <c r="B410" s="122" t="s">
        <v>956</v>
      </c>
      <c r="C410" s="123" t="s">
        <v>87</v>
      </c>
      <c r="D410" s="123" t="s">
        <v>893</v>
      </c>
      <c r="E410" s="124" t="s">
        <v>384</v>
      </c>
      <c r="F410" s="124" t="s">
        <v>894</v>
      </c>
      <c r="G410" s="124" t="s">
        <v>1165</v>
      </c>
      <c r="H410" s="122" t="s">
        <v>8</v>
      </c>
      <c r="I410" s="123">
        <v>21.088370999999999</v>
      </c>
      <c r="J410" s="123">
        <v>-101.620634</v>
      </c>
      <c r="K410" s="122"/>
      <c r="L410" s="125" t="str">
        <f t="shared" si="19"/>
        <v>Ver en Google Maps</v>
      </c>
      <c r="M410" s="122">
        <v>1</v>
      </c>
      <c r="N410" s="130"/>
      <c r="O410" s="109"/>
      <c r="P410" s="109"/>
      <c r="Q410" s="109"/>
      <c r="R410" s="109"/>
      <c r="S410" s="109"/>
      <c r="T410" s="109"/>
      <c r="U410" s="109"/>
      <c r="V410" s="109"/>
      <c r="W410" s="109"/>
      <c r="X410" s="109"/>
      <c r="Y410" s="109"/>
      <c r="Z410" s="109"/>
      <c r="AA410" s="109"/>
      <c r="AB410" s="109"/>
      <c r="AC410" s="109"/>
      <c r="AD410" s="110"/>
      <c r="AE410" s="109"/>
      <c r="AF410" s="111"/>
    </row>
    <row r="411" spans="1:32" x14ac:dyDescent="0.2">
      <c r="A411" s="112">
        <v>1057</v>
      </c>
      <c r="B411" s="113" t="s">
        <v>956</v>
      </c>
      <c r="C411" s="114" t="s">
        <v>14</v>
      </c>
      <c r="D411" s="114" t="s">
        <v>735</v>
      </c>
      <c r="E411" s="115" t="s">
        <v>895</v>
      </c>
      <c r="F411" s="115" t="s">
        <v>896</v>
      </c>
      <c r="G411" s="115" t="s">
        <v>1018</v>
      </c>
      <c r="H411" s="113" t="s">
        <v>8</v>
      </c>
      <c r="I411" s="114">
        <v>21.117000000000001</v>
      </c>
      <c r="J411" s="114">
        <v>-101.58602</v>
      </c>
      <c r="K411" s="113"/>
      <c r="L411" s="116" t="str">
        <f t="shared" si="19"/>
        <v>Ver en Google Maps</v>
      </c>
      <c r="M411" s="113">
        <v>1</v>
      </c>
      <c r="N411" s="129"/>
      <c r="O411" s="118"/>
      <c r="P411" s="118"/>
      <c r="Q411" s="118"/>
      <c r="R411" s="118"/>
      <c r="S411" s="118"/>
      <c r="T411" s="118"/>
      <c r="U411" s="118"/>
      <c r="V411" s="118"/>
      <c r="W411" s="118"/>
      <c r="X411" s="118"/>
      <c r="Y411" s="118"/>
      <c r="Z411" s="118"/>
      <c r="AA411" s="118"/>
      <c r="AB411" s="118"/>
      <c r="AC411" s="118"/>
      <c r="AD411" s="119"/>
      <c r="AE411" s="118"/>
      <c r="AF411" s="120"/>
    </row>
    <row r="412" spans="1:32" x14ac:dyDescent="0.2">
      <c r="A412" s="121" t="s">
        <v>3103</v>
      </c>
      <c r="B412" s="122" t="s">
        <v>956</v>
      </c>
      <c r="C412" s="123" t="s">
        <v>11</v>
      </c>
      <c r="D412" s="123" t="s">
        <v>404</v>
      </c>
      <c r="E412" s="124" t="s">
        <v>385</v>
      </c>
      <c r="F412" s="124" t="s">
        <v>897</v>
      </c>
      <c r="G412" s="124" t="s">
        <v>1158</v>
      </c>
      <c r="H412" s="122" t="s">
        <v>8</v>
      </c>
      <c r="I412" s="123">
        <v>21.143360000000001</v>
      </c>
      <c r="J412" s="123">
        <v>-101.64295</v>
      </c>
      <c r="K412" s="122" t="s">
        <v>139</v>
      </c>
      <c r="L412" s="125" t="str">
        <f t="shared" ref="L412:L413" si="22">HYPERLINK("https://www.google.com/maps?q=" &amp; I412 &amp; "," &amp; J412, "Ver en Google Maps")</f>
        <v>Ver en Google Maps</v>
      </c>
      <c r="M412" s="122">
        <v>3</v>
      </c>
      <c r="N412" s="108">
        <v>45957</v>
      </c>
      <c r="O412" s="109">
        <f>DAY('BD2'!$N412)</f>
        <v>27</v>
      </c>
      <c r="P412" s="109">
        <f>MONTH('BD2'!$N412)</f>
        <v>10</v>
      </c>
      <c r="Q412" s="109">
        <f>YEAR('BD2'!$N412)</f>
        <v>2025</v>
      </c>
      <c r="R412" s="109">
        <v>2</v>
      </c>
      <c r="S412" s="109" t="s">
        <v>138</v>
      </c>
      <c r="T412" s="109" t="s">
        <v>138</v>
      </c>
      <c r="U412" s="109" t="s">
        <v>138</v>
      </c>
      <c r="V412" s="109" t="s">
        <v>138</v>
      </c>
      <c r="W412" s="109" t="s">
        <v>138</v>
      </c>
      <c r="X412" s="109" t="s">
        <v>138</v>
      </c>
      <c r="Y412" s="109" t="s">
        <v>138</v>
      </c>
      <c r="Z412" s="109" t="str">
        <f>IF('BD2'!$AA412 &lt; 14, "no", "si")</f>
        <v>si</v>
      </c>
      <c r="AA412" s="109">
        <v>99</v>
      </c>
      <c r="AB412" s="109">
        <v>74.3</v>
      </c>
      <c r="AC412" s="110" t="s">
        <v>967</v>
      </c>
      <c r="AD412" s="110" t="s">
        <v>957</v>
      </c>
      <c r="AE412" s="109">
        <f>COUNTIF(S412:Z412, "si")</f>
        <v>8</v>
      </c>
      <c r="AF412" s="111" t="str">
        <f t="shared" si="21"/>
        <v>Estable</v>
      </c>
    </row>
    <row r="413" spans="1:32" x14ac:dyDescent="0.2">
      <c r="A413" s="112" t="s">
        <v>3104</v>
      </c>
      <c r="B413" s="113" t="s">
        <v>956</v>
      </c>
      <c r="C413" s="114" t="s">
        <v>11</v>
      </c>
      <c r="D413" s="114" t="s">
        <v>404</v>
      </c>
      <c r="E413" s="115" t="s">
        <v>385</v>
      </c>
      <c r="F413" s="115" t="s">
        <v>897</v>
      </c>
      <c r="G413" s="115" t="s">
        <v>1158</v>
      </c>
      <c r="H413" s="113" t="s">
        <v>8</v>
      </c>
      <c r="I413" s="114">
        <v>21.143360000000001</v>
      </c>
      <c r="J413" s="114">
        <v>-101.64295</v>
      </c>
      <c r="K413" s="113" t="s">
        <v>139</v>
      </c>
      <c r="L413" s="116" t="str">
        <f t="shared" si="22"/>
        <v>Ver en Google Maps</v>
      </c>
      <c r="M413" s="113">
        <v>3</v>
      </c>
      <c r="N413" s="117">
        <v>45957</v>
      </c>
      <c r="O413" s="118">
        <f>DAY('BD2'!$N413)</f>
        <v>27</v>
      </c>
      <c r="P413" s="118">
        <f>MONTH('BD2'!$N413)</f>
        <v>10</v>
      </c>
      <c r="Q413" s="118">
        <f>YEAR('BD2'!$N413)</f>
        <v>2025</v>
      </c>
      <c r="R413" s="118">
        <v>2</v>
      </c>
      <c r="S413" s="118" t="s">
        <v>138</v>
      </c>
      <c r="T413" s="118" t="s">
        <v>138</v>
      </c>
      <c r="U413" s="118" t="s">
        <v>138</v>
      </c>
      <c r="V413" s="118" t="s">
        <v>138</v>
      </c>
      <c r="W413" s="118" t="s">
        <v>138</v>
      </c>
      <c r="X413" s="118" t="s">
        <v>138</v>
      </c>
      <c r="Y413" s="118" t="s">
        <v>138</v>
      </c>
      <c r="Z413" s="118" t="str">
        <f>IF('BD2'!$AA413 &lt; 14, "no", "si")</f>
        <v>si</v>
      </c>
      <c r="AA413" s="118">
        <v>45.3</v>
      </c>
      <c r="AB413" s="118">
        <v>31.2</v>
      </c>
      <c r="AC413" s="119" t="s">
        <v>967</v>
      </c>
      <c r="AD413" s="119" t="s">
        <v>957</v>
      </c>
      <c r="AE413" s="118">
        <f>COUNTIF(S413:Z413, "si")</f>
        <v>8</v>
      </c>
      <c r="AF413" s="120" t="str">
        <f t="shared" si="21"/>
        <v>Estable</v>
      </c>
    </row>
    <row r="414" spans="1:32" x14ac:dyDescent="0.2">
      <c r="A414" s="121" t="s">
        <v>3105</v>
      </c>
      <c r="B414" s="122" t="s">
        <v>956</v>
      </c>
      <c r="C414" s="123" t="s">
        <v>11</v>
      </c>
      <c r="D414" s="123" t="s">
        <v>404</v>
      </c>
      <c r="E414" s="124" t="s">
        <v>385</v>
      </c>
      <c r="F414" s="124" t="s">
        <v>897</v>
      </c>
      <c r="G414" s="124" t="s">
        <v>1158</v>
      </c>
      <c r="H414" s="122" t="s">
        <v>8</v>
      </c>
      <c r="I414" s="123">
        <v>21.143360000000001</v>
      </c>
      <c r="J414" s="123">
        <v>-101.64295</v>
      </c>
      <c r="K414" s="122" t="s">
        <v>139</v>
      </c>
      <c r="L414" s="125" t="str">
        <f t="shared" si="19"/>
        <v>Ver en Google Maps</v>
      </c>
      <c r="M414" s="122">
        <v>3</v>
      </c>
      <c r="N414" s="108">
        <v>45957</v>
      </c>
      <c r="O414" s="109">
        <f>DAY('BD2'!$N414)</f>
        <v>27</v>
      </c>
      <c r="P414" s="109">
        <f>MONTH('BD2'!$N414)</f>
        <v>10</v>
      </c>
      <c r="Q414" s="109">
        <f>YEAR('BD2'!$N414)</f>
        <v>2025</v>
      </c>
      <c r="R414" s="109">
        <v>2</v>
      </c>
      <c r="S414" s="109" t="s">
        <v>138</v>
      </c>
      <c r="T414" s="109" t="s">
        <v>138</v>
      </c>
      <c r="U414" s="109" t="s">
        <v>138</v>
      </c>
      <c r="V414" s="109" t="s">
        <v>138</v>
      </c>
      <c r="W414" s="109" t="s">
        <v>138</v>
      </c>
      <c r="X414" s="109" t="s">
        <v>138</v>
      </c>
      <c r="Y414" s="109" t="s">
        <v>138</v>
      </c>
      <c r="Z414" s="109" t="str">
        <f>IF('BD2'!$AA414 &lt; 14, "no", "si")</f>
        <v>si</v>
      </c>
      <c r="AA414" s="109">
        <v>46.6</v>
      </c>
      <c r="AB414" s="109">
        <v>17.2</v>
      </c>
      <c r="AC414" s="110" t="s">
        <v>967</v>
      </c>
      <c r="AD414" s="110" t="s">
        <v>957</v>
      </c>
      <c r="AE414" s="109">
        <f t="shared" si="20"/>
        <v>8</v>
      </c>
      <c r="AF414" s="111" t="str">
        <f t="shared" si="21"/>
        <v>Estable</v>
      </c>
    </row>
    <row r="415" spans="1:32" x14ac:dyDescent="0.2">
      <c r="A415" s="112">
        <v>1064</v>
      </c>
      <c r="B415" s="113" t="s">
        <v>956</v>
      </c>
      <c r="C415" s="114" t="s">
        <v>14</v>
      </c>
      <c r="D415" s="114" t="s">
        <v>735</v>
      </c>
      <c r="E415" s="115" t="s">
        <v>898</v>
      </c>
      <c r="F415" s="115" t="s">
        <v>899</v>
      </c>
      <c r="G415" s="115" t="s">
        <v>1193</v>
      </c>
      <c r="H415" s="113" t="s">
        <v>8</v>
      </c>
      <c r="I415" s="114">
        <v>21.134526000000001</v>
      </c>
      <c r="J415" s="114">
        <v>-101.652953</v>
      </c>
      <c r="K415" s="113" t="s">
        <v>139</v>
      </c>
      <c r="L415" s="116" t="str">
        <f t="shared" si="19"/>
        <v>Ver en Google Maps</v>
      </c>
      <c r="M415" s="113">
        <v>2</v>
      </c>
      <c r="N415" s="117">
        <v>45955</v>
      </c>
      <c r="O415" s="118">
        <f>DAY('BD2'!$N415)</f>
        <v>25</v>
      </c>
      <c r="P415" s="118">
        <f>MONTH('BD2'!$N415)</f>
        <v>10</v>
      </c>
      <c r="Q415" s="118">
        <f>YEAR('BD2'!$N415)</f>
        <v>2025</v>
      </c>
      <c r="R415" s="118">
        <v>2</v>
      </c>
      <c r="S415" s="118" t="s">
        <v>138</v>
      </c>
      <c r="T415" s="118" t="s">
        <v>138</v>
      </c>
      <c r="U415" s="118" t="s">
        <v>138</v>
      </c>
      <c r="V415" s="118" t="s">
        <v>138</v>
      </c>
      <c r="W415" s="118" t="s">
        <v>138</v>
      </c>
      <c r="X415" s="118" t="s">
        <v>934</v>
      </c>
      <c r="Y415" s="118" t="s">
        <v>934</v>
      </c>
      <c r="Z415" s="118" t="str">
        <f>IF('BD2'!$AA415 &lt; 14, "no", "si")</f>
        <v>no</v>
      </c>
      <c r="AA415" s="118">
        <v>3.5</v>
      </c>
      <c r="AB415" s="118">
        <v>0.28000000000000003</v>
      </c>
      <c r="AC415" s="119" t="s">
        <v>3085</v>
      </c>
      <c r="AD415" s="119"/>
      <c r="AE415" s="118">
        <f t="shared" si="20"/>
        <v>5</v>
      </c>
      <c r="AF415" s="120" t="str">
        <f t="shared" si="21"/>
        <v>Rendimiento bajo</v>
      </c>
    </row>
    <row r="416" spans="1:32" x14ac:dyDescent="0.2">
      <c r="A416" s="121">
        <v>1065</v>
      </c>
      <c r="B416" s="122" t="s">
        <v>956</v>
      </c>
      <c r="C416" s="123" t="s">
        <v>429</v>
      </c>
      <c r="D416" s="123" t="s">
        <v>336</v>
      </c>
      <c r="E416" s="124" t="s">
        <v>900</v>
      </c>
      <c r="F416" s="124" t="s">
        <v>901</v>
      </c>
      <c r="G416" s="124" t="s">
        <v>367</v>
      </c>
      <c r="H416" s="122" t="s">
        <v>8</v>
      </c>
      <c r="I416" s="123">
        <v>21.139700000000001</v>
      </c>
      <c r="J416" s="123">
        <v>-101.71977</v>
      </c>
      <c r="K416" s="122"/>
      <c r="L416" s="125" t="str">
        <f t="shared" si="19"/>
        <v>Ver en Google Maps</v>
      </c>
      <c r="M416" s="122">
        <v>2</v>
      </c>
      <c r="N416" s="130"/>
      <c r="O416" s="109"/>
      <c r="P416" s="109"/>
      <c r="Q416" s="109"/>
      <c r="R416" s="109"/>
      <c r="S416" s="109"/>
      <c r="T416" s="109"/>
      <c r="U416" s="109"/>
      <c r="V416" s="109"/>
      <c r="W416" s="109"/>
      <c r="X416" s="109"/>
      <c r="Y416" s="109"/>
      <c r="Z416" s="109"/>
      <c r="AA416" s="109"/>
      <c r="AB416" s="109"/>
      <c r="AC416" s="109"/>
      <c r="AD416" s="110"/>
      <c r="AE416" s="109"/>
      <c r="AF416" s="111"/>
    </row>
    <row r="417" spans="1:32" x14ac:dyDescent="0.2">
      <c r="A417" s="112">
        <v>1066</v>
      </c>
      <c r="B417" s="113" t="s">
        <v>956</v>
      </c>
      <c r="C417" s="114" t="s">
        <v>429</v>
      </c>
      <c r="D417" s="114" t="s">
        <v>132</v>
      </c>
      <c r="E417" s="115" t="s">
        <v>386</v>
      </c>
      <c r="F417" s="115" t="s">
        <v>902</v>
      </c>
      <c r="G417" s="115" t="s">
        <v>1194</v>
      </c>
      <c r="H417" s="113" t="s">
        <v>8</v>
      </c>
      <c r="I417" s="114">
        <v>21.18375</v>
      </c>
      <c r="J417" s="114">
        <v>-101.67068</v>
      </c>
      <c r="K417" s="113" t="s">
        <v>139</v>
      </c>
      <c r="L417" s="116" t="str">
        <f t="shared" si="19"/>
        <v>Ver en Google Maps</v>
      </c>
      <c r="M417" s="113">
        <v>2</v>
      </c>
      <c r="N417" s="117">
        <v>45952</v>
      </c>
      <c r="O417" s="118">
        <f>DAY('BD2'!$N417)</f>
        <v>22</v>
      </c>
      <c r="P417" s="118">
        <f>MONTH('BD2'!$N417)</f>
        <v>10</v>
      </c>
      <c r="Q417" s="118">
        <f>YEAR('BD2'!$N417)</f>
        <v>2025</v>
      </c>
      <c r="R417" s="118">
        <v>2</v>
      </c>
      <c r="S417" s="118" t="s">
        <v>138</v>
      </c>
      <c r="T417" s="118" t="s">
        <v>138</v>
      </c>
      <c r="U417" s="118" t="s">
        <v>138</v>
      </c>
      <c r="V417" s="118" t="s">
        <v>138</v>
      </c>
      <c r="W417" s="118" t="s">
        <v>138</v>
      </c>
      <c r="X417" s="118" t="s">
        <v>138</v>
      </c>
      <c r="Y417" s="118" t="s">
        <v>934</v>
      </c>
      <c r="Z417" s="118" t="str">
        <f>IF('BD2'!$AA417 &lt; 14, "no", "si")</f>
        <v>no</v>
      </c>
      <c r="AA417" s="118">
        <v>0</v>
      </c>
      <c r="AB417" s="118">
        <v>0</v>
      </c>
      <c r="AC417" s="119" t="s">
        <v>3078</v>
      </c>
      <c r="AD417" s="119" t="s">
        <v>957</v>
      </c>
      <c r="AE417" s="118">
        <f t="shared" si="20"/>
        <v>6</v>
      </c>
      <c r="AF417" s="120" t="str">
        <f t="shared" si="21"/>
        <v>Funcional con observaciones</v>
      </c>
    </row>
    <row r="418" spans="1:32" x14ac:dyDescent="0.2">
      <c r="A418" s="121">
        <v>1067</v>
      </c>
      <c r="B418" s="122" t="s">
        <v>956</v>
      </c>
      <c r="C418" s="123" t="s">
        <v>429</v>
      </c>
      <c r="D418" s="123" t="s">
        <v>132</v>
      </c>
      <c r="E418" s="124" t="s">
        <v>387</v>
      </c>
      <c r="F418" s="124" t="s">
        <v>903</v>
      </c>
      <c r="G418" s="124" t="s">
        <v>1104</v>
      </c>
      <c r="H418" s="122" t="s">
        <v>8</v>
      </c>
      <c r="I418" s="123">
        <v>21.081510000000002</v>
      </c>
      <c r="J418" s="123">
        <v>-101.62083</v>
      </c>
      <c r="K418" s="122"/>
      <c r="L418" s="125" t="str">
        <f t="shared" si="19"/>
        <v>Ver en Google Maps</v>
      </c>
      <c r="M418" s="122">
        <v>2</v>
      </c>
      <c r="N418" s="130"/>
      <c r="O418" s="109"/>
      <c r="P418" s="109"/>
      <c r="Q418" s="109"/>
      <c r="R418" s="109"/>
      <c r="S418" s="109"/>
      <c r="T418" s="109"/>
      <c r="U418" s="109"/>
      <c r="V418" s="109"/>
      <c r="W418" s="109"/>
      <c r="X418" s="109"/>
      <c r="Y418" s="109"/>
      <c r="Z418" s="109"/>
      <c r="AA418" s="109"/>
      <c r="AB418" s="109"/>
      <c r="AC418" s="109"/>
      <c r="AD418" s="110"/>
      <c r="AE418" s="109"/>
      <c r="AF418" s="111"/>
    </row>
    <row r="419" spans="1:32" x14ac:dyDescent="0.2">
      <c r="A419" s="112">
        <v>1068</v>
      </c>
      <c r="B419" s="113" t="s">
        <v>956</v>
      </c>
      <c r="C419" s="114" t="s">
        <v>429</v>
      </c>
      <c r="D419" s="114" t="s">
        <v>132</v>
      </c>
      <c r="E419" s="115" t="s">
        <v>388</v>
      </c>
      <c r="F419" s="115" t="s">
        <v>904</v>
      </c>
      <c r="G419" s="115" t="s">
        <v>389</v>
      </c>
      <c r="H419" s="113" t="s">
        <v>8</v>
      </c>
      <c r="I419" s="114">
        <v>21.124140000000001</v>
      </c>
      <c r="J419" s="114">
        <v>-101.63737399999999</v>
      </c>
      <c r="K419" s="113" t="s">
        <v>139</v>
      </c>
      <c r="L419" s="116" t="str">
        <f t="shared" si="19"/>
        <v>Ver en Google Maps</v>
      </c>
      <c r="M419" s="113">
        <v>2</v>
      </c>
      <c r="N419" s="117">
        <v>45955</v>
      </c>
      <c r="O419" s="118">
        <f>DAY('BD2'!$N419)</f>
        <v>25</v>
      </c>
      <c r="P419" s="118">
        <f>MONTH('BD2'!$N419)</f>
        <v>10</v>
      </c>
      <c r="Q419" s="118">
        <f>YEAR('BD2'!$N419)</f>
        <v>2025</v>
      </c>
      <c r="R419" s="118">
        <v>2</v>
      </c>
      <c r="S419" s="118" t="s">
        <v>138</v>
      </c>
      <c r="T419" s="118" t="s">
        <v>138</v>
      </c>
      <c r="U419" s="118" t="s">
        <v>138</v>
      </c>
      <c r="V419" s="118" t="s">
        <v>138</v>
      </c>
      <c r="W419" s="118" t="s">
        <v>138</v>
      </c>
      <c r="X419" s="118" t="s">
        <v>138</v>
      </c>
      <c r="Y419" s="118" t="s">
        <v>138</v>
      </c>
      <c r="Z419" s="118" t="str">
        <f>IF('BD2'!$AA419 &lt; 14, "no", "si")</f>
        <v>no</v>
      </c>
      <c r="AA419" s="118">
        <v>5.35</v>
      </c>
      <c r="AB419" s="118">
        <v>9.08</v>
      </c>
      <c r="AC419" s="119" t="s">
        <v>967</v>
      </c>
      <c r="AD419" s="119" t="s">
        <v>957</v>
      </c>
      <c r="AE419" s="118">
        <f t="shared" si="20"/>
        <v>7</v>
      </c>
      <c r="AF419" s="120" t="str">
        <f t="shared" si="21"/>
        <v>Funcional con observaciones</v>
      </c>
    </row>
    <row r="420" spans="1:32" x14ac:dyDescent="0.2">
      <c r="A420" s="121">
        <v>1071</v>
      </c>
      <c r="B420" s="122" t="s">
        <v>956</v>
      </c>
      <c r="C420" s="123" t="s">
        <v>429</v>
      </c>
      <c r="D420" s="123" t="s">
        <v>132</v>
      </c>
      <c r="E420" s="124" t="s">
        <v>390</v>
      </c>
      <c r="F420" s="124" t="s">
        <v>905</v>
      </c>
      <c r="G420" s="124" t="s">
        <v>1195</v>
      </c>
      <c r="H420" s="122" t="s">
        <v>8</v>
      </c>
      <c r="I420" s="123">
        <v>21.12189</v>
      </c>
      <c r="J420" s="123">
        <v>-101.65131</v>
      </c>
      <c r="K420" s="122" t="s">
        <v>139</v>
      </c>
      <c r="L420" s="125" t="str">
        <f t="shared" si="19"/>
        <v>Ver en Google Maps</v>
      </c>
      <c r="M420" s="122">
        <v>2</v>
      </c>
      <c r="N420" s="108">
        <v>45955</v>
      </c>
      <c r="O420" s="109">
        <f>DAY('BD2'!$N420)</f>
        <v>25</v>
      </c>
      <c r="P420" s="109">
        <f>MONTH('BD2'!$N420)</f>
        <v>10</v>
      </c>
      <c r="Q420" s="109">
        <f>YEAR('BD2'!$N420)</f>
        <v>2025</v>
      </c>
      <c r="R420" s="109">
        <v>2</v>
      </c>
      <c r="S420" s="109" t="s">
        <v>138</v>
      </c>
      <c r="T420" s="109" t="s">
        <v>138</v>
      </c>
      <c r="U420" s="109" t="s">
        <v>138</v>
      </c>
      <c r="V420" s="109" t="s">
        <v>138</v>
      </c>
      <c r="W420" s="109" t="s">
        <v>138</v>
      </c>
      <c r="X420" s="109" t="s">
        <v>138</v>
      </c>
      <c r="Y420" s="109" t="s">
        <v>138</v>
      </c>
      <c r="Z420" s="109" t="str">
        <f>IF('BD2'!$AA420 &lt; 14, "no", "si")</f>
        <v>si</v>
      </c>
      <c r="AA420" s="109">
        <v>27.2</v>
      </c>
      <c r="AB420" s="109">
        <v>8.81</v>
      </c>
      <c r="AC420" s="110" t="s">
        <v>967</v>
      </c>
      <c r="AD420" s="110" t="s">
        <v>957</v>
      </c>
      <c r="AE420" s="109">
        <f t="shared" si="20"/>
        <v>8</v>
      </c>
      <c r="AF420" s="111" t="str">
        <f t="shared" si="21"/>
        <v>Estable</v>
      </c>
    </row>
    <row r="421" spans="1:32" x14ac:dyDescent="0.2">
      <c r="A421" s="112">
        <v>1076</v>
      </c>
      <c r="B421" s="113" t="s">
        <v>956</v>
      </c>
      <c r="C421" s="114" t="s">
        <v>429</v>
      </c>
      <c r="D421" s="114" t="s">
        <v>132</v>
      </c>
      <c r="E421" s="115" t="s">
        <v>391</v>
      </c>
      <c r="F421" s="115" t="s">
        <v>906</v>
      </c>
      <c r="G421" s="115" t="s">
        <v>1196</v>
      </c>
      <c r="H421" s="113" t="s">
        <v>8</v>
      </c>
      <c r="I421" s="114">
        <v>21.140526999999999</v>
      </c>
      <c r="J421" s="114">
        <v>-101.717894</v>
      </c>
      <c r="K421" s="113"/>
      <c r="L421" s="116" t="str">
        <f t="shared" si="19"/>
        <v>Ver en Google Maps</v>
      </c>
      <c r="M421" s="113">
        <v>2</v>
      </c>
      <c r="N421" s="129"/>
      <c r="O421" s="118"/>
      <c r="P421" s="118"/>
      <c r="Q421" s="118"/>
      <c r="R421" s="118"/>
      <c r="S421" s="118"/>
      <c r="T421" s="118"/>
      <c r="U421" s="118"/>
      <c r="V421" s="118"/>
      <c r="W421" s="118"/>
      <c r="X421" s="118"/>
      <c r="Y421" s="118"/>
      <c r="Z421" s="118"/>
      <c r="AA421" s="118"/>
      <c r="AB421" s="118"/>
      <c r="AC421" s="118"/>
      <c r="AD421" s="119"/>
      <c r="AE421" s="118"/>
      <c r="AF421" s="120"/>
    </row>
    <row r="422" spans="1:32" x14ac:dyDescent="0.2">
      <c r="A422" s="121">
        <v>1077</v>
      </c>
      <c r="B422" s="122" t="s">
        <v>956</v>
      </c>
      <c r="C422" s="123" t="s">
        <v>429</v>
      </c>
      <c r="D422" s="123" t="s">
        <v>132</v>
      </c>
      <c r="E422" s="124" t="s">
        <v>392</v>
      </c>
      <c r="F422" s="124" t="s">
        <v>907</v>
      </c>
      <c r="G422" s="124" t="s">
        <v>1032</v>
      </c>
      <c r="H422" s="122" t="s">
        <v>8</v>
      </c>
      <c r="I422" s="123">
        <v>21.139303999999999</v>
      </c>
      <c r="J422" s="123">
        <v>-101.755343</v>
      </c>
      <c r="K422" s="122" t="s">
        <v>139</v>
      </c>
      <c r="L422" s="125" t="str">
        <f t="shared" si="19"/>
        <v>Ver en Google Maps</v>
      </c>
      <c r="M422" s="122">
        <v>2</v>
      </c>
      <c r="N422" s="108">
        <v>45960</v>
      </c>
      <c r="O422" s="109">
        <f>DAY('BD2'!$N422)</f>
        <v>30</v>
      </c>
      <c r="P422" s="109">
        <f>MONTH('BD2'!$N422)</f>
        <v>10</v>
      </c>
      <c r="Q422" s="109">
        <f>YEAR('BD2'!$N422)</f>
        <v>2025</v>
      </c>
      <c r="R422" s="109">
        <v>2</v>
      </c>
      <c r="S422" s="109" t="s">
        <v>138</v>
      </c>
      <c r="T422" s="109" t="s">
        <v>138</v>
      </c>
      <c r="U422" s="109" t="s">
        <v>138</v>
      </c>
      <c r="V422" s="109" t="s">
        <v>138</v>
      </c>
      <c r="W422" s="109" t="s">
        <v>138</v>
      </c>
      <c r="X422" s="109" t="s">
        <v>138</v>
      </c>
      <c r="Y422" s="109" t="s">
        <v>138</v>
      </c>
      <c r="Z422" s="109" t="str">
        <f>IF('BD2'!$AA422 &lt; 14, "no", "si")</f>
        <v>si</v>
      </c>
      <c r="AA422" s="109">
        <v>49.6</v>
      </c>
      <c r="AB422" s="109">
        <v>27.6</v>
      </c>
      <c r="AC422" s="110" t="s">
        <v>960</v>
      </c>
      <c r="AD422" s="110" t="s">
        <v>957</v>
      </c>
      <c r="AE422" s="109">
        <f t="shared" si="20"/>
        <v>8</v>
      </c>
      <c r="AF422" s="111" t="str">
        <f t="shared" si="21"/>
        <v>Estable</v>
      </c>
    </row>
    <row r="423" spans="1:32" x14ac:dyDescent="0.2">
      <c r="A423" s="112">
        <v>1078</v>
      </c>
      <c r="B423" s="113" t="s">
        <v>956</v>
      </c>
      <c r="C423" s="114" t="s">
        <v>429</v>
      </c>
      <c r="D423" s="114" t="s">
        <v>132</v>
      </c>
      <c r="E423" s="115" t="s">
        <v>393</v>
      </c>
      <c r="F423" s="115" t="s">
        <v>908</v>
      </c>
      <c r="G423" s="115" t="s">
        <v>1036</v>
      </c>
      <c r="H423" s="113" t="s">
        <v>8</v>
      </c>
      <c r="I423" s="114">
        <v>21.129061</v>
      </c>
      <c r="J423" s="114">
        <v>-101.714563</v>
      </c>
      <c r="K423" s="113"/>
      <c r="L423" s="116" t="str">
        <f t="shared" si="19"/>
        <v>Ver en Google Maps</v>
      </c>
      <c r="M423" s="113">
        <v>2</v>
      </c>
      <c r="N423" s="129"/>
      <c r="O423" s="118"/>
      <c r="P423" s="118"/>
      <c r="Q423" s="118"/>
      <c r="R423" s="118"/>
      <c r="S423" s="118"/>
      <c r="T423" s="118"/>
      <c r="U423" s="118"/>
      <c r="V423" s="118"/>
      <c r="W423" s="118"/>
      <c r="X423" s="118"/>
      <c r="Y423" s="118"/>
      <c r="Z423" s="118"/>
      <c r="AA423" s="118"/>
      <c r="AB423" s="118"/>
      <c r="AC423" s="118"/>
      <c r="AD423" s="119"/>
      <c r="AE423" s="118"/>
      <c r="AF423" s="120"/>
    </row>
    <row r="424" spans="1:32" x14ac:dyDescent="0.2">
      <c r="A424" s="121">
        <v>1079</v>
      </c>
      <c r="B424" s="122" t="s">
        <v>956</v>
      </c>
      <c r="C424" s="123" t="s">
        <v>429</v>
      </c>
      <c r="D424" s="123" t="s">
        <v>132</v>
      </c>
      <c r="E424" s="124" t="s">
        <v>394</v>
      </c>
      <c r="F424" s="124" t="s">
        <v>909</v>
      </c>
      <c r="G424" s="124" t="s">
        <v>997</v>
      </c>
      <c r="H424" s="122" t="s">
        <v>8</v>
      </c>
      <c r="I424" s="123">
        <v>21.122029999999999</v>
      </c>
      <c r="J424" s="123">
        <v>-101.73099000000001</v>
      </c>
      <c r="K424" s="122"/>
      <c r="L424" s="125" t="str">
        <f t="shared" si="19"/>
        <v>Ver en Google Maps</v>
      </c>
      <c r="M424" s="122">
        <v>2</v>
      </c>
      <c r="N424" s="130"/>
      <c r="O424" s="109"/>
      <c r="P424" s="109"/>
      <c r="Q424" s="109"/>
      <c r="R424" s="109"/>
      <c r="S424" s="109"/>
      <c r="T424" s="109"/>
      <c r="U424" s="109"/>
      <c r="V424" s="109"/>
      <c r="W424" s="109"/>
      <c r="X424" s="109"/>
      <c r="Y424" s="109"/>
      <c r="Z424" s="109"/>
      <c r="AA424" s="109"/>
      <c r="AB424" s="109"/>
      <c r="AC424" s="109"/>
      <c r="AD424" s="110"/>
      <c r="AE424" s="109"/>
      <c r="AF424" s="111"/>
    </row>
    <row r="425" spans="1:32" x14ac:dyDescent="0.2">
      <c r="A425" s="112">
        <v>1082</v>
      </c>
      <c r="B425" s="113" t="s">
        <v>956</v>
      </c>
      <c r="C425" s="114" t="s">
        <v>18</v>
      </c>
      <c r="D425" s="114" t="s">
        <v>404</v>
      </c>
      <c r="E425" s="115" t="s">
        <v>134</v>
      </c>
      <c r="F425" s="115" t="s">
        <v>910</v>
      </c>
      <c r="G425" s="115" t="s">
        <v>1197</v>
      </c>
      <c r="H425" s="113" t="s">
        <v>8</v>
      </c>
      <c r="I425" s="114">
        <v>21.087554000000001</v>
      </c>
      <c r="J425" s="114">
        <v>-101.62041600000001</v>
      </c>
      <c r="K425" s="113"/>
      <c r="L425" s="116" t="str">
        <f t="shared" si="19"/>
        <v>Ver en Google Maps</v>
      </c>
      <c r="M425" s="113">
        <v>1</v>
      </c>
      <c r="N425" s="129"/>
      <c r="O425" s="118"/>
      <c r="P425" s="118"/>
      <c r="Q425" s="118"/>
      <c r="R425" s="118"/>
      <c r="S425" s="118"/>
      <c r="T425" s="118"/>
      <c r="U425" s="118"/>
      <c r="V425" s="118"/>
      <c r="W425" s="118"/>
      <c r="X425" s="118"/>
      <c r="Y425" s="118"/>
      <c r="Z425" s="118"/>
      <c r="AA425" s="118"/>
      <c r="AB425" s="118"/>
      <c r="AC425" s="118"/>
      <c r="AD425" s="119"/>
      <c r="AE425" s="118"/>
      <c r="AF425" s="120"/>
    </row>
    <row r="426" spans="1:32" x14ac:dyDescent="0.2">
      <c r="A426" s="121">
        <v>1083</v>
      </c>
      <c r="B426" s="122" t="s">
        <v>956</v>
      </c>
      <c r="C426" s="123" t="s">
        <v>18</v>
      </c>
      <c r="D426" s="123" t="s">
        <v>404</v>
      </c>
      <c r="E426" s="124" t="s">
        <v>395</v>
      </c>
      <c r="F426" s="124" t="s">
        <v>911</v>
      </c>
      <c r="G426" s="124" t="s">
        <v>1197</v>
      </c>
      <c r="H426" s="122" t="s">
        <v>8</v>
      </c>
      <c r="I426" s="123">
        <v>21.087440000000001</v>
      </c>
      <c r="J426" s="123">
        <v>-101.6203</v>
      </c>
      <c r="K426" s="122"/>
      <c r="L426" s="125" t="str">
        <f t="shared" si="19"/>
        <v>Ver en Google Maps</v>
      </c>
      <c r="M426" s="122">
        <v>1</v>
      </c>
      <c r="N426" s="130"/>
      <c r="O426" s="109"/>
      <c r="P426" s="109"/>
      <c r="Q426" s="109"/>
      <c r="R426" s="109"/>
      <c r="S426" s="109"/>
      <c r="T426" s="109"/>
      <c r="U426" s="109"/>
      <c r="V426" s="109"/>
      <c r="W426" s="109"/>
      <c r="X426" s="109"/>
      <c r="Y426" s="109"/>
      <c r="Z426" s="109"/>
      <c r="AA426" s="109"/>
      <c r="AB426" s="109"/>
      <c r="AC426" s="109"/>
      <c r="AD426" s="110"/>
      <c r="AE426" s="109"/>
      <c r="AF426" s="111"/>
    </row>
    <row r="427" spans="1:32" x14ac:dyDescent="0.2">
      <c r="A427" s="112">
        <v>1084</v>
      </c>
      <c r="B427" s="113" t="s">
        <v>956</v>
      </c>
      <c r="C427" s="114" t="s">
        <v>18</v>
      </c>
      <c r="D427" s="114" t="s">
        <v>404</v>
      </c>
      <c r="E427" s="115" t="s">
        <v>396</v>
      </c>
      <c r="F427" s="115" t="s">
        <v>912</v>
      </c>
      <c r="G427" s="115" t="s">
        <v>1197</v>
      </c>
      <c r="H427" s="113" t="s">
        <v>8</v>
      </c>
      <c r="I427" s="114">
        <v>21.087302000000001</v>
      </c>
      <c r="J427" s="114">
        <v>-101.620121</v>
      </c>
      <c r="K427" s="113"/>
      <c r="L427" s="116" t="str">
        <f t="shared" si="19"/>
        <v>Ver en Google Maps</v>
      </c>
      <c r="M427" s="113">
        <v>1</v>
      </c>
      <c r="N427" s="129"/>
      <c r="O427" s="118"/>
      <c r="P427" s="118"/>
      <c r="Q427" s="118"/>
      <c r="R427" s="118"/>
      <c r="S427" s="118"/>
      <c r="T427" s="118"/>
      <c r="U427" s="118"/>
      <c r="V427" s="118"/>
      <c r="W427" s="118"/>
      <c r="X427" s="118"/>
      <c r="Y427" s="118"/>
      <c r="Z427" s="118"/>
      <c r="AA427" s="118"/>
      <c r="AB427" s="118"/>
      <c r="AC427" s="118"/>
      <c r="AD427" s="119"/>
      <c r="AE427" s="118"/>
      <c r="AF427" s="120"/>
    </row>
    <row r="428" spans="1:32" x14ac:dyDescent="0.2">
      <c r="A428" s="121">
        <v>1086</v>
      </c>
      <c r="B428" s="122" t="s">
        <v>956</v>
      </c>
      <c r="C428" s="123" t="s">
        <v>18</v>
      </c>
      <c r="D428" s="123" t="s">
        <v>404</v>
      </c>
      <c r="E428" s="124" t="s">
        <v>397</v>
      </c>
      <c r="F428" s="124" t="s">
        <v>913</v>
      </c>
      <c r="G428" s="124" t="s">
        <v>1198</v>
      </c>
      <c r="H428" s="122" t="s">
        <v>8</v>
      </c>
      <c r="I428" s="123">
        <v>21.153790000000001</v>
      </c>
      <c r="J428" s="123">
        <v>-101.70484999999999</v>
      </c>
      <c r="K428" s="122" t="s">
        <v>139</v>
      </c>
      <c r="L428" s="125" t="str">
        <f t="shared" si="19"/>
        <v>Ver en Google Maps</v>
      </c>
      <c r="M428" s="122">
        <v>2</v>
      </c>
      <c r="N428" s="108">
        <v>45958</v>
      </c>
      <c r="O428" s="109">
        <f>DAY('BD2'!$N428)</f>
        <v>28</v>
      </c>
      <c r="P428" s="109">
        <f>MONTH('BD2'!$N428)</f>
        <v>10</v>
      </c>
      <c r="Q428" s="109">
        <f>YEAR('BD2'!$N428)</f>
        <v>2025</v>
      </c>
      <c r="R428" s="109">
        <v>2</v>
      </c>
      <c r="S428" s="109" t="s">
        <v>138</v>
      </c>
      <c r="T428" s="109" t="s">
        <v>138</v>
      </c>
      <c r="U428" s="109" t="s">
        <v>138</v>
      </c>
      <c r="V428" s="109" t="s">
        <v>138</v>
      </c>
      <c r="W428" s="109" t="s">
        <v>138</v>
      </c>
      <c r="X428" s="109" t="s">
        <v>138</v>
      </c>
      <c r="Y428" s="109" t="s">
        <v>138</v>
      </c>
      <c r="Z428" s="109" t="str">
        <f>IF('BD2'!$AA428 &lt; 14, "no", "si")</f>
        <v>si</v>
      </c>
      <c r="AA428" s="109">
        <v>45.8</v>
      </c>
      <c r="AB428" s="109">
        <v>24.9</v>
      </c>
      <c r="AC428" s="110" t="s">
        <v>960</v>
      </c>
      <c r="AD428" s="110" t="s">
        <v>957</v>
      </c>
      <c r="AE428" s="109">
        <f t="shared" si="20"/>
        <v>8</v>
      </c>
      <c r="AF428" s="111" t="str">
        <f t="shared" si="21"/>
        <v>Estable</v>
      </c>
    </row>
    <row r="429" spans="1:32" x14ac:dyDescent="0.2">
      <c r="A429" s="112">
        <v>1094</v>
      </c>
      <c r="B429" s="113" t="s">
        <v>956</v>
      </c>
      <c r="C429" s="114" t="s">
        <v>14</v>
      </c>
      <c r="D429" s="114" t="s">
        <v>404</v>
      </c>
      <c r="E429" s="115" t="s">
        <v>135</v>
      </c>
      <c r="F429" s="115" t="s">
        <v>914</v>
      </c>
      <c r="G429" s="115" t="s">
        <v>1199</v>
      </c>
      <c r="H429" s="113" t="s">
        <v>8</v>
      </c>
      <c r="I429" s="114">
        <v>21.098209000000001</v>
      </c>
      <c r="J429" s="114">
        <v>-101.64255</v>
      </c>
      <c r="K429" s="113"/>
      <c r="L429" s="116" t="str">
        <f t="shared" si="19"/>
        <v>Ver en Google Maps</v>
      </c>
      <c r="M429" s="113">
        <v>1</v>
      </c>
      <c r="N429" s="129"/>
      <c r="O429" s="118"/>
      <c r="P429" s="118"/>
      <c r="Q429" s="118"/>
      <c r="R429" s="118"/>
      <c r="S429" s="118"/>
      <c r="T429" s="118"/>
      <c r="U429" s="118"/>
      <c r="V429" s="118"/>
      <c r="W429" s="118"/>
      <c r="X429" s="118"/>
      <c r="Y429" s="118"/>
      <c r="Z429" s="118"/>
      <c r="AA429" s="118"/>
      <c r="AB429" s="118"/>
      <c r="AC429" s="118"/>
      <c r="AD429" s="119"/>
      <c r="AE429" s="118"/>
      <c r="AF429" s="120"/>
    </row>
    <row r="430" spans="1:32" x14ac:dyDescent="0.2">
      <c r="A430" s="121">
        <v>1095</v>
      </c>
      <c r="B430" s="122" t="s">
        <v>956</v>
      </c>
      <c r="C430" s="123" t="s">
        <v>14</v>
      </c>
      <c r="D430" s="123" t="s">
        <v>404</v>
      </c>
      <c r="E430" s="124" t="s">
        <v>398</v>
      </c>
      <c r="F430" s="124" t="s">
        <v>915</v>
      </c>
      <c r="G430" s="124" t="s">
        <v>360</v>
      </c>
      <c r="H430" s="122" t="s">
        <v>8</v>
      </c>
      <c r="I430" s="123">
        <v>21.12623</v>
      </c>
      <c r="J430" s="123">
        <v>-101.68548</v>
      </c>
      <c r="K430" s="122" t="s">
        <v>139</v>
      </c>
      <c r="L430" s="125" t="str">
        <f t="shared" si="19"/>
        <v>Ver en Google Maps</v>
      </c>
      <c r="M430" s="122">
        <v>2</v>
      </c>
      <c r="N430" s="108">
        <v>45954</v>
      </c>
      <c r="O430" s="109">
        <f>DAY('BD2'!$N430)</f>
        <v>24</v>
      </c>
      <c r="P430" s="109">
        <f>MONTH('BD2'!$N430)</f>
        <v>10</v>
      </c>
      <c r="Q430" s="109">
        <f>YEAR('BD2'!$N430)</f>
        <v>2025</v>
      </c>
      <c r="R430" s="109">
        <v>2</v>
      </c>
      <c r="S430" s="109" t="s">
        <v>138</v>
      </c>
      <c r="T430" s="109" t="s">
        <v>138</v>
      </c>
      <c r="U430" s="109" t="s">
        <v>138</v>
      </c>
      <c r="V430" s="109" t="s">
        <v>934</v>
      </c>
      <c r="W430" s="109" t="s">
        <v>138</v>
      </c>
      <c r="X430" s="109" t="s">
        <v>138</v>
      </c>
      <c r="Y430" s="109" t="s">
        <v>138</v>
      </c>
      <c r="Z430" s="109" t="str">
        <f>IF('BD2'!$AA430 &lt; 14, "no", "si")</f>
        <v>no</v>
      </c>
      <c r="AA430" s="109">
        <v>0</v>
      </c>
      <c r="AB430" s="109">
        <v>0</v>
      </c>
      <c r="AC430" s="110" t="s">
        <v>3080</v>
      </c>
      <c r="AD430" s="110" t="s">
        <v>957</v>
      </c>
      <c r="AE430" s="109">
        <f t="shared" si="20"/>
        <v>6</v>
      </c>
      <c r="AF430" s="111" t="str">
        <f t="shared" si="21"/>
        <v>Funcional con observaciones</v>
      </c>
    </row>
    <row r="431" spans="1:32" x14ac:dyDescent="0.2">
      <c r="A431" s="112">
        <v>1103</v>
      </c>
      <c r="B431" s="113" t="s">
        <v>956</v>
      </c>
      <c r="C431" s="114" t="s">
        <v>429</v>
      </c>
      <c r="D431" s="114" t="s">
        <v>132</v>
      </c>
      <c r="E431" s="115" t="s">
        <v>136</v>
      </c>
      <c r="F431" s="115" t="s">
        <v>916</v>
      </c>
      <c r="G431" s="115" t="s">
        <v>1199</v>
      </c>
      <c r="H431" s="113" t="s">
        <v>8</v>
      </c>
      <c r="I431" s="114">
        <v>21.09422</v>
      </c>
      <c r="J431" s="114">
        <v>-101.64615999999999</v>
      </c>
      <c r="K431" s="113"/>
      <c r="L431" s="116" t="str">
        <f t="shared" si="19"/>
        <v>Ver en Google Maps</v>
      </c>
      <c r="M431" s="113">
        <v>2</v>
      </c>
      <c r="N431" s="129"/>
      <c r="O431" s="118"/>
      <c r="P431" s="118"/>
      <c r="Q431" s="118"/>
      <c r="R431" s="118"/>
      <c r="S431" s="118"/>
      <c r="T431" s="118"/>
      <c r="U431" s="118"/>
      <c r="V431" s="118"/>
      <c r="W431" s="118"/>
      <c r="X431" s="118"/>
      <c r="Y431" s="118"/>
      <c r="Z431" s="118"/>
      <c r="AA431" s="118"/>
      <c r="AB431" s="118"/>
      <c r="AC431" s="118"/>
      <c r="AD431" s="119"/>
      <c r="AE431" s="118"/>
      <c r="AF431" s="120"/>
    </row>
    <row r="432" spans="1:32" x14ac:dyDescent="0.2">
      <c r="A432" s="121">
        <v>1104</v>
      </c>
      <c r="B432" s="122" t="s">
        <v>956</v>
      </c>
      <c r="C432" s="123" t="s">
        <v>429</v>
      </c>
      <c r="D432" s="123" t="s">
        <v>132</v>
      </c>
      <c r="E432" s="124" t="s">
        <v>137</v>
      </c>
      <c r="F432" s="124" t="s">
        <v>917</v>
      </c>
      <c r="G432" s="124" t="s">
        <v>1200</v>
      </c>
      <c r="H432" s="122" t="s">
        <v>8</v>
      </c>
      <c r="I432" s="123">
        <v>21.080500000000001</v>
      </c>
      <c r="J432" s="123">
        <v>-101.6343</v>
      </c>
      <c r="K432" s="122"/>
      <c r="L432" s="125" t="str">
        <f t="shared" si="19"/>
        <v>Ver en Google Maps</v>
      </c>
      <c r="M432" s="122">
        <v>2</v>
      </c>
      <c r="N432" s="130"/>
      <c r="O432" s="109"/>
      <c r="P432" s="109"/>
      <c r="Q432" s="109"/>
      <c r="R432" s="109"/>
      <c r="S432" s="109"/>
      <c r="T432" s="109"/>
      <c r="U432" s="109"/>
      <c r="V432" s="109"/>
      <c r="W432" s="109"/>
      <c r="X432" s="109"/>
      <c r="Y432" s="109"/>
      <c r="Z432" s="109"/>
      <c r="AA432" s="109"/>
      <c r="AB432" s="109"/>
      <c r="AC432" s="109"/>
      <c r="AD432" s="110"/>
      <c r="AE432" s="109"/>
      <c r="AF432" s="111"/>
    </row>
    <row r="433" spans="1:32" x14ac:dyDescent="0.2">
      <c r="A433" s="112">
        <v>1105</v>
      </c>
      <c r="B433" s="113" t="s">
        <v>956</v>
      </c>
      <c r="C433" s="114" t="s">
        <v>429</v>
      </c>
      <c r="D433" s="114" t="s">
        <v>132</v>
      </c>
      <c r="E433" s="115" t="s">
        <v>399</v>
      </c>
      <c r="F433" s="115" t="s">
        <v>918</v>
      </c>
      <c r="G433" s="115" t="s">
        <v>1008</v>
      </c>
      <c r="H433" s="113" t="s">
        <v>8</v>
      </c>
      <c r="I433" s="114">
        <v>21.108550000000001</v>
      </c>
      <c r="J433" s="114">
        <v>-101.69425</v>
      </c>
      <c r="K433" s="113" t="s">
        <v>139</v>
      </c>
      <c r="L433" s="116" t="str">
        <f t="shared" si="19"/>
        <v>Ver en Google Maps</v>
      </c>
      <c r="M433" s="113">
        <v>2</v>
      </c>
      <c r="N433" s="117">
        <v>45965</v>
      </c>
      <c r="O433" s="118">
        <f>DAY('BD2'!$N433)</f>
        <v>4</v>
      </c>
      <c r="P433" s="118">
        <f>MONTH('BD2'!$N433)</f>
        <v>11</v>
      </c>
      <c r="Q433" s="118">
        <f>YEAR('BD2'!$N433)</f>
        <v>2025</v>
      </c>
      <c r="R433" s="118">
        <v>2</v>
      </c>
      <c r="S433" s="118" t="s">
        <v>138</v>
      </c>
      <c r="T433" s="118" t="s">
        <v>138</v>
      </c>
      <c r="U433" s="118" t="s">
        <v>138</v>
      </c>
      <c r="V433" s="118" t="s">
        <v>138</v>
      </c>
      <c r="W433" s="118" t="s">
        <v>138</v>
      </c>
      <c r="X433" s="118" t="s">
        <v>138</v>
      </c>
      <c r="Y433" s="118" t="s">
        <v>138</v>
      </c>
      <c r="Z433" s="118" t="str">
        <f>IF('BD2'!$AA433 &lt; 14, "no", "si")</f>
        <v>si</v>
      </c>
      <c r="AA433" s="118">
        <v>64.5</v>
      </c>
      <c r="AB433" s="118">
        <v>35.4</v>
      </c>
      <c r="AC433" s="119" t="s">
        <v>967</v>
      </c>
      <c r="AD433" s="119" t="s">
        <v>957</v>
      </c>
      <c r="AE433" s="118">
        <f t="shared" si="20"/>
        <v>8</v>
      </c>
      <c r="AF433" s="120" t="str">
        <f t="shared" si="21"/>
        <v>Estable</v>
      </c>
    </row>
    <row r="434" spans="1:32" x14ac:dyDescent="0.2">
      <c r="A434" s="121">
        <v>1106</v>
      </c>
      <c r="B434" s="122" t="s">
        <v>956</v>
      </c>
      <c r="C434" s="123" t="s">
        <v>429</v>
      </c>
      <c r="D434" s="123" t="s">
        <v>132</v>
      </c>
      <c r="E434" s="124" t="s">
        <v>400</v>
      </c>
      <c r="F434" s="124" t="s">
        <v>919</v>
      </c>
      <c r="G434" s="124" t="s">
        <v>23</v>
      </c>
      <c r="H434" s="122" t="s">
        <v>8</v>
      </c>
      <c r="I434" s="123">
        <v>21.10596</v>
      </c>
      <c r="J434" s="123">
        <v>-101.70863</v>
      </c>
      <c r="K434" s="122"/>
      <c r="L434" s="125" t="str">
        <f t="shared" si="19"/>
        <v>Ver en Google Maps</v>
      </c>
      <c r="M434" s="122">
        <v>2</v>
      </c>
      <c r="N434" s="130"/>
      <c r="O434" s="109"/>
      <c r="P434" s="109"/>
      <c r="Q434" s="109"/>
      <c r="R434" s="109"/>
      <c r="S434" s="109"/>
      <c r="T434" s="109"/>
      <c r="U434" s="109"/>
      <c r="V434" s="109"/>
      <c r="W434" s="109"/>
      <c r="X434" s="109"/>
      <c r="Y434" s="109"/>
      <c r="Z434" s="109"/>
      <c r="AA434" s="109"/>
      <c r="AB434" s="109"/>
      <c r="AC434" s="109"/>
      <c r="AD434" s="110"/>
      <c r="AE434" s="109"/>
      <c r="AF434" s="111"/>
    </row>
    <row r="435" spans="1:32" x14ac:dyDescent="0.2">
      <c r="A435" s="112">
        <v>1110</v>
      </c>
      <c r="B435" s="113" t="s">
        <v>956</v>
      </c>
      <c r="C435" s="114" t="s">
        <v>429</v>
      </c>
      <c r="D435" s="114" t="s">
        <v>132</v>
      </c>
      <c r="E435" s="115" t="s">
        <v>401</v>
      </c>
      <c r="F435" s="115" t="s">
        <v>920</v>
      </c>
      <c r="G435" s="115" t="s">
        <v>1043</v>
      </c>
      <c r="H435" s="113" t="s">
        <v>8</v>
      </c>
      <c r="I435" s="114">
        <v>21.096309999999999</v>
      </c>
      <c r="J435" s="114">
        <v>-101.59954999999999</v>
      </c>
      <c r="K435" s="113" t="s">
        <v>139</v>
      </c>
      <c r="L435" s="116" t="str">
        <f t="shared" si="19"/>
        <v>Ver en Google Maps</v>
      </c>
      <c r="M435" s="113">
        <v>2</v>
      </c>
      <c r="N435" s="117">
        <v>45957</v>
      </c>
      <c r="O435" s="118">
        <f>DAY('BD2'!$N435)</f>
        <v>27</v>
      </c>
      <c r="P435" s="118">
        <f>MONTH('BD2'!$N435)</f>
        <v>10</v>
      </c>
      <c r="Q435" s="118">
        <f>YEAR('BD2'!$N435)</f>
        <v>2025</v>
      </c>
      <c r="R435" s="118">
        <v>2</v>
      </c>
      <c r="S435" s="118" t="s">
        <v>138</v>
      </c>
      <c r="T435" s="118" t="s">
        <v>138</v>
      </c>
      <c r="U435" s="118" t="s">
        <v>138</v>
      </c>
      <c r="V435" s="118" t="s">
        <v>138</v>
      </c>
      <c r="W435" s="118" t="s">
        <v>138</v>
      </c>
      <c r="X435" s="118" t="s">
        <v>138</v>
      </c>
      <c r="Y435" s="118" t="s">
        <v>138</v>
      </c>
      <c r="Z435" s="118" t="str">
        <f>IF('BD2'!$AA435 &lt; 14, "no", "si")</f>
        <v>si</v>
      </c>
      <c r="AA435" s="118">
        <v>22.2</v>
      </c>
      <c r="AB435" s="118">
        <v>3.27</v>
      </c>
      <c r="AC435" s="119" t="s">
        <v>967</v>
      </c>
      <c r="AD435" s="119" t="s">
        <v>957</v>
      </c>
      <c r="AE435" s="118">
        <f t="shared" si="20"/>
        <v>8</v>
      </c>
      <c r="AF435" s="120" t="str">
        <f t="shared" si="21"/>
        <v>Estable</v>
      </c>
    </row>
    <row r="436" spans="1:32" ht="12.75" thickBot="1" x14ac:dyDescent="0.25">
      <c r="A436" s="121">
        <v>1121</v>
      </c>
      <c r="B436" s="122" t="s">
        <v>956</v>
      </c>
      <c r="C436" s="123" t="s">
        <v>429</v>
      </c>
      <c r="D436" s="123" t="s">
        <v>15</v>
      </c>
      <c r="E436" s="124" t="s">
        <v>921</v>
      </c>
      <c r="F436" s="124" t="s">
        <v>922</v>
      </c>
      <c r="G436" s="124" t="s">
        <v>1158</v>
      </c>
      <c r="H436" s="122" t="s">
        <v>8</v>
      </c>
      <c r="I436" s="123">
        <v>21.139892</v>
      </c>
      <c r="J436" s="123">
        <v>-101.64966699999999</v>
      </c>
      <c r="K436" s="122" t="s">
        <v>139</v>
      </c>
      <c r="L436" s="125" t="str">
        <f t="shared" si="19"/>
        <v>Ver en Google Maps</v>
      </c>
      <c r="M436" s="122">
        <v>2</v>
      </c>
      <c r="N436" s="108">
        <v>45955</v>
      </c>
      <c r="O436" s="109">
        <f>DAY('BD2'!$N436)</f>
        <v>25</v>
      </c>
      <c r="P436" s="109">
        <f>MONTH('BD2'!$N436)</f>
        <v>10</v>
      </c>
      <c r="Q436" s="109">
        <f>YEAR('BD2'!$N436)</f>
        <v>2025</v>
      </c>
      <c r="R436" s="109">
        <v>2</v>
      </c>
      <c r="S436" s="109" t="s">
        <v>138</v>
      </c>
      <c r="T436" s="109" t="s">
        <v>138</v>
      </c>
      <c r="U436" s="109" t="s">
        <v>138</v>
      </c>
      <c r="V436" s="109" t="s">
        <v>138</v>
      </c>
      <c r="W436" s="109" t="s">
        <v>138</v>
      </c>
      <c r="X436" s="109" t="s">
        <v>138</v>
      </c>
      <c r="Y436" s="109" t="s">
        <v>138</v>
      </c>
      <c r="Z436" s="109" t="str">
        <f>IF('BD2'!$AA436 &lt; 14, "no", "si")</f>
        <v>si</v>
      </c>
      <c r="AA436" s="109">
        <v>32.4</v>
      </c>
      <c r="AB436" s="109">
        <v>17.600000000000001</v>
      </c>
      <c r="AC436" s="110" t="s">
        <v>967</v>
      </c>
      <c r="AD436" s="110" t="s">
        <v>957</v>
      </c>
      <c r="AE436" s="109">
        <f t="shared" si="20"/>
        <v>8</v>
      </c>
      <c r="AF436" s="111" t="str">
        <f t="shared" si="21"/>
        <v>Estable</v>
      </c>
    </row>
    <row r="437" spans="1:32" x14ac:dyDescent="0.2">
      <c r="A437" s="132" t="s">
        <v>1406</v>
      </c>
      <c r="B437" s="133" t="s">
        <v>1204</v>
      </c>
      <c r="C437" s="134" t="s">
        <v>11</v>
      </c>
      <c r="D437" s="134" t="s">
        <v>404</v>
      </c>
      <c r="E437" s="135" t="s">
        <v>1205</v>
      </c>
      <c r="F437" s="135" t="s">
        <v>1206</v>
      </c>
      <c r="G437" s="135" t="s">
        <v>1105</v>
      </c>
      <c r="H437" s="133" t="s">
        <v>1207</v>
      </c>
      <c r="I437" s="134">
        <v>20.950721000000001</v>
      </c>
      <c r="J437" s="134">
        <v>-101.421764</v>
      </c>
      <c r="K437" s="133" t="s">
        <v>139</v>
      </c>
      <c r="L437" s="136" t="str">
        <f t="shared" si="19"/>
        <v>Ver en Google Maps</v>
      </c>
      <c r="M437" s="133">
        <v>1</v>
      </c>
      <c r="N437" s="117"/>
      <c r="O437" s="118">
        <f>DAY('BD2'!$N437)</f>
        <v>0</v>
      </c>
      <c r="P437" s="118">
        <f>MONTH('BD2'!$N437)</f>
        <v>1</v>
      </c>
      <c r="Q437" s="118">
        <f>YEAR('BD2'!$N437)</f>
        <v>1900</v>
      </c>
      <c r="R437" s="118">
        <v>2</v>
      </c>
      <c r="S437" s="118" t="s">
        <v>138</v>
      </c>
      <c r="T437" s="118" t="s">
        <v>138</v>
      </c>
      <c r="U437" s="118" t="s">
        <v>138</v>
      </c>
      <c r="V437" s="118" t="s">
        <v>138</v>
      </c>
      <c r="W437" s="118" t="s">
        <v>138</v>
      </c>
      <c r="X437" s="118" t="s">
        <v>138</v>
      </c>
      <c r="Y437" s="118" t="s">
        <v>138</v>
      </c>
      <c r="Z437" s="118" t="str">
        <f>IF('BD2'!$AA437 &lt; 14, "no", "si")</f>
        <v>no</v>
      </c>
      <c r="AA437" s="118"/>
      <c r="AB437" s="118"/>
      <c r="AC437" s="119" t="s">
        <v>967</v>
      </c>
      <c r="AD437" s="119" t="s">
        <v>1403</v>
      </c>
      <c r="AE437" s="118">
        <f t="shared" si="20"/>
        <v>7</v>
      </c>
      <c r="AF437" s="120" t="str">
        <f t="shared" si="21"/>
        <v>Funcional con observaciones</v>
      </c>
    </row>
    <row r="438" spans="1:32" x14ac:dyDescent="0.2">
      <c r="A438" s="121" t="s">
        <v>1405</v>
      </c>
      <c r="B438" s="122" t="s">
        <v>1204</v>
      </c>
      <c r="C438" s="123" t="s">
        <v>11</v>
      </c>
      <c r="D438" s="123" t="s">
        <v>404</v>
      </c>
      <c r="E438" s="124" t="s">
        <v>1205</v>
      </c>
      <c r="F438" s="124" t="s">
        <v>1206</v>
      </c>
      <c r="G438" s="124" t="s">
        <v>1105</v>
      </c>
      <c r="H438" s="122" t="s">
        <v>1207</v>
      </c>
      <c r="I438" s="123">
        <v>20.950721000000001</v>
      </c>
      <c r="J438" s="123">
        <v>-101.421764</v>
      </c>
      <c r="K438" s="122" t="s">
        <v>139</v>
      </c>
      <c r="L438" s="125" t="str">
        <f>HYPERLINK("https://www.google.com/maps?q=" &amp; I438 &amp; "," &amp; J438, "Ver en Google Maps")</f>
        <v>Ver en Google Maps</v>
      </c>
      <c r="M438" s="122">
        <v>1</v>
      </c>
      <c r="N438" s="108"/>
      <c r="O438" s="109">
        <f>DAY('BD2'!$N438)</f>
        <v>0</v>
      </c>
      <c r="P438" s="109">
        <f>MONTH('BD2'!$N438)</f>
        <v>1</v>
      </c>
      <c r="Q438" s="109">
        <f>YEAR('BD2'!$N438)</f>
        <v>1900</v>
      </c>
      <c r="R438" s="109">
        <v>2</v>
      </c>
      <c r="S438" s="109" t="s">
        <v>138</v>
      </c>
      <c r="T438" s="109" t="s">
        <v>138</v>
      </c>
      <c r="U438" s="109" t="s">
        <v>138</v>
      </c>
      <c r="V438" s="109" t="s">
        <v>138</v>
      </c>
      <c r="W438" s="109" t="s">
        <v>138</v>
      </c>
      <c r="X438" s="109" t="s">
        <v>138</v>
      </c>
      <c r="Y438" s="109" t="s">
        <v>138</v>
      </c>
      <c r="Z438" s="109" t="str">
        <f>IF('BD2'!$AA438 &lt; 14, "no", "si")</f>
        <v>no</v>
      </c>
      <c r="AA438" s="109"/>
      <c r="AB438" s="109"/>
      <c r="AC438" s="110" t="s">
        <v>967</v>
      </c>
      <c r="AD438" s="110" t="s">
        <v>1403</v>
      </c>
      <c r="AE438" s="109">
        <f t="shared" si="20"/>
        <v>7</v>
      </c>
      <c r="AF438" s="111" t="str">
        <f t="shared" si="21"/>
        <v>Funcional con observaciones</v>
      </c>
    </row>
    <row r="439" spans="1:32" x14ac:dyDescent="0.2">
      <c r="A439" s="112">
        <v>28</v>
      </c>
      <c r="B439" s="113" t="s">
        <v>1204</v>
      </c>
      <c r="C439" s="114" t="s">
        <v>7</v>
      </c>
      <c r="D439" s="114" t="s">
        <v>404</v>
      </c>
      <c r="E439" s="115" t="s">
        <v>1208</v>
      </c>
      <c r="F439" s="115" t="s">
        <v>1209</v>
      </c>
      <c r="G439" s="115" t="s">
        <v>1797</v>
      </c>
      <c r="H439" s="113" t="s">
        <v>1207</v>
      </c>
      <c r="I439" s="114">
        <v>20.938929000000002</v>
      </c>
      <c r="J439" s="114">
        <v>-101.433953</v>
      </c>
      <c r="K439" s="113" t="s">
        <v>139</v>
      </c>
      <c r="L439" s="116" t="str">
        <f t="shared" si="19"/>
        <v>Ver en Google Maps</v>
      </c>
      <c r="M439" s="113">
        <v>2</v>
      </c>
      <c r="N439" s="117"/>
      <c r="O439" s="118">
        <f>DAY('BD2'!$N439)</f>
        <v>0</v>
      </c>
      <c r="P439" s="118">
        <f>MONTH('BD2'!$N439)</f>
        <v>1</v>
      </c>
      <c r="Q439" s="118">
        <f>YEAR('BD2'!$N439)</f>
        <v>1900</v>
      </c>
      <c r="R439" s="118">
        <v>2</v>
      </c>
      <c r="S439" s="118" t="s">
        <v>138</v>
      </c>
      <c r="T439" s="118" t="s">
        <v>138</v>
      </c>
      <c r="U439" s="118" t="s">
        <v>138</v>
      </c>
      <c r="V439" s="118" t="s">
        <v>138</v>
      </c>
      <c r="W439" s="118" t="s">
        <v>138</v>
      </c>
      <c r="X439" s="118" t="s">
        <v>138</v>
      </c>
      <c r="Y439" s="118" t="s">
        <v>138</v>
      </c>
      <c r="Z439" s="118" t="str">
        <f>IF('BD2'!$AA439 &lt; 14, "no", "si")</f>
        <v>no</v>
      </c>
      <c r="AA439" s="118"/>
      <c r="AB439" s="118"/>
      <c r="AC439" s="119" t="s">
        <v>967</v>
      </c>
      <c r="AD439" s="119" t="s">
        <v>1403</v>
      </c>
      <c r="AE439" s="118">
        <f t="shared" si="20"/>
        <v>7</v>
      </c>
      <c r="AF439" s="120" t="str">
        <f t="shared" si="21"/>
        <v>Funcional con observaciones</v>
      </c>
    </row>
    <row r="440" spans="1:32" x14ac:dyDescent="0.2">
      <c r="A440" s="121">
        <v>29</v>
      </c>
      <c r="B440" s="122" t="s">
        <v>1204</v>
      </c>
      <c r="C440" s="123" t="s">
        <v>7</v>
      </c>
      <c r="D440" s="123" t="s">
        <v>404</v>
      </c>
      <c r="E440" s="124" t="s">
        <v>1210</v>
      </c>
      <c r="F440" s="124" t="s">
        <v>1211</v>
      </c>
      <c r="G440" s="124" t="s">
        <v>1105</v>
      </c>
      <c r="H440" s="122" t="s">
        <v>1207</v>
      </c>
      <c r="I440" s="123">
        <v>20.943666</v>
      </c>
      <c r="J440" s="123">
        <v>-101.426964</v>
      </c>
      <c r="K440" s="122" t="s">
        <v>139</v>
      </c>
      <c r="L440" s="125" t="str">
        <f t="shared" si="19"/>
        <v>Ver en Google Maps</v>
      </c>
      <c r="M440" s="122">
        <v>1</v>
      </c>
      <c r="N440" s="108"/>
      <c r="O440" s="109">
        <f>DAY('BD2'!$N440)</f>
        <v>0</v>
      </c>
      <c r="P440" s="109">
        <f>MONTH('BD2'!$N440)</f>
        <v>1</v>
      </c>
      <c r="Q440" s="109">
        <f>YEAR('BD2'!$N440)</f>
        <v>1900</v>
      </c>
      <c r="R440" s="109">
        <v>2</v>
      </c>
      <c r="S440" s="109" t="s">
        <v>138</v>
      </c>
      <c r="T440" s="109" t="s">
        <v>138</v>
      </c>
      <c r="U440" s="109" t="s">
        <v>138</v>
      </c>
      <c r="V440" s="109" t="s">
        <v>138</v>
      </c>
      <c r="W440" s="109" t="s">
        <v>138</v>
      </c>
      <c r="X440" s="109" t="s">
        <v>138</v>
      </c>
      <c r="Y440" s="109" t="s">
        <v>138</v>
      </c>
      <c r="Z440" s="109" t="str">
        <f>IF('BD2'!$AA440 &lt; 14, "no", "si")</f>
        <v>no</v>
      </c>
      <c r="AA440" s="109"/>
      <c r="AB440" s="109"/>
      <c r="AC440" s="110" t="s">
        <v>1412</v>
      </c>
      <c r="AD440" s="110" t="s">
        <v>1403</v>
      </c>
      <c r="AE440" s="109">
        <f t="shared" si="20"/>
        <v>7</v>
      </c>
      <c r="AF440" s="111" t="str">
        <f t="shared" si="21"/>
        <v>Funcional con observaciones</v>
      </c>
    </row>
    <row r="441" spans="1:32" x14ac:dyDescent="0.2">
      <c r="A441" s="112">
        <v>30</v>
      </c>
      <c r="B441" s="113" t="s">
        <v>1204</v>
      </c>
      <c r="C441" s="114" t="s">
        <v>7</v>
      </c>
      <c r="D441" s="114" t="s">
        <v>404</v>
      </c>
      <c r="E441" s="115" t="s">
        <v>1213</v>
      </c>
      <c r="F441" s="115" t="s">
        <v>1214</v>
      </c>
      <c r="G441" s="115" t="s">
        <v>1105</v>
      </c>
      <c r="H441" s="113" t="s">
        <v>1207</v>
      </c>
      <c r="I441" s="114">
        <v>20.946221000000001</v>
      </c>
      <c r="J441" s="114">
        <v>-101.426796</v>
      </c>
      <c r="K441" s="113" t="s">
        <v>139</v>
      </c>
      <c r="L441" s="116" t="str">
        <f t="shared" si="19"/>
        <v>Ver en Google Maps</v>
      </c>
      <c r="M441" s="113">
        <v>1</v>
      </c>
      <c r="N441" s="117"/>
      <c r="O441" s="118">
        <f>DAY('BD2'!$N441)</f>
        <v>0</v>
      </c>
      <c r="P441" s="118">
        <f>MONTH('BD2'!$N441)</f>
        <v>1</v>
      </c>
      <c r="Q441" s="118">
        <f>YEAR('BD2'!$N441)</f>
        <v>1900</v>
      </c>
      <c r="R441" s="118">
        <v>2</v>
      </c>
      <c r="S441" s="118" t="s">
        <v>138</v>
      </c>
      <c r="T441" s="118" t="s">
        <v>138</v>
      </c>
      <c r="U441" s="118" t="s">
        <v>138</v>
      </c>
      <c r="V441" s="118" t="s">
        <v>138</v>
      </c>
      <c r="W441" s="118" t="s">
        <v>138</v>
      </c>
      <c r="X441" s="118" t="s">
        <v>138</v>
      </c>
      <c r="Y441" s="118" t="s">
        <v>138</v>
      </c>
      <c r="Z441" s="118" t="str">
        <f>IF('BD2'!$AA441 &lt; 14, "no", "si")</f>
        <v>no</v>
      </c>
      <c r="AA441" s="118"/>
      <c r="AB441" s="118"/>
      <c r="AC441" s="119" t="s">
        <v>967</v>
      </c>
      <c r="AD441" s="119" t="s">
        <v>1403</v>
      </c>
      <c r="AE441" s="118">
        <f t="shared" si="20"/>
        <v>7</v>
      </c>
      <c r="AF441" s="120" t="str">
        <f t="shared" si="21"/>
        <v>Funcional con observaciones</v>
      </c>
    </row>
    <row r="442" spans="1:32" x14ac:dyDescent="0.2">
      <c r="A442" s="121">
        <v>31</v>
      </c>
      <c r="B442" s="122" t="s">
        <v>1204</v>
      </c>
      <c r="C442" s="123" t="s">
        <v>7</v>
      </c>
      <c r="D442" s="123" t="s">
        <v>404</v>
      </c>
      <c r="E442" s="124" t="s">
        <v>1215</v>
      </c>
      <c r="F442" s="124" t="s">
        <v>1216</v>
      </c>
      <c r="G442" s="124" t="s">
        <v>1798</v>
      </c>
      <c r="H442" s="122" t="s">
        <v>1207</v>
      </c>
      <c r="I442" s="123">
        <v>20.939492000000001</v>
      </c>
      <c r="J442" s="123">
        <v>-101.431826</v>
      </c>
      <c r="K442" s="122" t="s">
        <v>139</v>
      </c>
      <c r="L442" s="125" t="str">
        <f t="shared" si="19"/>
        <v>Ver en Google Maps</v>
      </c>
      <c r="M442" s="122">
        <v>1</v>
      </c>
      <c r="N442" s="108"/>
      <c r="O442" s="109">
        <f>DAY('BD2'!$N442)</f>
        <v>0</v>
      </c>
      <c r="P442" s="109">
        <f>MONTH('BD2'!$N442)</f>
        <v>1</v>
      </c>
      <c r="Q442" s="109">
        <f>YEAR('BD2'!$N442)</f>
        <v>1900</v>
      </c>
      <c r="R442" s="109">
        <v>2</v>
      </c>
      <c r="S442" s="109" t="s">
        <v>138</v>
      </c>
      <c r="T442" s="109" t="s">
        <v>138</v>
      </c>
      <c r="U442" s="109" t="s">
        <v>138</v>
      </c>
      <c r="V442" s="109" t="s">
        <v>138</v>
      </c>
      <c r="W442" s="109" t="s">
        <v>138</v>
      </c>
      <c r="X442" s="109" t="s">
        <v>138</v>
      </c>
      <c r="Y442" s="109" t="s">
        <v>138</v>
      </c>
      <c r="Z442" s="109" t="str">
        <f>IF('BD2'!$AA442 &lt; 14, "no", "si")</f>
        <v>no</v>
      </c>
      <c r="AA442" s="109"/>
      <c r="AB442" s="109"/>
      <c r="AC442" s="110" t="s">
        <v>967</v>
      </c>
      <c r="AD442" s="110" t="s">
        <v>1403</v>
      </c>
      <c r="AE442" s="109">
        <f t="shared" si="20"/>
        <v>7</v>
      </c>
      <c r="AF442" s="111" t="str">
        <f t="shared" si="21"/>
        <v>Funcional con observaciones</v>
      </c>
    </row>
    <row r="443" spans="1:32" x14ac:dyDescent="0.2">
      <c r="A443" s="112">
        <v>32</v>
      </c>
      <c r="B443" s="113" t="s">
        <v>1204</v>
      </c>
      <c r="C443" s="114" t="s">
        <v>7</v>
      </c>
      <c r="D443" s="114" t="s">
        <v>404</v>
      </c>
      <c r="E443" s="115" t="s">
        <v>1208</v>
      </c>
      <c r="F443" s="115" t="s">
        <v>1217</v>
      </c>
      <c r="G443" s="115" t="s">
        <v>1797</v>
      </c>
      <c r="H443" s="113" t="s">
        <v>1207</v>
      </c>
      <c r="I443" s="114">
        <v>20.938929000000002</v>
      </c>
      <c r="J443" s="114">
        <v>-101.433953</v>
      </c>
      <c r="K443" s="113" t="s">
        <v>139</v>
      </c>
      <c r="L443" s="116" t="str">
        <f t="shared" si="19"/>
        <v>Ver en Google Maps</v>
      </c>
      <c r="M443" s="113">
        <v>1</v>
      </c>
      <c r="N443" s="117"/>
      <c r="O443" s="118">
        <f>DAY('BD2'!$N443)</f>
        <v>0</v>
      </c>
      <c r="P443" s="118">
        <f>MONTH('BD2'!$N443)</f>
        <v>1</v>
      </c>
      <c r="Q443" s="118">
        <f>YEAR('BD2'!$N443)</f>
        <v>1900</v>
      </c>
      <c r="R443" s="118">
        <v>2</v>
      </c>
      <c r="S443" s="118" t="s">
        <v>138</v>
      </c>
      <c r="T443" s="118" t="s">
        <v>138</v>
      </c>
      <c r="U443" s="118" t="s">
        <v>138</v>
      </c>
      <c r="V443" s="118" t="s">
        <v>138</v>
      </c>
      <c r="W443" s="118" t="s">
        <v>138</v>
      </c>
      <c r="X443" s="118" t="s">
        <v>138</v>
      </c>
      <c r="Y443" s="118" t="s">
        <v>138</v>
      </c>
      <c r="Z443" s="118" t="str">
        <f>IF('BD2'!$AA443 &lt; 14, "no", "si")</f>
        <v>no</v>
      </c>
      <c r="AA443" s="118"/>
      <c r="AB443" s="118"/>
      <c r="AC443" s="119" t="s">
        <v>967</v>
      </c>
      <c r="AD443" s="119" t="s">
        <v>1403</v>
      </c>
      <c r="AE443" s="118">
        <f t="shared" si="20"/>
        <v>7</v>
      </c>
      <c r="AF443" s="120" t="str">
        <f t="shared" si="21"/>
        <v>Funcional con observaciones</v>
      </c>
    </row>
    <row r="444" spans="1:32" x14ac:dyDescent="0.2">
      <c r="A444" s="121">
        <v>33</v>
      </c>
      <c r="B444" s="122" t="s">
        <v>1204</v>
      </c>
      <c r="C444" s="123" t="s">
        <v>7</v>
      </c>
      <c r="D444" s="123" t="s">
        <v>404</v>
      </c>
      <c r="E444" s="124" t="s">
        <v>1218</v>
      </c>
      <c r="F444" s="124" t="s">
        <v>1219</v>
      </c>
      <c r="G444" s="124" t="s">
        <v>1105</v>
      </c>
      <c r="H444" s="122" t="s">
        <v>1207</v>
      </c>
      <c r="I444" s="123">
        <v>20.943484000000002</v>
      </c>
      <c r="J444" s="123">
        <v>-101.42883999999999</v>
      </c>
      <c r="K444" s="122" t="s">
        <v>139</v>
      </c>
      <c r="L444" s="125" t="str">
        <f t="shared" si="19"/>
        <v>Ver en Google Maps</v>
      </c>
      <c r="M444" s="122">
        <v>1</v>
      </c>
      <c r="N444" s="108"/>
      <c r="O444" s="109">
        <f>DAY('BD2'!$N444)</f>
        <v>0</v>
      </c>
      <c r="P444" s="109">
        <f>MONTH('BD2'!$N444)</f>
        <v>1</v>
      </c>
      <c r="Q444" s="109">
        <f>YEAR('BD2'!$N444)</f>
        <v>1900</v>
      </c>
      <c r="R444" s="109">
        <v>2</v>
      </c>
      <c r="S444" s="109" t="s">
        <v>138</v>
      </c>
      <c r="T444" s="109" t="s">
        <v>138</v>
      </c>
      <c r="U444" s="109" t="s">
        <v>138</v>
      </c>
      <c r="V444" s="109" t="s">
        <v>138</v>
      </c>
      <c r="W444" s="109" t="s">
        <v>138</v>
      </c>
      <c r="X444" s="109" t="s">
        <v>138</v>
      </c>
      <c r="Y444" s="109" t="s">
        <v>138</v>
      </c>
      <c r="Z444" s="109" t="str">
        <f>IF('BD2'!$AA444 &lt; 14, "no", "si")</f>
        <v>no</v>
      </c>
      <c r="AA444" s="109"/>
      <c r="AB444" s="109"/>
      <c r="AC444" s="110" t="s">
        <v>967</v>
      </c>
      <c r="AD444" s="110" t="s">
        <v>1403</v>
      </c>
      <c r="AE444" s="109">
        <f t="shared" si="20"/>
        <v>7</v>
      </c>
      <c r="AF444" s="111" t="str">
        <f t="shared" si="21"/>
        <v>Funcional con observaciones</v>
      </c>
    </row>
    <row r="445" spans="1:32" x14ac:dyDescent="0.2">
      <c r="A445" s="112">
        <v>34</v>
      </c>
      <c r="B445" s="113" t="s">
        <v>1204</v>
      </c>
      <c r="C445" s="114" t="s">
        <v>11</v>
      </c>
      <c r="D445" s="114" t="s">
        <v>404</v>
      </c>
      <c r="E445" s="115" t="s">
        <v>1220</v>
      </c>
      <c r="F445" s="115" t="s">
        <v>1221</v>
      </c>
      <c r="G445" s="115" t="s">
        <v>1799</v>
      </c>
      <c r="H445" s="113" t="s">
        <v>1207</v>
      </c>
      <c r="I445" s="114">
        <v>20.934314000000001</v>
      </c>
      <c r="J445" s="114">
        <v>-101.43236400000001</v>
      </c>
      <c r="K445" s="113" t="s">
        <v>139</v>
      </c>
      <c r="L445" s="116" t="str">
        <f t="shared" si="19"/>
        <v>Ver en Google Maps</v>
      </c>
      <c r="M445" s="113">
        <v>1</v>
      </c>
      <c r="N445" s="117"/>
      <c r="O445" s="118">
        <f>DAY('BD2'!$N445)</f>
        <v>0</v>
      </c>
      <c r="P445" s="118">
        <f>MONTH('BD2'!$N445)</f>
        <v>1</v>
      </c>
      <c r="Q445" s="118">
        <f>YEAR('BD2'!$N445)</f>
        <v>1900</v>
      </c>
      <c r="R445" s="118">
        <v>2</v>
      </c>
      <c r="S445" s="118" t="s">
        <v>138</v>
      </c>
      <c r="T445" s="118" t="s">
        <v>138</v>
      </c>
      <c r="U445" s="118" t="s">
        <v>138</v>
      </c>
      <c r="V445" s="118" t="s">
        <v>138</v>
      </c>
      <c r="W445" s="118" t="s">
        <v>138</v>
      </c>
      <c r="X445" s="118" t="s">
        <v>138</v>
      </c>
      <c r="Y445" s="118" t="s">
        <v>138</v>
      </c>
      <c r="Z445" s="118" t="str">
        <f>IF('BD2'!$AA445 &lt; 14, "no", "si")</f>
        <v>no</v>
      </c>
      <c r="AA445" s="118"/>
      <c r="AB445" s="118"/>
      <c r="AC445" s="119" t="s">
        <v>967</v>
      </c>
      <c r="AD445" s="119" t="s">
        <v>1403</v>
      </c>
      <c r="AE445" s="118">
        <f t="shared" si="20"/>
        <v>7</v>
      </c>
      <c r="AF445" s="120" t="str">
        <f t="shared" si="21"/>
        <v>Funcional con observaciones</v>
      </c>
    </row>
    <row r="446" spans="1:32" x14ac:dyDescent="0.2">
      <c r="A446" s="121">
        <v>35</v>
      </c>
      <c r="B446" s="122" t="s">
        <v>1204</v>
      </c>
      <c r="C446" s="123" t="s">
        <v>7</v>
      </c>
      <c r="D446" s="123" t="s">
        <v>1402</v>
      </c>
      <c r="E446" s="124" t="s">
        <v>1222</v>
      </c>
      <c r="F446" s="124" t="s">
        <v>1223</v>
      </c>
      <c r="G446" s="124" t="s">
        <v>1224</v>
      </c>
      <c r="H446" s="122" t="s">
        <v>1207</v>
      </c>
      <c r="I446" s="123">
        <v>20.936053000000001</v>
      </c>
      <c r="J446" s="123">
        <v>-101.420919</v>
      </c>
      <c r="K446" s="122" t="s">
        <v>139</v>
      </c>
      <c r="L446" s="125" t="str">
        <f t="shared" si="19"/>
        <v>Ver en Google Maps</v>
      </c>
      <c r="M446" s="122">
        <v>1</v>
      </c>
      <c r="N446" s="108"/>
      <c r="O446" s="109">
        <f>DAY('BD2'!$N446)</f>
        <v>0</v>
      </c>
      <c r="P446" s="109">
        <f>MONTH('BD2'!$N446)</f>
        <v>1</v>
      </c>
      <c r="Q446" s="109">
        <f>YEAR('BD2'!$N446)</f>
        <v>1900</v>
      </c>
      <c r="R446" s="109">
        <v>2</v>
      </c>
      <c r="S446" s="109" t="s">
        <v>138</v>
      </c>
      <c r="T446" s="109" t="s">
        <v>138</v>
      </c>
      <c r="U446" s="109" t="s">
        <v>138</v>
      </c>
      <c r="V446" s="109" t="s">
        <v>138</v>
      </c>
      <c r="W446" s="109" t="s">
        <v>138</v>
      </c>
      <c r="X446" s="109" t="s">
        <v>138</v>
      </c>
      <c r="Y446" s="109" t="s">
        <v>138</v>
      </c>
      <c r="Z446" s="109" t="str">
        <f>IF('BD2'!$AA446 &lt; 14, "no", "si")</f>
        <v>no</v>
      </c>
      <c r="AA446" s="109"/>
      <c r="AB446" s="109"/>
      <c r="AC446" s="110" t="s">
        <v>967</v>
      </c>
      <c r="AD446" s="110" t="s">
        <v>1403</v>
      </c>
      <c r="AE446" s="109">
        <f t="shared" si="20"/>
        <v>7</v>
      </c>
      <c r="AF446" s="111" t="str">
        <f t="shared" si="21"/>
        <v>Funcional con observaciones</v>
      </c>
    </row>
    <row r="447" spans="1:32" x14ac:dyDescent="0.2">
      <c r="A447" s="112">
        <v>36</v>
      </c>
      <c r="B447" s="113" t="s">
        <v>1204</v>
      </c>
      <c r="C447" s="114" t="s">
        <v>7</v>
      </c>
      <c r="D447" s="114" t="s">
        <v>404</v>
      </c>
      <c r="E447" s="115" t="s">
        <v>1225</v>
      </c>
      <c r="F447" s="115" t="s">
        <v>1226</v>
      </c>
      <c r="G447" s="115" t="s">
        <v>1800</v>
      </c>
      <c r="H447" s="113" t="s">
        <v>1207</v>
      </c>
      <c r="I447" s="114">
        <v>20.962568999999998</v>
      </c>
      <c r="J447" s="114">
        <v>-101.42131500000001</v>
      </c>
      <c r="K447" s="113" t="s">
        <v>139</v>
      </c>
      <c r="L447" s="116" t="str">
        <f t="shared" si="19"/>
        <v>Ver en Google Maps</v>
      </c>
      <c r="M447" s="113">
        <v>1</v>
      </c>
      <c r="N447" s="117"/>
      <c r="O447" s="118">
        <f>DAY('BD2'!$N447)</f>
        <v>0</v>
      </c>
      <c r="P447" s="118">
        <f>MONTH('BD2'!$N447)</f>
        <v>1</v>
      </c>
      <c r="Q447" s="118">
        <f>YEAR('BD2'!$N447)</f>
        <v>1900</v>
      </c>
      <c r="R447" s="118">
        <v>2</v>
      </c>
      <c r="S447" s="118" t="s">
        <v>138</v>
      </c>
      <c r="T447" s="118" t="s">
        <v>138</v>
      </c>
      <c r="U447" s="118" t="s">
        <v>138</v>
      </c>
      <c r="V447" s="118" t="s">
        <v>138</v>
      </c>
      <c r="W447" s="118" t="s">
        <v>138</v>
      </c>
      <c r="X447" s="118" t="s">
        <v>138</v>
      </c>
      <c r="Y447" s="118" t="s">
        <v>138</v>
      </c>
      <c r="Z447" s="118" t="str">
        <f>IF('BD2'!$AA447 &lt; 14, "no", "si")</f>
        <v>no</v>
      </c>
      <c r="AA447" s="118"/>
      <c r="AB447" s="118"/>
      <c r="AC447" s="119" t="s">
        <v>967</v>
      </c>
      <c r="AD447" s="119" t="s">
        <v>1403</v>
      </c>
      <c r="AE447" s="118">
        <f t="shared" si="20"/>
        <v>7</v>
      </c>
      <c r="AF447" s="120" t="str">
        <f t="shared" si="21"/>
        <v>Funcional con observaciones</v>
      </c>
    </row>
    <row r="448" spans="1:32" x14ac:dyDescent="0.2">
      <c r="A448" s="121">
        <v>104</v>
      </c>
      <c r="B448" s="122" t="s">
        <v>1204</v>
      </c>
      <c r="C448" s="123" t="s">
        <v>15</v>
      </c>
      <c r="D448" s="123" t="s">
        <v>15</v>
      </c>
      <c r="E448" s="124" t="s">
        <v>1227</v>
      </c>
      <c r="F448" s="124" t="s">
        <v>1228</v>
      </c>
      <c r="G448" s="124" t="s">
        <v>1801</v>
      </c>
      <c r="H448" s="122" t="s">
        <v>1207</v>
      </c>
      <c r="I448" s="123">
        <v>20.939119999999999</v>
      </c>
      <c r="J448" s="123">
        <v>-101.42984</v>
      </c>
      <c r="K448" s="122" t="s">
        <v>139</v>
      </c>
      <c r="L448" s="125" t="str">
        <f t="shared" si="19"/>
        <v>Ver en Google Maps</v>
      </c>
      <c r="M448" s="122">
        <v>2</v>
      </c>
      <c r="N448" s="108"/>
      <c r="O448" s="109">
        <f>DAY('BD2'!$N448)</f>
        <v>0</v>
      </c>
      <c r="P448" s="109">
        <f>MONTH('BD2'!$N448)</f>
        <v>1</v>
      </c>
      <c r="Q448" s="109">
        <f>YEAR('BD2'!$N448)</f>
        <v>1900</v>
      </c>
      <c r="R448" s="109">
        <v>2</v>
      </c>
      <c r="S448" s="109" t="s">
        <v>138</v>
      </c>
      <c r="T448" s="109" t="s">
        <v>138</v>
      </c>
      <c r="U448" s="109" t="s">
        <v>138</v>
      </c>
      <c r="V448" s="109" t="s">
        <v>138</v>
      </c>
      <c r="W448" s="109" t="s">
        <v>138</v>
      </c>
      <c r="X448" s="109" t="s">
        <v>138</v>
      </c>
      <c r="Y448" s="109" t="s">
        <v>138</v>
      </c>
      <c r="Z448" s="109" t="str">
        <f>IF('BD2'!$AA448 &lt; 14, "no", "si")</f>
        <v>no</v>
      </c>
      <c r="AA448" s="109"/>
      <c r="AB448" s="109"/>
      <c r="AC448" s="110" t="s">
        <v>1413</v>
      </c>
      <c r="AD448" s="110" t="s">
        <v>1403</v>
      </c>
      <c r="AE448" s="109">
        <f t="shared" si="20"/>
        <v>7</v>
      </c>
      <c r="AF448" s="111" t="str">
        <f t="shared" si="21"/>
        <v>Funcional con observaciones</v>
      </c>
    </row>
    <row r="449" spans="1:32" x14ac:dyDescent="0.2">
      <c r="A449" s="112">
        <v>121</v>
      </c>
      <c r="B449" s="113" t="s">
        <v>1204</v>
      </c>
      <c r="C449" s="114" t="s">
        <v>17</v>
      </c>
      <c r="D449" s="114" t="s">
        <v>17</v>
      </c>
      <c r="E449" s="115" t="s">
        <v>1229</v>
      </c>
      <c r="F449" s="115" t="s">
        <v>1230</v>
      </c>
      <c r="G449" s="115" t="s">
        <v>360</v>
      </c>
      <c r="H449" s="113" t="s">
        <v>1207</v>
      </c>
      <c r="I449" s="114">
        <v>20.944949999999999</v>
      </c>
      <c r="J449" s="114">
        <v>-101.42086</v>
      </c>
      <c r="K449" s="113" t="s">
        <v>139</v>
      </c>
      <c r="L449" s="116" t="str">
        <f t="shared" si="19"/>
        <v>Ver en Google Maps</v>
      </c>
      <c r="M449" s="113">
        <v>2</v>
      </c>
      <c r="N449" s="117"/>
      <c r="O449" s="118">
        <f>DAY('BD2'!$N449)</f>
        <v>0</v>
      </c>
      <c r="P449" s="118">
        <f>MONTH('BD2'!$N449)</f>
        <v>1</v>
      </c>
      <c r="Q449" s="118">
        <f>YEAR('BD2'!$N449)</f>
        <v>1900</v>
      </c>
      <c r="R449" s="118">
        <v>2</v>
      </c>
      <c r="S449" s="118" t="s">
        <v>138</v>
      </c>
      <c r="T449" s="118" t="s">
        <v>138</v>
      </c>
      <c r="U449" s="118" t="s">
        <v>138</v>
      </c>
      <c r="V449" s="118" t="s">
        <v>138</v>
      </c>
      <c r="W449" s="118" t="s">
        <v>138</v>
      </c>
      <c r="X449" s="118" t="s">
        <v>138</v>
      </c>
      <c r="Y449" s="118" t="s">
        <v>138</v>
      </c>
      <c r="Z449" s="118" t="str">
        <f>IF('BD2'!$AA449 &lt; 14, "no", "si")</f>
        <v>no</v>
      </c>
      <c r="AA449" s="118"/>
      <c r="AB449" s="118"/>
      <c r="AC449" s="119" t="s">
        <v>1415</v>
      </c>
      <c r="AD449" s="119" t="s">
        <v>1403</v>
      </c>
      <c r="AE449" s="118">
        <f t="shared" si="20"/>
        <v>7</v>
      </c>
      <c r="AF449" s="120" t="str">
        <f t="shared" si="21"/>
        <v>Funcional con observaciones</v>
      </c>
    </row>
    <row r="450" spans="1:32" x14ac:dyDescent="0.2">
      <c r="A450" s="121">
        <v>150</v>
      </c>
      <c r="B450" s="122" t="s">
        <v>1204</v>
      </c>
      <c r="C450" s="123" t="s">
        <v>17</v>
      </c>
      <c r="D450" s="123" t="s">
        <v>17</v>
      </c>
      <c r="E450" s="124" t="s">
        <v>1232</v>
      </c>
      <c r="F450" s="124" t="s">
        <v>1233</v>
      </c>
      <c r="G450" s="124" t="s">
        <v>360</v>
      </c>
      <c r="H450" s="122" t="s">
        <v>1207</v>
      </c>
      <c r="I450" s="123">
        <v>20.950340000000001</v>
      </c>
      <c r="J450" s="123">
        <v>-101.42801</v>
      </c>
      <c r="K450" s="122" t="s">
        <v>139</v>
      </c>
      <c r="L450" s="125" t="str">
        <f t="shared" si="19"/>
        <v>Ver en Google Maps</v>
      </c>
      <c r="M450" s="122">
        <v>1</v>
      </c>
      <c r="N450" s="108"/>
      <c r="O450" s="109">
        <f>DAY('BD2'!$N450)</f>
        <v>0</v>
      </c>
      <c r="P450" s="109">
        <f>MONTH('BD2'!$N450)</f>
        <v>1</v>
      </c>
      <c r="Q450" s="109">
        <f>YEAR('BD2'!$N450)</f>
        <v>1900</v>
      </c>
      <c r="R450" s="109">
        <v>2</v>
      </c>
      <c r="S450" s="109" t="s">
        <v>138</v>
      </c>
      <c r="T450" s="109" t="s">
        <v>138</v>
      </c>
      <c r="U450" s="109" t="s">
        <v>138</v>
      </c>
      <c r="V450" s="109" t="s">
        <v>138</v>
      </c>
      <c r="W450" s="109" t="s">
        <v>138</v>
      </c>
      <c r="X450" s="109" t="s">
        <v>138</v>
      </c>
      <c r="Y450" s="109" t="s">
        <v>138</v>
      </c>
      <c r="Z450" s="109" t="str">
        <f>IF('BD2'!$AA450 &lt; 14, "no", "si")</f>
        <v>no</v>
      </c>
      <c r="AA450" s="109"/>
      <c r="AB450" s="109"/>
      <c r="AC450" s="110" t="s">
        <v>967</v>
      </c>
      <c r="AD450" s="110" t="s">
        <v>1403</v>
      </c>
      <c r="AE450" s="109">
        <f t="shared" si="20"/>
        <v>7</v>
      </c>
      <c r="AF450" s="111" t="str">
        <f t="shared" si="21"/>
        <v>Funcional con observaciones</v>
      </c>
    </row>
    <row r="451" spans="1:32" x14ac:dyDescent="0.2">
      <c r="A451" s="112">
        <v>160</v>
      </c>
      <c r="B451" s="113" t="s">
        <v>1204</v>
      </c>
      <c r="C451" s="114" t="s">
        <v>17</v>
      </c>
      <c r="D451" s="114" t="s">
        <v>17</v>
      </c>
      <c r="E451" s="115" t="s">
        <v>1234</v>
      </c>
      <c r="F451" s="115" t="s">
        <v>1235</v>
      </c>
      <c r="G451" s="115" t="s">
        <v>1802</v>
      </c>
      <c r="H451" s="113" t="s">
        <v>1207</v>
      </c>
      <c r="I451" s="114">
        <v>20.938199999999998</v>
      </c>
      <c r="J451" s="114">
        <v>-101.42286</v>
      </c>
      <c r="K451" s="113" t="s">
        <v>139</v>
      </c>
      <c r="L451" s="116" t="str">
        <f t="shared" si="19"/>
        <v>Ver en Google Maps</v>
      </c>
      <c r="M451" s="113">
        <v>1</v>
      </c>
      <c r="N451" s="117"/>
      <c r="O451" s="118">
        <f>DAY('BD2'!$N451)</f>
        <v>0</v>
      </c>
      <c r="P451" s="118">
        <f>MONTH('BD2'!$N451)</f>
        <v>1</v>
      </c>
      <c r="Q451" s="118">
        <f>YEAR('BD2'!$N451)</f>
        <v>1900</v>
      </c>
      <c r="R451" s="118">
        <v>2</v>
      </c>
      <c r="S451" s="118" t="s">
        <v>138</v>
      </c>
      <c r="T451" s="118" t="s">
        <v>138</v>
      </c>
      <c r="U451" s="118" t="s">
        <v>138</v>
      </c>
      <c r="V451" s="118" t="s">
        <v>138</v>
      </c>
      <c r="W451" s="118" t="s">
        <v>138</v>
      </c>
      <c r="X451" s="118" t="s">
        <v>138</v>
      </c>
      <c r="Y451" s="118" t="s">
        <v>138</v>
      </c>
      <c r="Z451" s="118" t="str">
        <f>IF('BD2'!$AA451 &lt; 14, "no", "si")</f>
        <v>no</v>
      </c>
      <c r="AA451" s="118"/>
      <c r="AB451" s="118"/>
      <c r="AC451" s="119" t="s">
        <v>1412</v>
      </c>
      <c r="AD451" s="119" t="s">
        <v>1403</v>
      </c>
      <c r="AE451" s="118">
        <f t="shared" si="20"/>
        <v>7</v>
      </c>
      <c r="AF451" s="120" t="str">
        <f t="shared" si="21"/>
        <v>Funcional con observaciones</v>
      </c>
    </row>
    <row r="452" spans="1:32" x14ac:dyDescent="0.2">
      <c r="A452" s="121">
        <v>161</v>
      </c>
      <c r="B452" s="122" t="s">
        <v>1204</v>
      </c>
      <c r="C452" s="123" t="s">
        <v>17</v>
      </c>
      <c r="D452" s="123" t="s">
        <v>17</v>
      </c>
      <c r="E452" s="124" t="s">
        <v>1236</v>
      </c>
      <c r="F452" s="124" t="s">
        <v>1237</v>
      </c>
      <c r="G452" s="124" t="s">
        <v>1803</v>
      </c>
      <c r="H452" s="122" t="s">
        <v>1207</v>
      </c>
      <c r="I452" s="123">
        <v>20.962009999999999</v>
      </c>
      <c r="J452" s="123">
        <v>-101.42373000000001</v>
      </c>
      <c r="K452" s="122" t="s">
        <v>139</v>
      </c>
      <c r="L452" s="125" t="str">
        <f t="shared" si="19"/>
        <v>Ver en Google Maps</v>
      </c>
      <c r="M452" s="122">
        <v>1</v>
      </c>
      <c r="N452" s="108"/>
      <c r="O452" s="109">
        <f>DAY('BD2'!$N452)</f>
        <v>0</v>
      </c>
      <c r="P452" s="109">
        <f>MONTH('BD2'!$N452)</f>
        <v>1</v>
      </c>
      <c r="Q452" s="109">
        <f>YEAR('BD2'!$N452)</f>
        <v>1900</v>
      </c>
      <c r="R452" s="109">
        <v>2</v>
      </c>
      <c r="S452" s="109" t="s">
        <v>138</v>
      </c>
      <c r="T452" s="109" t="s">
        <v>138</v>
      </c>
      <c r="U452" s="109" t="s">
        <v>138</v>
      </c>
      <c r="V452" s="109" t="s">
        <v>138</v>
      </c>
      <c r="W452" s="109" t="s">
        <v>138</v>
      </c>
      <c r="X452" s="109" t="s">
        <v>138</v>
      </c>
      <c r="Y452" s="109" t="s">
        <v>138</v>
      </c>
      <c r="Z452" s="109" t="str">
        <f>IF('BD2'!$AA452 &lt; 14, "no", "si")</f>
        <v>no</v>
      </c>
      <c r="AA452" s="109"/>
      <c r="AB452" s="109"/>
      <c r="AC452" s="110" t="s">
        <v>967</v>
      </c>
      <c r="AD452" s="110" t="s">
        <v>1403</v>
      </c>
      <c r="AE452" s="109">
        <f t="shared" si="20"/>
        <v>7</v>
      </c>
      <c r="AF452" s="111" t="str">
        <f t="shared" ref="AF452:AF515" si="23">IF(AE452=8,"Estable",(IF(AE452=7,"Funcional con observaciones", (IF(AE452=6,"Funcional con observaciones",(IF(AE452=5,"Rendimiento bajo",(IF(AE452=4,"Parcialmente funcional",(IF(AE452=3,"Parcialmente funcional",(IF(AE452=2,"Inoperativo",(IF(AE452=1,"Inoperativo","Crítico")))))))))))))))</f>
        <v>Funcional con observaciones</v>
      </c>
    </row>
    <row r="453" spans="1:32" x14ac:dyDescent="0.2">
      <c r="A453" s="112">
        <v>162</v>
      </c>
      <c r="B453" s="113" t="s">
        <v>1204</v>
      </c>
      <c r="C453" s="114" t="s">
        <v>17</v>
      </c>
      <c r="D453" s="114" t="s">
        <v>17</v>
      </c>
      <c r="E453" s="115" t="s">
        <v>1319</v>
      </c>
      <c r="F453" s="115" t="s">
        <v>1320</v>
      </c>
      <c r="G453" s="115" t="s">
        <v>1321</v>
      </c>
      <c r="H453" s="113" t="s">
        <v>1207</v>
      </c>
      <c r="I453" s="114">
        <v>20.975059999999999</v>
      </c>
      <c r="J453" s="114">
        <v>-101.45</v>
      </c>
      <c r="K453" s="113"/>
      <c r="L453" s="116" t="str">
        <f t="shared" si="19"/>
        <v>Ver en Google Maps</v>
      </c>
      <c r="M453" s="113">
        <v>1</v>
      </c>
      <c r="N453" s="129"/>
      <c r="O453" s="118"/>
      <c r="P453" s="118"/>
      <c r="Q453" s="118"/>
      <c r="R453" s="118"/>
      <c r="S453" s="118"/>
      <c r="T453" s="118"/>
      <c r="U453" s="118"/>
      <c r="V453" s="118"/>
      <c r="W453" s="118"/>
      <c r="X453" s="118"/>
      <c r="Y453" s="118"/>
      <c r="Z453" s="118"/>
      <c r="AA453" s="118"/>
      <c r="AB453" s="118"/>
      <c r="AC453" s="119"/>
      <c r="AD453" s="119"/>
      <c r="AE453" s="118"/>
      <c r="AF453" s="120"/>
    </row>
    <row r="454" spans="1:32" x14ac:dyDescent="0.2">
      <c r="A454" s="121">
        <v>181</v>
      </c>
      <c r="B454" s="122" t="s">
        <v>1204</v>
      </c>
      <c r="C454" s="123" t="s">
        <v>17</v>
      </c>
      <c r="D454" s="123" t="s">
        <v>17</v>
      </c>
      <c r="E454" s="124" t="s">
        <v>1322</v>
      </c>
      <c r="F454" s="124" t="s">
        <v>1323</v>
      </c>
      <c r="G454" s="124" t="s">
        <v>1324</v>
      </c>
      <c r="H454" s="122" t="s">
        <v>1207</v>
      </c>
      <c r="I454" s="123">
        <v>20.925070000000002</v>
      </c>
      <c r="J454" s="123">
        <v>-101.45702</v>
      </c>
      <c r="K454" s="122"/>
      <c r="L454" s="125" t="str">
        <f t="shared" ref="L454:L517" si="24">HYPERLINK("https://www.google.com/maps?q=" &amp; I454 &amp; "," &amp; J454, "Ver en Google Maps")</f>
        <v>Ver en Google Maps</v>
      </c>
      <c r="M454" s="122">
        <v>1</v>
      </c>
      <c r="N454" s="130"/>
      <c r="O454" s="109"/>
      <c r="P454" s="109"/>
      <c r="Q454" s="109"/>
      <c r="R454" s="109"/>
      <c r="S454" s="109"/>
      <c r="T454" s="109"/>
      <c r="U454" s="109"/>
      <c r="V454" s="109"/>
      <c r="W454" s="109"/>
      <c r="X454" s="109"/>
      <c r="Y454" s="109"/>
      <c r="Z454" s="109"/>
      <c r="AA454" s="109"/>
      <c r="AB454" s="109"/>
      <c r="AC454" s="110"/>
      <c r="AD454" s="110"/>
      <c r="AE454" s="109"/>
      <c r="AF454" s="111"/>
    </row>
    <row r="455" spans="1:32" x14ac:dyDescent="0.2">
      <c r="A455" s="112">
        <v>182</v>
      </c>
      <c r="B455" s="113" t="s">
        <v>1204</v>
      </c>
      <c r="C455" s="114" t="s">
        <v>15</v>
      </c>
      <c r="D455" s="114" t="s">
        <v>15</v>
      </c>
      <c r="E455" s="115" t="s">
        <v>1325</v>
      </c>
      <c r="F455" s="115" t="s">
        <v>1326</v>
      </c>
      <c r="G455" s="115" t="s">
        <v>1327</v>
      </c>
      <c r="H455" s="113" t="s">
        <v>1207</v>
      </c>
      <c r="I455" s="114">
        <v>20.980667449721501</v>
      </c>
      <c r="J455" s="114">
        <v>-101.417222256195</v>
      </c>
      <c r="K455" s="113"/>
      <c r="L455" s="116" t="str">
        <f t="shared" si="24"/>
        <v>Ver en Google Maps</v>
      </c>
      <c r="M455" s="113">
        <v>1</v>
      </c>
      <c r="N455" s="129"/>
      <c r="O455" s="118"/>
      <c r="P455" s="118"/>
      <c r="Q455" s="118"/>
      <c r="R455" s="118"/>
      <c r="S455" s="118"/>
      <c r="T455" s="118"/>
      <c r="U455" s="118"/>
      <c r="V455" s="118"/>
      <c r="W455" s="118"/>
      <c r="X455" s="118"/>
      <c r="Y455" s="118"/>
      <c r="Z455" s="118"/>
      <c r="AA455" s="118"/>
      <c r="AB455" s="118"/>
      <c r="AC455" s="119"/>
      <c r="AD455" s="119"/>
      <c r="AE455" s="118"/>
      <c r="AF455" s="120"/>
    </row>
    <row r="456" spans="1:32" x14ac:dyDescent="0.2">
      <c r="A456" s="121">
        <v>183</v>
      </c>
      <c r="B456" s="122" t="s">
        <v>1204</v>
      </c>
      <c r="C456" s="123" t="s">
        <v>17</v>
      </c>
      <c r="D456" s="123" t="s">
        <v>17</v>
      </c>
      <c r="E456" s="124" t="s">
        <v>1238</v>
      </c>
      <c r="F456" s="124" t="s">
        <v>1239</v>
      </c>
      <c r="G456" s="124" t="s">
        <v>1302</v>
      </c>
      <c r="H456" s="122" t="s">
        <v>1207</v>
      </c>
      <c r="I456" s="123">
        <v>20.939589999999999</v>
      </c>
      <c r="J456" s="123">
        <v>-101.4199</v>
      </c>
      <c r="K456" s="122"/>
      <c r="L456" s="125" t="str">
        <f t="shared" si="24"/>
        <v>Ver en Google Maps</v>
      </c>
      <c r="M456" s="122">
        <v>1</v>
      </c>
      <c r="N456" s="130"/>
      <c r="O456" s="109"/>
      <c r="P456" s="109"/>
      <c r="Q456" s="109"/>
      <c r="R456" s="109"/>
      <c r="S456" s="109"/>
      <c r="T456" s="109"/>
      <c r="U456" s="109"/>
      <c r="V456" s="109"/>
      <c r="W456" s="109"/>
      <c r="X456" s="109"/>
      <c r="Y456" s="109"/>
      <c r="Z456" s="109"/>
      <c r="AA456" s="109"/>
      <c r="AB456" s="109"/>
      <c r="AC456" s="110"/>
      <c r="AD456" s="110"/>
      <c r="AE456" s="109"/>
      <c r="AF456" s="111"/>
    </row>
    <row r="457" spans="1:32" x14ac:dyDescent="0.2">
      <c r="A457" s="112">
        <v>184</v>
      </c>
      <c r="B457" s="113" t="s">
        <v>1204</v>
      </c>
      <c r="C457" s="114" t="s">
        <v>17</v>
      </c>
      <c r="D457" s="114" t="s">
        <v>17</v>
      </c>
      <c r="E457" s="115" t="s">
        <v>1240</v>
      </c>
      <c r="F457" s="115" t="s">
        <v>1241</v>
      </c>
      <c r="G457" s="115" t="s">
        <v>979</v>
      </c>
      <c r="H457" s="113" t="s">
        <v>1207</v>
      </c>
      <c r="I457" s="114">
        <v>20.941939999999999</v>
      </c>
      <c r="J457" s="114">
        <v>-101.43971999999999</v>
      </c>
      <c r="K457" s="113"/>
      <c r="L457" s="116" t="str">
        <f t="shared" si="24"/>
        <v>Ver en Google Maps</v>
      </c>
      <c r="M457" s="113">
        <v>1</v>
      </c>
      <c r="N457" s="129"/>
      <c r="O457" s="118"/>
      <c r="P457" s="118"/>
      <c r="Q457" s="118"/>
      <c r="R457" s="118"/>
      <c r="S457" s="118"/>
      <c r="T457" s="118"/>
      <c r="U457" s="118"/>
      <c r="V457" s="118"/>
      <c r="W457" s="118"/>
      <c r="X457" s="118"/>
      <c r="Y457" s="118"/>
      <c r="Z457" s="118"/>
      <c r="AA457" s="118"/>
      <c r="AB457" s="118"/>
      <c r="AC457" s="119"/>
      <c r="AD457" s="119"/>
      <c r="AE457" s="118"/>
      <c r="AF457" s="120"/>
    </row>
    <row r="458" spans="1:32" x14ac:dyDescent="0.2">
      <c r="A458" s="121">
        <v>209</v>
      </c>
      <c r="B458" s="122" t="s">
        <v>1204</v>
      </c>
      <c r="C458" s="123" t="s">
        <v>17</v>
      </c>
      <c r="D458" s="123" t="s">
        <v>17</v>
      </c>
      <c r="E458" s="124" t="s">
        <v>1243</v>
      </c>
      <c r="F458" s="124" t="s">
        <v>1244</v>
      </c>
      <c r="G458" s="124" t="s">
        <v>360</v>
      </c>
      <c r="H458" s="122" t="s">
        <v>1207</v>
      </c>
      <c r="I458" s="123">
        <v>20.94022</v>
      </c>
      <c r="J458" s="123">
        <v>-101.43210999999999</v>
      </c>
      <c r="K458" s="122" t="s">
        <v>139</v>
      </c>
      <c r="L458" s="125" t="str">
        <f t="shared" si="24"/>
        <v>Ver en Google Maps</v>
      </c>
      <c r="M458" s="122">
        <v>1</v>
      </c>
      <c r="N458" s="108"/>
      <c r="O458" s="109">
        <f>DAY('BD2'!$N458)</f>
        <v>0</v>
      </c>
      <c r="P458" s="109">
        <f>MONTH('BD2'!$N458)</f>
        <v>1</v>
      </c>
      <c r="Q458" s="109">
        <f>YEAR('BD2'!$N458)</f>
        <v>1900</v>
      </c>
      <c r="R458" s="109">
        <v>2</v>
      </c>
      <c r="S458" s="109" t="s">
        <v>138</v>
      </c>
      <c r="T458" s="109" t="s">
        <v>138</v>
      </c>
      <c r="U458" s="109" t="s">
        <v>138</v>
      </c>
      <c r="V458" s="109" t="s">
        <v>138</v>
      </c>
      <c r="W458" s="109" t="s">
        <v>138</v>
      </c>
      <c r="X458" s="109" t="s">
        <v>138</v>
      </c>
      <c r="Y458" s="109" t="s">
        <v>138</v>
      </c>
      <c r="Z458" s="109" t="str">
        <f>IF('BD2'!$AA458 &lt; 14, "no", "si")</f>
        <v>no</v>
      </c>
      <c r="AA458" s="109"/>
      <c r="AB458" s="109"/>
      <c r="AC458" s="110" t="s">
        <v>967</v>
      </c>
      <c r="AD458" s="110" t="s">
        <v>1403</v>
      </c>
      <c r="AE458" s="109">
        <f t="shared" ref="AE458:AE516" si="25">COUNTIF(S458:Z458, "si")</f>
        <v>7</v>
      </c>
      <c r="AF458" s="111" t="str">
        <f t="shared" si="23"/>
        <v>Funcional con observaciones</v>
      </c>
    </row>
    <row r="459" spans="1:32" x14ac:dyDescent="0.2">
      <c r="A459" s="112">
        <v>237</v>
      </c>
      <c r="B459" s="113" t="s">
        <v>1204</v>
      </c>
      <c r="C459" s="114" t="s">
        <v>17</v>
      </c>
      <c r="D459" s="114" t="s">
        <v>17</v>
      </c>
      <c r="E459" s="115" t="s">
        <v>1328</v>
      </c>
      <c r="F459" s="115" t="s">
        <v>1329</v>
      </c>
      <c r="G459" s="115" t="s">
        <v>1804</v>
      </c>
      <c r="H459" s="113" t="s">
        <v>1207</v>
      </c>
      <c r="I459" s="114">
        <v>20.95065</v>
      </c>
      <c r="J459" s="114">
        <v>-101.40526</v>
      </c>
      <c r="K459" s="113"/>
      <c r="L459" s="116" t="str">
        <f t="shared" si="24"/>
        <v>Ver en Google Maps</v>
      </c>
      <c r="M459" s="113">
        <v>1</v>
      </c>
      <c r="N459" s="129"/>
      <c r="O459" s="118"/>
      <c r="P459" s="118"/>
      <c r="Q459" s="118"/>
      <c r="R459" s="118"/>
      <c r="S459" s="118"/>
      <c r="T459" s="118"/>
      <c r="U459" s="118"/>
      <c r="V459" s="118"/>
      <c r="W459" s="118"/>
      <c r="X459" s="118"/>
      <c r="Y459" s="118"/>
      <c r="Z459" s="118"/>
      <c r="AA459" s="118"/>
      <c r="AB459" s="118"/>
      <c r="AC459" s="119"/>
      <c r="AD459" s="119"/>
      <c r="AE459" s="118"/>
      <c r="AF459" s="120"/>
    </row>
    <row r="460" spans="1:32" x14ac:dyDescent="0.2">
      <c r="A460" s="121">
        <v>238</v>
      </c>
      <c r="B460" s="122" t="s">
        <v>1204</v>
      </c>
      <c r="C460" s="123" t="s">
        <v>17</v>
      </c>
      <c r="D460" s="123" t="s">
        <v>17</v>
      </c>
      <c r="E460" s="124" t="s">
        <v>1330</v>
      </c>
      <c r="F460" s="124" t="s">
        <v>1331</v>
      </c>
      <c r="G460" s="124" t="s">
        <v>1332</v>
      </c>
      <c r="H460" s="122" t="s">
        <v>1207</v>
      </c>
      <c r="I460" s="123">
        <v>20.92013</v>
      </c>
      <c r="J460" s="123">
        <v>-101.39796</v>
      </c>
      <c r="K460" s="122"/>
      <c r="L460" s="125" t="str">
        <f t="shared" si="24"/>
        <v>Ver en Google Maps</v>
      </c>
      <c r="M460" s="122">
        <v>1</v>
      </c>
      <c r="N460" s="130"/>
      <c r="O460" s="109"/>
      <c r="P460" s="109"/>
      <c r="Q460" s="109"/>
      <c r="R460" s="109"/>
      <c r="S460" s="109"/>
      <c r="T460" s="109"/>
      <c r="U460" s="109"/>
      <c r="V460" s="109"/>
      <c r="W460" s="109"/>
      <c r="X460" s="109"/>
      <c r="Y460" s="109"/>
      <c r="Z460" s="109"/>
      <c r="AA460" s="109"/>
      <c r="AB460" s="109"/>
      <c r="AC460" s="110"/>
      <c r="AD460" s="110"/>
      <c r="AE460" s="109"/>
      <c r="AF460" s="111"/>
    </row>
    <row r="461" spans="1:32" x14ac:dyDescent="0.2">
      <c r="A461" s="112">
        <v>247</v>
      </c>
      <c r="B461" s="113" t="s">
        <v>1204</v>
      </c>
      <c r="C461" s="114" t="s">
        <v>17</v>
      </c>
      <c r="D461" s="114" t="s">
        <v>17</v>
      </c>
      <c r="E461" s="115" t="s">
        <v>1333</v>
      </c>
      <c r="F461" s="115" t="s">
        <v>1334</v>
      </c>
      <c r="G461" s="115" t="s">
        <v>1805</v>
      </c>
      <c r="H461" s="113" t="s">
        <v>1207</v>
      </c>
      <c r="I461" s="114">
        <v>20.931221000000001</v>
      </c>
      <c r="J461" s="114">
        <v>-101.441875</v>
      </c>
      <c r="K461" s="113"/>
      <c r="L461" s="116" t="str">
        <f t="shared" si="24"/>
        <v>Ver en Google Maps</v>
      </c>
      <c r="M461" s="113">
        <v>1</v>
      </c>
      <c r="N461" s="129"/>
      <c r="O461" s="118"/>
      <c r="P461" s="118"/>
      <c r="Q461" s="118"/>
      <c r="R461" s="118"/>
      <c r="S461" s="118"/>
      <c r="T461" s="118"/>
      <c r="U461" s="118"/>
      <c r="V461" s="118"/>
      <c r="W461" s="118"/>
      <c r="X461" s="118"/>
      <c r="Y461" s="118"/>
      <c r="Z461" s="118"/>
      <c r="AA461" s="118"/>
      <c r="AB461" s="118"/>
      <c r="AC461" s="119"/>
      <c r="AD461" s="119"/>
      <c r="AE461" s="118"/>
      <c r="AF461" s="120"/>
    </row>
    <row r="462" spans="1:32" x14ac:dyDescent="0.2">
      <c r="A462" s="121">
        <v>249</v>
      </c>
      <c r="B462" s="122" t="s">
        <v>1204</v>
      </c>
      <c r="C462" s="123" t="s">
        <v>17</v>
      </c>
      <c r="D462" s="123" t="s">
        <v>17</v>
      </c>
      <c r="E462" s="124" t="s">
        <v>1335</v>
      </c>
      <c r="F462" s="124" t="s">
        <v>1336</v>
      </c>
      <c r="G462" s="124" t="s">
        <v>1806</v>
      </c>
      <c r="H462" s="122" t="s">
        <v>1207</v>
      </c>
      <c r="I462" s="123">
        <v>20.909877000000002</v>
      </c>
      <c r="J462" s="123">
        <v>-101.45601499999999</v>
      </c>
      <c r="K462" s="122"/>
      <c r="L462" s="125" t="str">
        <f t="shared" si="24"/>
        <v>Ver en Google Maps</v>
      </c>
      <c r="M462" s="122">
        <v>1</v>
      </c>
      <c r="N462" s="130"/>
      <c r="O462" s="109"/>
      <c r="P462" s="109"/>
      <c r="Q462" s="109"/>
      <c r="R462" s="109"/>
      <c r="S462" s="109"/>
      <c r="T462" s="109"/>
      <c r="U462" s="109"/>
      <c r="V462" s="109"/>
      <c r="W462" s="109"/>
      <c r="X462" s="109"/>
      <c r="Y462" s="109"/>
      <c r="Z462" s="109"/>
      <c r="AA462" s="109"/>
      <c r="AB462" s="109"/>
      <c r="AC462" s="110"/>
      <c r="AD462" s="110"/>
      <c r="AE462" s="109"/>
      <c r="AF462" s="111"/>
    </row>
    <row r="463" spans="1:32" x14ac:dyDescent="0.2">
      <c r="A463" s="112">
        <v>251</v>
      </c>
      <c r="B463" s="113" t="s">
        <v>1204</v>
      </c>
      <c r="C463" s="114" t="s">
        <v>17</v>
      </c>
      <c r="D463" s="114" t="s">
        <v>17</v>
      </c>
      <c r="E463" s="115" t="s">
        <v>1245</v>
      </c>
      <c r="F463" s="115" t="s">
        <v>1246</v>
      </c>
      <c r="G463" s="115" t="s">
        <v>1807</v>
      </c>
      <c r="H463" s="113" t="s">
        <v>1207</v>
      </c>
      <c r="I463" s="114">
        <v>20.953040000000001</v>
      </c>
      <c r="J463" s="114">
        <v>-101.41724000000001</v>
      </c>
      <c r="K463" s="113" t="s">
        <v>139</v>
      </c>
      <c r="L463" s="116" t="str">
        <f t="shared" si="24"/>
        <v>Ver en Google Maps</v>
      </c>
      <c r="M463" s="113">
        <v>1</v>
      </c>
      <c r="N463" s="117"/>
      <c r="O463" s="118">
        <f>DAY('BD2'!$N463)</f>
        <v>0</v>
      </c>
      <c r="P463" s="118">
        <f>MONTH('BD2'!$N463)</f>
        <v>1</v>
      </c>
      <c r="Q463" s="118">
        <f>YEAR('BD2'!$N463)</f>
        <v>1900</v>
      </c>
      <c r="R463" s="118">
        <v>2</v>
      </c>
      <c r="S463" s="118" t="s">
        <v>138</v>
      </c>
      <c r="T463" s="118" t="s">
        <v>138</v>
      </c>
      <c r="U463" s="118" t="s">
        <v>138</v>
      </c>
      <c r="V463" s="118" t="s">
        <v>138</v>
      </c>
      <c r="W463" s="118" t="s">
        <v>138</v>
      </c>
      <c r="X463" s="118" t="s">
        <v>138</v>
      </c>
      <c r="Y463" s="118" t="s">
        <v>138</v>
      </c>
      <c r="Z463" s="118" t="str">
        <f>IF('BD2'!$AA463 &lt; 14, "no", "si")</f>
        <v>no</v>
      </c>
      <c r="AA463" s="118"/>
      <c r="AB463" s="118"/>
      <c r="AC463" s="119" t="s">
        <v>967</v>
      </c>
      <c r="AD463" s="119" t="s">
        <v>1403</v>
      </c>
      <c r="AE463" s="118">
        <f t="shared" si="25"/>
        <v>7</v>
      </c>
      <c r="AF463" s="120" t="str">
        <f t="shared" si="23"/>
        <v>Funcional con observaciones</v>
      </c>
    </row>
    <row r="464" spans="1:32" x14ac:dyDescent="0.2">
      <c r="A464" s="121">
        <v>262</v>
      </c>
      <c r="B464" s="122" t="s">
        <v>1204</v>
      </c>
      <c r="C464" s="123" t="s">
        <v>17</v>
      </c>
      <c r="D464" s="123" t="s">
        <v>17</v>
      </c>
      <c r="E464" s="124" t="s">
        <v>1337</v>
      </c>
      <c r="F464" s="124" t="s">
        <v>1338</v>
      </c>
      <c r="G464" s="124" t="s">
        <v>1145</v>
      </c>
      <c r="H464" s="122" t="s">
        <v>1207</v>
      </c>
      <c r="I464" s="123">
        <v>20.959890000000001</v>
      </c>
      <c r="J464" s="123">
        <v>-101.4337</v>
      </c>
      <c r="K464" s="122" t="s">
        <v>139</v>
      </c>
      <c r="L464" s="125" t="str">
        <f t="shared" si="24"/>
        <v>Ver en Google Maps</v>
      </c>
      <c r="M464" s="122">
        <v>1</v>
      </c>
      <c r="N464" s="108"/>
      <c r="O464" s="109">
        <f>DAY('BD2'!$N464)</f>
        <v>0</v>
      </c>
      <c r="P464" s="109">
        <f>MONTH('BD2'!$N464)</f>
        <v>1</v>
      </c>
      <c r="Q464" s="109">
        <f>YEAR('BD2'!$N464)</f>
        <v>1900</v>
      </c>
      <c r="R464" s="109">
        <v>2</v>
      </c>
      <c r="S464" s="109" t="s">
        <v>138</v>
      </c>
      <c r="T464" s="109" t="s">
        <v>138</v>
      </c>
      <c r="U464" s="109" t="s">
        <v>138</v>
      </c>
      <c r="V464" s="109" t="s">
        <v>138</v>
      </c>
      <c r="W464" s="109" t="s">
        <v>138</v>
      </c>
      <c r="X464" s="109" t="s">
        <v>138</v>
      </c>
      <c r="Y464" s="109" t="s">
        <v>138</v>
      </c>
      <c r="Z464" s="109" t="str">
        <f>IF('BD2'!$AA464 &lt; 14, "no", "si")</f>
        <v>no</v>
      </c>
      <c r="AA464" s="109"/>
      <c r="AB464" s="109"/>
      <c r="AC464" s="110" t="s">
        <v>967</v>
      </c>
      <c r="AD464" s="110" t="s">
        <v>1403</v>
      </c>
      <c r="AE464" s="109">
        <f t="shared" si="25"/>
        <v>7</v>
      </c>
      <c r="AF464" s="111" t="str">
        <f t="shared" si="23"/>
        <v>Funcional con observaciones</v>
      </c>
    </row>
    <row r="465" spans="1:32" x14ac:dyDescent="0.2">
      <c r="A465" s="112">
        <v>263</v>
      </c>
      <c r="B465" s="113" t="s">
        <v>1204</v>
      </c>
      <c r="C465" s="114" t="s">
        <v>17</v>
      </c>
      <c r="D465" s="114" t="s">
        <v>17</v>
      </c>
      <c r="E465" s="115" t="s">
        <v>1339</v>
      </c>
      <c r="F465" s="115" t="s">
        <v>1340</v>
      </c>
      <c r="G465" s="115" t="s">
        <v>1808</v>
      </c>
      <c r="H465" s="113" t="s">
        <v>1207</v>
      </c>
      <c r="I465" s="114">
        <v>20.949940000000002</v>
      </c>
      <c r="J465" s="114">
        <v>-101.43789</v>
      </c>
      <c r="K465" s="113"/>
      <c r="L465" s="116" t="str">
        <f t="shared" si="24"/>
        <v>Ver en Google Maps</v>
      </c>
      <c r="M465" s="113">
        <v>1</v>
      </c>
      <c r="N465" s="129"/>
      <c r="O465" s="118"/>
      <c r="P465" s="118"/>
      <c r="Q465" s="118"/>
      <c r="R465" s="118"/>
      <c r="S465" s="118"/>
      <c r="T465" s="118"/>
      <c r="U465" s="118"/>
      <c r="V465" s="118"/>
      <c r="W465" s="118"/>
      <c r="X465" s="118"/>
      <c r="Y465" s="118"/>
      <c r="Z465" s="118"/>
      <c r="AA465" s="118"/>
      <c r="AB465" s="118"/>
      <c r="AC465" s="119"/>
      <c r="AD465" s="119"/>
      <c r="AE465" s="118"/>
      <c r="AF465" s="120"/>
    </row>
    <row r="466" spans="1:32" x14ac:dyDescent="0.2">
      <c r="A466" s="121">
        <v>300</v>
      </c>
      <c r="B466" s="122" t="s">
        <v>1204</v>
      </c>
      <c r="C466" s="123" t="s">
        <v>16</v>
      </c>
      <c r="D466" s="123" t="s">
        <v>16</v>
      </c>
      <c r="E466" s="124" t="s">
        <v>1247</v>
      </c>
      <c r="F466" s="124" t="s">
        <v>1248</v>
      </c>
      <c r="G466" s="124" t="s">
        <v>1809</v>
      </c>
      <c r="H466" s="122" t="s">
        <v>1207</v>
      </c>
      <c r="I466" s="123">
        <v>20.95147</v>
      </c>
      <c r="J466" s="123">
        <v>-101.41773999999999</v>
      </c>
      <c r="K466" s="122" t="s">
        <v>139</v>
      </c>
      <c r="L466" s="125" t="str">
        <f t="shared" si="24"/>
        <v>Ver en Google Maps</v>
      </c>
      <c r="M466" s="122">
        <v>1</v>
      </c>
      <c r="N466" s="108"/>
      <c r="O466" s="109">
        <f>DAY('BD2'!$N466)</f>
        <v>0</v>
      </c>
      <c r="P466" s="109">
        <f>MONTH('BD2'!$N466)</f>
        <v>1</v>
      </c>
      <c r="Q466" s="109">
        <f>YEAR('BD2'!$N466)</f>
        <v>1900</v>
      </c>
      <c r="R466" s="109">
        <v>2</v>
      </c>
      <c r="S466" s="109" t="s">
        <v>138</v>
      </c>
      <c r="T466" s="109" t="s">
        <v>138</v>
      </c>
      <c r="U466" s="109" t="s">
        <v>138</v>
      </c>
      <c r="V466" s="109" t="s">
        <v>138</v>
      </c>
      <c r="W466" s="109" t="s">
        <v>138</v>
      </c>
      <c r="X466" s="109" t="s">
        <v>138</v>
      </c>
      <c r="Y466" s="109" t="s">
        <v>138</v>
      </c>
      <c r="Z466" s="109" t="str">
        <f>IF('BD2'!$AA466 &lt; 14, "no", "si")</f>
        <v>no</v>
      </c>
      <c r="AA466" s="109"/>
      <c r="AB466" s="109"/>
      <c r="AC466" s="110" t="s">
        <v>1407</v>
      </c>
      <c r="AD466" s="110" t="s">
        <v>1403</v>
      </c>
      <c r="AE466" s="109">
        <f t="shared" si="25"/>
        <v>7</v>
      </c>
      <c r="AF466" s="111" t="str">
        <f t="shared" si="23"/>
        <v>Funcional con observaciones</v>
      </c>
    </row>
    <row r="467" spans="1:32" x14ac:dyDescent="0.2">
      <c r="A467" s="112">
        <v>301</v>
      </c>
      <c r="B467" s="113" t="s">
        <v>1204</v>
      </c>
      <c r="C467" s="114" t="s">
        <v>16</v>
      </c>
      <c r="D467" s="114" t="s">
        <v>16</v>
      </c>
      <c r="E467" s="115" t="s">
        <v>1249</v>
      </c>
      <c r="F467" s="115" t="s">
        <v>1250</v>
      </c>
      <c r="G467" s="115" t="s">
        <v>1802</v>
      </c>
      <c r="H467" s="113" t="s">
        <v>1207</v>
      </c>
      <c r="I467" s="114">
        <v>20.938289999999999</v>
      </c>
      <c r="J467" s="114">
        <v>-101.42421</v>
      </c>
      <c r="K467" s="113" t="s">
        <v>139</v>
      </c>
      <c r="L467" s="116" t="str">
        <f t="shared" si="24"/>
        <v>Ver en Google Maps</v>
      </c>
      <c r="M467" s="113">
        <v>1</v>
      </c>
      <c r="N467" s="117"/>
      <c r="O467" s="118">
        <f>DAY('BD2'!$N467)</f>
        <v>0</v>
      </c>
      <c r="P467" s="118">
        <f>MONTH('BD2'!$N467)</f>
        <v>1</v>
      </c>
      <c r="Q467" s="118">
        <f>YEAR('BD2'!$N467)</f>
        <v>1900</v>
      </c>
      <c r="R467" s="118">
        <v>2</v>
      </c>
      <c r="S467" s="118" t="s">
        <v>138</v>
      </c>
      <c r="T467" s="118" t="s">
        <v>138</v>
      </c>
      <c r="U467" s="118" t="s">
        <v>138</v>
      </c>
      <c r="V467" s="118" t="s">
        <v>138</v>
      </c>
      <c r="W467" s="118" t="s">
        <v>138</v>
      </c>
      <c r="X467" s="118" t="s">
        <v>138</v>
      </c>
      <c r="Y467" s="118" t="s">
        <v>138</v>
      </c>
      <c r="Z467" s="118" t="str">
        <f>IF('BD2'!$AA467 &lt; 14, "no", "si")</f>
        <v>no</v>
      </c>
      <c r="AA467" s="118"/>
      <c r="AB467" s="118"/>
      <c r="AC467" s="119" t="s">
        <v>967</v>
      </c>
      <c r="AD467" s="119" t="s">
        <v>1403</v>
      </c>
      <c r="AE467" s="118">
        <f t="shared" si="25"/>
        <v>7</v>
      </c>
      <c r="AF467" s="120" t="str">
        <f t="shared" si="23"/>
        <v>Funcional con observaciones</v>
      </c>
    </row>
    <row r="468" spans="1:32" x14ac:dyDescent="0.2">
      <c r="A468" s="121">
        <v>302</v>
      </c>
      <c r="B468" s="122" t="s">
        <v>1204</v>
      </c>
      <c r="C468" s="123" t="s">
        <v>16</v>
      </c>
      <c r="D468" s="123" t="s">
        <v>16</v>
      </c>
      <c r="E468" s="124" t="s">
        <v>1251</v>
      </c>
      <c r="F468" s="124" t="s">
        <v>1252</v>
      </c>
      <c r="G468" s="124" t="s">
        <v>1801</v>
      </c>
      <c r="H468" s="122" t="s">
        <v>1207</v>
      </c>
      <c r="I468" s="123">
        <v>20.94585</v>
      </c>
      <c r="J468" s="123">
        <v>-101.42771</v>
      </c>
      <c r="K468" s="122" t="s">
        <v>139</v>
      </c>
      <c r="L468" s="125" t="str">
        <f t="shared" si="24"/>
        <v>Ver en Google Maps</v>
      </c>
      <c r="M468" s="122">
        <v>1</v>
      </c>
      <c r="N468" s="108"/>
      <c r="O468" s="109">
        <f>DAY('BD2'!$N468)</f>
        <v>0</v>
      </c>
      <c r="P468" s="109">
        <f>MONTH('BD2'!$N468)</f>
        <v>1</v>
      </c>
      <c r="Q468" s="109">
        <f>YEAR('BD2'!$N468)</f>
        <v>1900</v>
      </c>
      <c r="R468" s="109">
        <v>2</v>
      </c>
      <c r="S468" s="109" t="s">
        <v>138</v>
      </c>
      <c r="T468" s="109" t="s">
        <v>138</v>
      </c>
      <c r="U468" s="109" t="s">
        <v>138</v>
      </c>
      <c r="V468" s="109" t="s">
        <v>138</v>
      </c>
      <c r="W468" s="109" t="s">
        <v>138</v>
      </c>
      <c r="X468" s="109" t="s">
        <v>138</v>
      </c>
      <c r="Y468" s="109" t="s">
        <v>138</v>
      </c>
      <c r="Z468" s="109" t="str">
        <f>IF('BD2'!$AA468 &lt; 14, "no", "si")</f>
        <v>no</v>
      </c>
      <c r="AA468" s="109"/>
      <c r="AB468" s="109"/>
      <c r="AC468" s="110" t="s">
        <v>1409</v>
      </c>
      <c r="AD468" s="110" t="s">
        <v>1403</v>
      </c>
      <c r="AE468" s="109">
        <f t="shared" si="25"/>
        <v>7</v>
      </c>
      <c r="AF468" s="111" t="str">
        <f t="shared" si="23"/>
        <v>Funcional con observaciones</v>
      </c>
    </row>
    <row r="469" spans="1:32" x14ac:dyDescent="0.2">
      <c r="A469" s="112">
        <v>303</v>
      </c>
      <c r="B469" s="113" t="s">
        <v>1204</v>
      </c>
      <c r="C469" s="114" t="s">
        <v>16</v>
      </c>
      <c r="D469" s="114" t="s">
        <v>16</v>
      </c>
      <c r="E469" s="115" t="s">
        <v>1253</v>
      </c>
      <c r="F469" s="115" t="s">
        <v>1254</v>
      </c>
      <c r="G469" s="115" t="s">
        <v>1810</v>
      </c>
      <c r="H469" s="113" t="s">
        <v>1207</v>
      </c>
      <c r="I469" s="114">
        <v>20.946300000000001</v>
      </c>
      <c r="J469" s="114">
        <v>-101.42281</v>
      </c>
      <c r="K469" s="113" t="s">
        <v>139</v>
      </c>
      <c r="L469" s="116" t="str">
        <f t="shared" si="24"/>
        <v>Ver en Google Maps</v>
      </c>
      <c r="M469" s="113">
        <v>1</v>
      </c>
      <c r="N469" s="117"/>
      <c r="O469" s="118">
        <f>DAY('BD2'!$N469)</f>
        <v>0</v>
      </c>
      <c r="P469" s="118">
        <f>MONTH('BD2'!$N469)</f>
        <v>1</v>
      </c>
      <c r="Q469" s="118">
        <f>YEAR('BD2'!$N469)</f>
        <v>1900</v>
      </c>
      <c r="R469" s="118">
        <v>2</v>
      </c>
      <c r="S469" s="118" t="s">
        <v>138</v>
      </c>
      <c r="T469" s="118" t="s">
        <v>138</v>
      </c>
      <c r="U469" s="118" t="s">
        <v>138</v>
      </c>
      <c r="V469" s="118" t="s">
        <v>138</v>
      </c>
      <c r="W469" s="118" t="s">
        <v>138</v>
      </c>
      <c r="X469" s="118" t="s">
        <v>138</v>
      </c>
      <c r="Y469" s="118" t="s">
        <v>138</v>
      </c>
      <c r="Z469" s="118" t="str">
        <f>IF('BD2'!$AA469 &lt; 14, "no", "si")</f>
        <v>no</v>
      </c>
      <c r="AA469" s="118"/>
      <c r="AB469" s="118"/>
      <c r="AC469" s="119" t="s">
        <v>1416</v>
      </c>
      <c r="AD469" s="119" t="s">
        <v>1403</v>
      </c>
      <c r="AE469" s="118">
        <f t="shared" si="25"/>
        <v>7</v>
      </c>
      <c r="AF469" s="120" t="str">
        <f t="shared" si="23"/>
        <v>Funcional con observaciones</v>
      </c>
    </row>
    <row r="470" spans="1:32" x14ac:dyDescent="0.2">
      <c r="A470" s="121">
        <v>304</v>
      </c>
      <c r="B470" s="122" t="s">
        <v>1204</v>
      </c>
      <c r="C470" s="123" t="s">
        <v>16</v>
      </c>
      <c r="D470" s="123" t="s">
        <v>16</v>
      </c>
      <c r="E470" s="124" t="s">
        <v>1341</v>
      </c>
      <c r="F470" s="124" t="s">
        <v>1342</v>
      </c>
      <c r="G470" s="124" t="s">
        <v>1343</v>
      </c>
      <c r="H470" s="122" t="s">
        <v>1207</v>
      </c>
      <c r="I470" s="123">
        <v>20.975248000000001</v>
      </c>
      <c r="J470" s="123">
        <v>-101.450175</v>
      </c>
      <c r="K470" s="122"/>
      <c r="L470" s="125" t="str">
        <f t="shared" si="24"/>
        <v>Ver en Google Maps</v>
      </c>
      <c r="M470" s="122">
        <v>1</v>
      </c>
      <c r="N470" s="130"/>
      <c r="O470" s="109"/>
      <c r="P470" s="109"/>
      <c r="Q470" s="109"/>
      <c r="R470" s="109"/>
      <c r="S470" s="109"/>
      <c r="T470" s="109"/>
      <c r="U470" s="109"/>
      <c r="V470" s="109"/>
      <c r="W470" s="109"/>
      <c r="X470" s="109"/>
      <c r="Y470" s="109"/>
      <c r="Z470" s="109"/>
      <c r="AA470" s="109"/>
      <c r="AB470" s="109"/>
      <c r="AC470" s="110"/>
      <c r="AD470" s="110"/>
      <c r="AE470" s="109"/>
      <c r="AF470" s="111"/>
    </row>
    <row r="471" spans="1:32" x14ac:dyDescent="0.2">
      <c r="A471" s="112">
        <v>310</v>
      </c>
      <c r="B471" s="113" t="s">
        <v>1204</v>
      </c>
      <c r="C471" s="114" t="s">
        <v>16</v>
      </c>
      <c r="D471" s="114" t="s">
        <v>16</v>
      </c>
      <c r="E471" s="115" t="s">
        <v>1255</v>
      </c>
      <c r="F471" s="115" t="s">
        <v>1256</v>
      </c>
      <c r="G471" s="115" t="s">
        <v>1257</v>
      </c>
      <c r="H471" s="113" t="s">
        <v>1207</v>
      </c>
      <c r="I471" s="114">
        <v>20.948979999999999</v>
      </c>
      <c r="J471" s="114">
        <v>-101.41598</v>
      </c>
      <c r="K471" s="113"/>
      <c r="L471" s="116" t="str">
        <f t="shared" si="24"/>
        <v>Ver en Google Maps</v>
      </c>
      <c r="M471" s="113">
        <v>1</v>
      </c>
      <c r="N471" s="129"/>
      <c r="O471" s="118"/>
      <c r="P471" s="118"/>
      <c r="Q471" s="118"/>
      <c r="R471" s="118"/>
      <c r="S471" s="118"/>
      <c r="T471" s="118"/>
      <c r="U471" s="118"/>
      <c r="V471" s="118"/>
      <c r="W471" s="118"/>
      <c r="X471" s="118"/>
      <c r="Y471" s="118"/>
      <c r="Z471" s="118"/>
      <c r="AA471" s="118"/>
      <c r="AB471" s="118"/>
      <c r="AC471" s="119"/>
      <c r="AD471" s="119"/>
      <c r="AE471" s="118"/>
      <c r="AF471" s="120"/>
    </row>
    <row r="472" spans="1:32" x14ac:dyDescent="0.2">
      <c r="A472" s="121">
        <v>324</v>
      </c>
      <c r="B472" s="122" t="s">
        <v>1204</v>
      </c>
      <c r="C472" s="123" t="s">
        <v>16</v>
      </c>
      <c r="D472" s="123" t="s">
        <v>16</v>
      </c>
      <c r="E472" s="124" t="s">
        <v>1258</v>
      </c>
      <c r="F472" s="124" t="s">
        <v>1259</v>
      </c>
      <c r="G472" s="124" t="s">
        <v>1811</v>
      </c>
      <c r="H472" s="122" t="s">
        <v>1207</v>
      </c>
      <c r="I472" s="123">
        <v>20.93486</v>
      </c>
      <c r="J472" s="123">
        <v>-101.42997</v>
      </c>
      <c r="K472" s="122" t="s">
        <v>139</v>
      </c>
      <c r="L472" s="125" t="str">
        <f t="shared" si="24"/>
        <v>Ver en Google Maps</v>
      </c>
      <c r="M472" s="122">
        <v>1</v>
      </c>
      <c r="N472" s="108"/>
      <c r="O472" s="109">
        <f>DAY('BD2'!$N472)</f>
        <v>0</v>
      </c>
      <c r="P472" s="109">
        <f>MONTH('BD2'!$N472)</f>
        <v>1</v>
      </c>
      <c r="Q472" s="109">
        <f>YEAR('BD2'!$N472)</f>
        <v>1900</v>
      </c>
      <c r="R472" s="109">
        <v>2</v>
      </c>
      <c r="S472" s="109" t="s">
        <v>138</v>
      </c>
      <c r="T472" s="109" t="s">
        <v>138</v>
      </c>
      <c r="U472" s="109" t="s">
        <v>138</v>
      </c>
      <c r="V472" s="109" t="s">
        <v>138</v>
      </c>
      <c r="W472" s="109" t="s">
        <v>138</v>
      </c>
      <c r="X472" s="109" t="s">
        <v>138</v>
      </c>
      <c r="Y472" s="109" t="s">
        <v>138</v>
      </c>
      <c r="Z472" s="109" t="str">
        <f>IF('BD2'!$AA472 &lt; 14, "no", "si")</f>
        <v>no</v>
      </c>
      <c r="AA472" s="109"/>
      <c r="AB472" s="109"/>
      <c r="AC472" s="110" t="s">
        <v>967</v>
      </c>
      <c r="AD472" s="110" t="s">
        <v>1403</v>
      </c>
      <c r="AE472" s="109">
        <f t="shared" si="25"/>
        <v>7</v>
      </c>
      <c r="AF472" s="111" t="str">
        <f t="shared" si="23"/>
        <v>Funcional con observaciones</v>
      </c>
    </row>
    <row r="473" spans="1:32" x14ac:dyDescent="0.2">
      <c r="A473" s="112">
        <v>373</v>
      </c>
      <c r="B473" s="113" t="s">
        <v>1204</v>
      </c>
      <c r="C473" s="114" t="s">
        <v>16</v>
      </c>
      <c r="D473" s="114" t="s">
        <v>16</v>
      </c>
      <c r="E473" s="115" t="s">
        <v>1260</v>
      </c>
      <c r="F473" s="115" t="s">
        <v>1261</v>
      </c>
      <c r="G473" s="115" t="s">
        <v>1800</v>
      </c>
      <c r="H473" s="113" t="s">
        <v>1207</v>
      </c>
      <c r="I473" s="114">
        <v>20.962299999999999</v>
      </c>
      <c r="J473" s="114">
        <v>-101.41929</v>
      </c>
      <c r="K473" s="113" t="s">
        <v>139</v>
      </c>
      <c r="L473" s="116" t="str">
        <f t="shared" si="24"/>
        <v>Ver en Google Maps</v>
      </c>
      <c r="M473" s="113">
        <v>1</v>
      </c>
      <c r="N473" s="117"/>
      <c r="O473" s="118">
        <f>DAY('BD2'!$N473)</f>
        <v>0</v>
      </c>
      <c r="P473" s="118">
        <f>MONTH('BD2'!$N473)</f>
        <v>1</v>
      </c>
      <c r="Q473" s="118">
        <f>YEAR('BD2'!$N473)</f>
        <v>1900</v>
      </c>
      <c r="R473" s="118">
        <v>2</v>
      </c>
      <c r="S473" s="118" t="s">
        <v>138</v>
      </c>
      <c r="T473" s="118" t="s">
        <v>138</v>
      </c>
      <c r="U473" s="118" t="s">
        <v>138</v>
      </c>
      <c r="V473" s="118" t="s">
        <v>138</v>
      </c>
      <c r="W473" s="118" t="s">
        <v>138</v>
      </c>
      <c r="X473" s="118" t="s">
        <v>138</v>
      </c>
      <c r="Y473" s="118" t="s">
        <v>138</v>
      </c>
      <c r="Z473" s="118" t="str">
        <f>IF('BD2'!$AA473 &lt; 14, "no", "si")</f>
        <v>no</v>
      </c>
      <c r="AA473" s="118"/>
      <c r="AB473" s="118"/>
      <c r="AC473" s="119" t="s">
        <v>1404</v>
      </c>
      <c r="AD473" s="119" t="s">
        <v>1403</v>
      </c>
      <c r="AE473" s="118">
        <f t="shared" si="25"/>
        <v>7</v>
      </c>
      <c r="AF473" s="120" t="str">
        <f t="shared" si="23"/>
        <v>Funcional con observaciones</v>
      </c>
    </row>
    <row r="474" spans="1:32" x14ac:dyDescent="0.2">
      <c r="A474" s="121">
        <v>374</v>
      </c>
      <c r="B474" s="122" t="s">
        <v>1204</v>
      </c>
      <c r="C474" s="123" t="s">
        <v>16</v>
      </c>
      <c r="D474" s="123" t="s">
        <v>16</v>
      </c>
      <c r="E474" s="124" t="s">
        <v>1262</v>
      </c>
      <c r="F474" s="124" t="s">
        <v>1263</v>
      </c>
      <c r="G474" s="124" t="s">
        <v>1801</v>
      </c>
      <c r="H474" s="122" t="s">
        <v>1207</v>
      </c>
      <c r="I474" s="123">
        <v>20.945319999999999</v>
      </c>
      <c r="J474" s="123">
        <v>-101.43312</v>
      </c>
      <c r="K474" s="122"/>
      <c r="L474" s="125" t="str">
        <f t="shared" si="24"/>
        <v>Ver en Google Maps</v>
      </c>
      <c r="M474" s="122">
        <v>1</v>
      </c>
      <c r="N474" s="130"/>
      <c r="O474" s="109"/>
      <c r="P474" s="109"/>
      <c r="Q474" s="109"/>
      <c r="R474" s="109"/>
      <c r="S474" s="109"/>
      <c r="T474" s="109"/>
      <c r="U474" s="109"/>
      <c r="V474" s="109"/>
      <c r="W474" s="109"/>
      <c r="X474" s="109"/>
      <c r="Y474" s="109"/>
      <c r="Z474" s="109"/>
      <c r="AA474" s="109"/>
      <c r="AB474" s="109"/>
      <c r="AC474" s="110"/>
      <c r="AD474" s="110"/>
      <c r="AE474" s="109"/>
      <c r="AF474" s="111"/>
    </row>
    <row r="475" spans="1:32" x14ac:dyDescent="0.2">
      <c r="A475" s="112">
        <v>376</v>
      </c>
      <c r="B475" s="113" t="s">
        <v>1204</v>
      </c>
      <c r="C475" s="114" t="s">
        <v>16</v>
      </c>
      <c r="D475" s="114" t="s">
        <v>16</v>
      </c>
      <c r="E475" s="115" t="s">
        <v>1264</v>
      </c>
      <c r="F475" s="115" t="s">
        <v>1265</v>
      </c>
      <c r="G475" s="115" t="s">
        <v>979</v>
      </c>
      <c r="H475" s="113" t="s">
        <v>1207</v>
      </c>
      <c r="I475" s="114">
        <v>20.942889999999998</v>
      </c>
      <c r="J475" s="114">
        <v>-101.43875</v>
      </c>
      <c r="K475" s="113"/>
      <c r="L475" s="116" t="str">
        <f t="shared" si="24"/>
        <v>Ver en Google Maps</v>
      </c>
      <c r="M475" s="113">
        <v>1</v>
      </c>
      <c r="N475" s="129"/>
      <c r="O475" s="118"/>
      <c r="P475" s="118"/>
      <c r="Q475" s="118"/>
      <c r="R475" s="118"/>
      <c r="S475" s="118"/>
      <c r="T475" s="118"/>
      <c r="U475" s="118"/>
      <c r="V475" s="118"/>
      <c r="W475" s="118"/>
      <c r="X475" s="118"/>
      <c r="Y475" s="118"/>
      <c r="Z475" s="118"/>
      <c r="AA475" s="118"/>
      <c r="AB475" s="118"/>
      <c r="AC475" s="119"/>
      <c r="AD475" s="119"/>
      <c r="AE475" s="118"/>
      <c r="AF475" s="120"/>
    </row>
    <row r="476" spans="1:32" x14ac:dyDescent="0.2">
      <c r="A476" s="121">
        <v>414</v>
      </c>
      <c r="B476" s="122" t="s">
        <v>1204</v>
      </c>
      <c r="C476" s="123" t="s">
        <v>16</v>
      </c>
      <c r="D476" s="123" t="s">
        <v>16</v>
      </c>
      <c r="E476" s="124" t="s">
        <v>1344</v>
      </c>
      <c r="F476" s="124" t="s">
        <v>1345</v>
      </c>
      <c r="G476" s="124" t="s">
        <v>1346</v>
      </c>
      <c r="H476" s="122" t="s">
        <v>1207</v>
      </c>
      <c r="I476" s="123">
        <v>20.933350000000001</v>
      </c>
      <c r="J476" s="123">
        <v>-101.44937</v>
      </c>
      <c r="K476" s="122"/>
      <c r="L476" s="125" t="str">
        <f t="shared" si="24"/>
        <v>Ver en Google Maps</v>
      </c>
      <c r="M476" s="122">
        <v>1</v>
      </c>
      <c r="N476" s="130"/>
      <c r="O476" s="109"/>
      <c r="P476" s="109"/>
      <c r="Q476" s="109"/>
      <c r="R476" s="109"/>
      <c r="S476" s="109"/>
      <c r="T476" s="109"/>
      <c r="U476" s="109"/>
      <c r="V476" s="109"/>
      <c r="W476" s="109"/>
      <c r="X476" s="109"/>
      <c r="Y476" s="109"/>
      <c r="Z476" s="109"/>
      <c r="AA476" s="109"/>
      <c r="AB476" s="109"/>
      <c r="AC476" s="110"/>
      <c r="AD476" s="110"/>
      <c r="AE476" s="109"/>
      <c r="AF476" s="111"/>
    </row>
    <row r="477" spans="1:32" x14ac:dyDescent="0.2">
      <c r="A477" s="112">
        <v>441</v>
      </c>
      <c r="B477" s="113" t="s">
        <v>1204</v>
      </c>
      <c r="C477" s="114" t="s">
        <v>15</v>
      </c>
      <c r="D477" s="114" t="s">
        <v>15</v>
      </c>
      <c r="E477" s="115" t="s">
        <v>1266</v>
      </c>
      <c r="F477" s="115" t="s">
        <v>1267</v>
      </c>
      <c r="G477" s="115" t="s">
        <v>1812</v>
      </c>
      <c r="H477" s="113" t="s">
        <v>1207</v>
      </c>
      <c r="I477" s="114">
        <v>20.960056999999999</v>
      </c>
      <c r="J477" s="114">
        <v>-101.42662199999999</v>
      </c>
      <c r="K477" s="113" t="s">
        <v>139</v>
      </c>
      <c r="L477" s="116" t="str">
        <f t="shared" si="24"/>
        <v>Ver en Google Maps</v>
      </c>
      <c r="M477" s="113">
        <v>2</v>
      </c>
      <c r="N477" s="117"/>
      <c r="O477" s="118">
        <f>DAY('BD2'!$N477)</f>
        <v>0</v>
      </c>
      <c r="P477" s="118">
        <f>MONTH('BD2'!$N477)</f>
        <v>1</v>
      </c>
      <c r="Q477" s="118">
        <f>YEAR('BD2'!$N477)</f>
        <v>1900</v>
      </c>
      <c r="R477" s="118">
        <v>2</v>
      </c>
      <c r="S477" s="118" t="s">
        <v>138</v>
      </c>
      <c r="T477" s="118" t="s">
        <v>138</v>
      </c>
      <c r="U477" s="118" t="s">
        <v>138</v>
      </c>
      <c r="V477" s="118" t="s">
        <v>138</v>
      </c>
      <c r="W477" s="118" t="s">
        <v>138</v>
      </c>
      <c r="X477" s="118" t="s">
        <v>138</v>
      </c>
      <c r="Y477" s="118" t="s">
        <v>138</v>
      </c>
      <c r="Z477" s="118" t="str">
        <f>IF('BD2'!$AA477 &lt; 14, "no", "si")</f>
        <v>no</v>
      </c>
      <c r="AA477" s="118"/>
      <c r="AB477" s="118"/>
      <c r="AC477" s="119" t="s">
        <v>967</v>
      </c>
      <c r="AD477" s="119" t="s">
        <v>1403</v>
      </c>
      <c r="AE477" s="118">
        <f t="shared" si="25"/>
        <v>7</v>
      </c>
      <c r="AF477" s="120" t="str">
        <f t="shared" si="23"/>
        <v>Funcional con observaciones</v>
      </c>
    </row>
    <row r="478" spans="1:32" x14ac:dyDescent="0.2">
      <c r="A478" s="121">
        <v>444</v>
      </c>
      <c r="B478" s="122" t="s">
        <v>1204</v>
      </c>
      <c r="C478" s="123" t="s">
        <v>16</v>
      </c>
      <c r="D478" s="123" t="s">
        <v>16</v>
      </c>
      <c r="E478" s="124" t="s">
        <v>1268</v>
      </c>
      <c r="F478" s="124" t="s">
        <v>1269</v>
      </c>
      <c r="G478" s="124" t="s">
        <v>1813</v>
      </c>
      <c r="H478" s="122" t="s">
        <v>1207</v>
      </c>
      <c r="I478" s="123">
        <v>20.94961</v>
      </c>
      <c r="J478" s="123">
        <v>-101.42922</v>
      </c>
      <c r="K478" s="122" t="s">
        <v>139</v>
      </c>
      <c r="L478" s="125" t="str">
        <f t="shared" si="24"/>
        <v>Ver en Google Maps</v>
      </c>
      <c r="M478" s="122">
        <v>1</v>
      </c>
      <c r="N478" s="108"/>
      <c r="O478" s="109">
        <f>DAY('BD2'!$N478)</f>
        <v>0</v>
      </c>
      <c r="P478" s="109">
        <f>MONTH('BD2'!$N478)</f>
        <v>1</v>
      </c>
      <c r="Q478" s="109">
        <f>YEAR('BD2'!$N478)</f>
        <v>1900</v>
      </c>
      <c r="R478" s="109">
        <v>2</v>
      </c>
      <c r="S478" s="109" t="s">
        <v>138</v>
      </c>
      <c r="T478" s="109" t="s">
        <v>138</v>
      </c>
      <c r="U478" s="109" t="s">
        <v>138</v>
      </c>
      <c r="V478" s="109" t="s">
        <v>138</v>
      </c>
      <c r="W478" s="109" t="s">
        <v>138</v>
      </c>
      <c r="X478" s="109" t="s">
        <v>138</v>
      </c>
      <c r="Y478" s="109" t="s">
        <v>138</v>
      </c>
      <c r="Z478" s="109" t="str">
        <f>IF('BD2'!$AA478 &lt; 14, "no", "si")</f>
        <v>no</v>
      </c>
      <c r="AA478" s="109"/>
      <c r="AB478" s="109"/>
      <c r="AC478" s="110" t="s">
        <v>967</v>
      </c>
      <c r="AD478" s="110" t="s">
        <v>1403</v>
      </c>
      <c r="AE478" s="109">
        <f t="shared" si="25"/>
        <v>7</v>
      </c>
      <c r="AF478" s="111" t="str">
        <f t="shared" si="23"/>
        <v>Funcional con observaciones</v>
      </c>
    </row>
    <row r="479" spans="1:32" x14ac:dyDescent="0.2">
      <c r="A479" s="112">
        <v>449</v>
      </c>
      <c r="B479" s="113" t="s">
        <v>1204</v>
      </c>
      <c r="C479" s="114" t="s">
        <v>16</v>
      </c>
      <c r="D479" s="114" t="s">
        <v>16</v>
      </c>
      <c r="E479" s="115" t="s">
        <v>1347</v>
      </c>
      <c r="F479" s="115" t="s">
        <v>1348</v>
      </c>
      <c r="G479" s="115" t="s">
        <v>1814</v>
      </c>
      <c r="H479" s="113" t="s">
        <v>1207</v>
      </c>
      <c r="I479" s="114">
        <v>20.951160000000002</v>
      </c>
      <c r="J479" s="114">
        <v>-101.40461999999999</v>
      </c>
      <c r="K479" s="113"/>
      <c r="L479" s="116" t="str">
        <f t="shared" si="24"/>
        <v>Ver en Google Maps</v>
      </c>
      <c r="M479" s="113">
        <v>1</v>
      </c>
      <c r="N479" s="129"/>
      <c r="O479" s="118"/>
      <c r="P479" s="118"/>
      <c r="Q479" s="118"/>
      <c r="R479" s="118"/>
      <c r="S479" s="118"/>
      <c r="T479" s="118"/>
      <c r="U479" s="118"/>
      <c r="V479" s="118"/>
      <c r="W479" s="118"/>
      <c r="X479" s="118"/>
      <c r="Y479" s="118"/>
      <c r="Z479" s="118"/>
      <c r="AA479" s="118"/>
      <c r="AB479" s="118"/>
      <c r="AC479" s="119"/>
      <c r="AD479" s="119"/>
      <c r="AE479" s="118"/>
      <c r="AF479" s="120"/>
    </row>
    <row r="480" spans="1:32" x14ac:dyDescent="0.2">
      <c r="A480" s="121">
        <v>474</v>
      </c>
      <c r="B480" s="122" t="s">
        <v>1204</v>
      </c>
      <c r="C480" s="123" t="s">
        <v>16</v>
      </c>
      <c r="D480" s="123" t="s">
        <v>16</v>
      </c>
      <c r="E480" s="124" t="s">
        <v>1349</v>
      </c>
      <c r="F480" s="124" t="s">
        <v>1350</v>
      </c>
      <c r="G480" s="124" t="s">
        <v>1388</v>
      </c>
      <c r="H480" s="122" t="s">
        <v>1207</v>
      </c>
      <c r="I480" s="123">
        <v>20.96086</v>
      </c>
      <c r="J480" s="123">
        <v>-101.4302</v>
      </c>
      <c r="K480" s="122" t="s">
        <v>139</v>
      </c>
      <c r="L480" s="125" t="str">
        <f t="shared" si="24"/>
        <v>Ver en Google Maps</v>
      </c>
      <c r="M480" s="122">
        <v>1</v>
      </c>
      <c r="N480" s="108"/>
      <c r="O480" s="109">
        <f>DAY('BD2'!$N480)</f>
        <v>0</v>
      </c>
      <c r="P480" s="109">
        <f>MONTH('BD2'!$N480)</f>
        <v>1</v>
      </c>
      <c r="Q480" s="109">
        <f>YEAR('BD2'!$N480)</f>
        <v>1900</v>
      </c>
      <c r="R480" s="109">
        <v>2</v>
      </c>
      <c r="S480" s="109" t="s">
        <v>138</v>
      </c>
      <c r="T480" s="109" t="s">
        <v>138</v>
      </c>
      <c r="U480" s="109" t="s">
        <v>138</v>
      </c>
      <c r="V480" s="109" t="s">
        <v>138</v>
      </c>
      <c r="W480" s="109" t="s">
        <v>138</v>
      </c>
      <c r="X480" s="109" t="s">
        <v>138</v>
      </c>
      <c r="Y480" s="109" t="s">
        <v>138</v>
      </c>
      <c r="Z480" s="109" t="str">
        <f>IF('BD2'!$AA480 &lt; 14, "no", "si")</f>
        <v>no</v>
      </c>
      <c r="AA480" s="109"/>
      <c r="AB480" s="109"/>
      <c r="AC480" s="110" t="s">
        <v>967</v>
      </c>
      <c r="AD480" s="110" t="s">
        <v>1403</v>
      </c>
      <c r="AE480" s="109">
        <f t="shared" si="25"/>
        <v>7</v>
      </c>
      <c r="AF480" s="111" t="str">
        <f t="shared" si="23"/>
        <v>Funcional con observaciones</v>
      </c>
    </row>
    <row r="481" spans="1:32" x14ac:dyDescent="0.2">
      <c r="A481" s="112">
        <v>477</v>
      </c>
      <c r="B481" s="113" t="s">
        <v>1204</v>
      </c>
      <c r="C481" s="114" t="s">
        <v>16</v>
      </c>
      <c r="D481" s="114" t="s">
        <v>16</v>
      </c>
      <c r="E481" s="115" t="s">
        <v>1351</v>
      </c>
      <c r="F481" s="115" t="s">
        <v>1352</v>
      </c>
      <c r="G481" s="115" t="s">
        <v>1327</v>
      </c>
      <c r="H481" s="113" t="s">
        <v>1207</v>
      </c>
      <c r="I481" s="114">
        <v>20.980129999999999</v>
      </c>
      <c r="J481" s="114">
        <v>-101.41618</v>
      </c>
      <c r="K481" s="113"/>
      <c r="L481" s="116" t="str">
        <f t="shared" si="24"/>
        <v>Ver en Google Maps</v>
      </c>
      <c r="M481" s="113">
        <v>1</v>
      </c>
      <c r="N481" s="129"/>
      <c r="O481" s="118"/>
      <c r="P481" s="118"/>
      <c r="Q481" s="118"/>
      <c r="R481" s="118"/>
      <c r="S481" s="118"/>
      <c r="T481" s="118"/>
      <c r="U481" s="118"/>
      <c r="V481" s="118"/>
      <c r="W481" s="118"/>
      <c r="X481" s="118"/>
      <c r="Y481" s="118"/>
      <c r="Z481" s="118"/>
      <c r="AA481" s="118"/>
      <c r="AB481" s="118"/>
      <c r="AC481" s="119"/>
      <c r="AD481" s="119"/>
      <c r="AE481" s="118"/>
      <c r="AF481" s="120"/>
    </row>
    <row r="482" spans="1:32" x14ac:dyDescent="0.2">
      <c r="A482" s="121">
        <v>508</v>
      </c>
      <c r="B482" s="122" t="s">
        <v>1204</v>
      </c>
      <c r="C482" s="123" t="s">
        <v>16</v>
      </c>
      <c r="D482" s="123" t="s">
        <v>16</v>
      </c>
      <c r="E482" s="124" t="s">
        <v>1353</v>
      </c>
      <c r="F482" s="124" t="s">
        <v>1354</v>
      </c>
      <c r="G482" s="124" t="s">
        <v>1355</v>
      </c>
      <c r="H482" s="122" t="s">
        <v>1207</v>
      </c>
      <c r="I482" s="123">
        <v>20.916716279214</v>
      </c>
      <c r="J482" s="123">
        <v>-101.457838063324</v>
      </c>
      <c r="K482" s="122"/>
      <c r="L482" s="125" t="str">
        <f t="shared" si="24"/>
        <v>Ver en Google Maps</v>
      </c>
      <c r="M482" s="122">
        <v>2</v>
      </c>
      <c r="N482" s="130"/>
      <c r="O482" s="109"/>
      <c r="P482" s="109"/>
      <c r="Q482" s="109"/>
      <c r="R482" s="109"/>
      <c r="S482" s="109"/>
      <c r="T482" s="109"/>
      <c r="U482" s="109"/>
      <c r="V482" s="109"/>
      <c r="W482" s="109"/>
      <c r="X482" s="109"/>
      <c r="Y482" s="109"/>
      <c r="Z482" s="109"/>
      <c r="AA482" s="109"/>
      <c r="AB482" s="109"/>
      <c r="AC482" s="110"/>
      <c r="AD482" s="110"/>
      <c r="AE482" s="109"/>
      <c r="AF482" s="111"/>
    </row>
    <row r="483" spans="1:32" x14ac:dyDescent="0.2">
      <c r="A483" s="112">
        <v>529</v>
      </c>
      <c r="B483" s="113" t="s">
        <v>1204</v>
      </c>
      <c r="C483" s="114" t="s">
        <v>15</v>
      </c>
      <c r="D483" s="114" t="s">
        <v>15</v>
      </c>
      <c r="E483" s="115" t="s">
        <v>1270</v>
      </c>
      <c r="F483" s="115" t="s">
        <v>1271</v>
      </c>
      <c r="G483" s="115" t="s">
        <v>1801</v>
      </c>
      <c r="H483" s="113" t="s">
        <v>1207</v>
      </c>
      <c r="I483" s="114">
        <v>20.947330999999998</v>
      </c>
      <c r="J483" s="114">
        <v>-101.42667899999999</v>
      </c>
      <c r="K483" s="113" t="s">
        <v>139</v>
      </c>
      <c r="L483" s="116" t="str">
        <f t="shared" si="24"/>
        <v>Ver en Google Maps</v>
      </c>
      <c r="M483" s="113">
        <v>2</v>
      </c>
      <c r="N483" s="117"/>
      <c r="O483" s="118">
        <f>DAY('BD2'!$N483)</f>
        <v>0</v>
      </c>
      <c r="P483" s="118">
        <f>MONTH('BD2'!$N483)</f>
        <v>1</v>
      </c>
      <c r="Q483" s="118">
        <f>YEAR('BD2'!$N483)</f>
        <v>1900</v>
      </c>
      <c r="R483" s="118">
        <v>2</v>
      </c>
      <c r="S483" s="118" t="s">
        <v>138</v>
      </c>
      <c r="T483" s="118" t="s">
        <v>138</v>
      </c>
      <c r="U483" s="118" t="s">
        <v>138</v>
      </c>
      <c r="V483" s="118" t="s">
        <v>138</v>
      </c>
      <c r="W483" s="118" t="s">
        <v>138</v>
      </c>
      <c r="X483" s="118" t="s">
        <v>138</v>
      </c>
      <c r="Y483" s="118" t="s">
        <v>138</v>
      </c>
      <c r="Z483" s="118" t="str">
        <f>IF('BD2'!$AA483 &lt; 14, "no", "si")</f>
        <v>no</v>
      </c>
      <c r="AA483" s="118"/>
      <c r="AB483" s="118"/>
      <c r="AC483" s="119" t="s">
        <v>1413</v>
      </c>
      <c r="AD483" s="119" t="s">
        <v>1403</v>
      </c>
      <c r="AE483" s="118">
        <f t="shared" si="25"/>
        <v>7</v>
      </c>
      <c r="AF483" s="120" t="str">
        <f t="shared" si="23"/>
        <v>Funcional con observaciones</v>
      </c>
    </row>
    <row r="484" spans="1:32" x14ac:dyDescent="0.2">
      <c r="A484" s="121">
        <v>538</v>
      </c>
      <c r="B484" s="122" t="s">
        <v>1204</v>
      </c>
      <c r="C484" s="123" t="s">
        <v>15</v>
      </c>
      <c r="D484" s="123" t="s">
        <v>15</v>
      </c>
      <c r="E484" s="124" t="s">
        <v>1272</v>
      </c>
      <c r="F484" s="124" t="s">
        <v>1273</v>
      </c>
      <c r="G484" s="124" t="s">
        <v>1815</v>
      </c>
      <c r="H484" s="122" t="s">
        <v>1207</v>
      </c>
      <c r="I484" s="123">
        <v>20.965129999999998</v>
      </c>
      <c r="J484" s="123">
        <v>-101.420795</v>
      </c>
      <c r="K484" s="122"/>
      <c r="L484" s="125" t="str">
        <f t="shared" si="24"/>
        <v>Ver en Google Maps</v>
      </c>
      <c r="M484" s="122">
        <v>1</v>
      </c>
      <c r="N484" s="130"/>
      <c r="O484" s="109"/>
      <c r="P484" s="109"/>
      <c r="Q484" s="109"/>
      <c r="R484" s="109"/>
      <c r="S484" s="109"/>
      <c r="T484" s="109"/>
      <c r="U484" s="109"/>
      <c r="V484" s="109"/>
      <c r="W484" s="109"/>
      <c r="X484" s="109"/>
      <c r="Y484" s="109"/>
      <c r="Z484" s="109"/>
      <c r="AA484" s="109"/>
      <c r="AB484" s="109"/>
      <c r="AC484" s="110"/>
      <c r="AD484" s="110"/>
      <c r="AE484" s="109"/>
      <c r="AF484" s="111"/>
    </row>
    <row r="485" spans="1:32" x14ac:dyDescent="0.2">
      <c r="A485" s="112">
        <v>539</v>
      </c>
      <c r="B485" s="113" t="s">
        <v>1204</v>
      </c>
      <c r="C485" s="114" t="s">
        <v>15</v>
      </c>
      <c r="D485" s="114" t="s">
        <v>15</v>
      </c>
      <c r="E485" s="115" t="s">
        <v>1356</v>
      </c>
      <c r="F485" s="115" t="s">
        <v>1357</v>
      </c>
      <c r="G485" s="115" t="s">
        <v>1358</v>
      </c>
      <c r="H485" s="113" t="s">
        <v>1207</v>
      </c>
      <c r="I485" s="114">
        <v>20.94435</v>
      </c>
      <c r="J485" s="114">
        <v>-101.444515</v>
      </c>
      <c r="K485" s="113"/>
      <c r="L485" s="116" t="str">
        <f t="shared" si="24"/>
        <v>Ver en Google Maps</v>
      </c>
      <c r="M485" s="113">
        <v>2</v>
      </c>
      <c r="N485" s="129"/>
      <c r="O485" s="118"/>
      <c r="P485" s="118"/>
      <c r="Q485" s="118"/>
      <c r="R485" s="118"/>
      <c r="S485" s="118"/>
      <c r="T485" s="118"/>
      <c r="U485" s="118"/>
      <c r="V485" s="118"/>
      <c r="W485" s="118"/>
      <c r="X485" s="118"/>
      <c r="Y485" s="118"/>
      <c r="Z485" s="118"/>
      <c r="AA485" s="118"/>
      <c r="AB485" s="118"/>
      <c r="AC485" s="119"/>
      <c r="AD485" s="119"/>
      <c r="AE485" s="118"/>
      <c r="AF485" s="120"/>
    </row>
    <row r="486" spans="1:32" x14ac:dyDescent="0.2">
      <c r="A486" s="121">
        <v>547</v>
      </c>
      <c r="B486" s="122" t="s">
        <v>1204</v>
      </c>
      <c r="C486" s="123" t="s">
        <v>17</v>
      </c>
      <c r="D486" s="123" t="s">
        <v>17</v>
      </c>
      <c r="E486" s="124" t="s">
        <v>1359</v>
      </c>
      <c r="F486" s="124" t="s">
        <v>1360</v>
      </c>
      <c r="G486" s="124" t="s">
        <v>1816</v>
      </c>
      <c r="H486" s="122" t="s">
        <v>1207</v>
      </c>
      <c r="I486" s="123">
        <v>20.951319999999999</v>
      </c>
      <c r="J486" s="123">
        <v>-101.44101000000001</v>
      </c>
      <c r="K486" s="122"/>
      <c r="L486" s="125" t="str">
        <f t="shared" si="24"/>
        <v>Ver en Google Maps</v>
      </c>
      <c r="M486" s="122">
        <v>1</v>
      </c>
      <c r="N486" s="130"/>
      <c r="O486" s="109"/>
      <c r="P486" s="109"/>
      <c r="Q486" s="109"/>
      <c r="R486" s="109"/>
      <c r="S486" s="109"/>
      <c r="T486" s="109"/>
      <c r="U486" s="109"/>
      <c r="V486" s="109"/>
      <c r="W486" s="109"/>
      <c r="X486" s="109"/>
      <c r="Y486" s="109"/>
      <c r="Z486" s="109"/>
      <c r="AA486" s="109"/>
      <c r="AB486" s="109"/>
      <c r="AC486" s="110"/>
      <c r="AD486" s="110"/>
      <c r="AE486" s="109"/>
      <c r="AF486" s="111"/>
    </row>
    <row r="487" spans="1:32" x14ac:dyDescent="0.2">
      <c r="A487" s="112">
        <v>556</v>
      </c>
      <c r="B487" s="113" t="s">
        <v>1204</v>
      </c>
      <c r="C487" s="114" t="s">
        <v>17</v>
      </c>
      <c r="D487" s="114" t="s">
        <v>17</v>
      </c>
      <c r="E487" s="115" t="s">
        <v>1274</v>
      </c>
      <c r="F487" s="115" t="s">
        <v>1275</v>
      </c>
      <c r="G487" s="115" t="s">
        <v>360</v>
      </c>
      <c r="H487" s="113" t="s">
        <v>1207</v>
      </c>
      <c r="I487" s="114">
        <v>20.948519999999998</v>
      </c>
      <c r="J487" s="114">
        <v>-101.42618</v>
      </c>
      <c r="K487" s="113" t="s">
        <v>139</v>
      </c>
      <c r="L487" s="116" t="str">
        <f t="shared" si="24"/>
        <v>Ver en Google Maps</v>
      </c>
      <c r="M487" s="113">
        <v>1</v>
      </c>
      <c r="N487" s="117"/>
      <c r="O487" s="118">
        <f>DAY('BD2'!$N487)</f>
        <v>0</v>
      </c>
      <c r="P487" s="118">
        <f>MONTH('BD2'!$N487)</f>
        <v>1</v>
      </c>
      <c r="Q487" s="118">
        <f>YEAR('BD2'!$N487)</f>
        <v>1900</v>
      </c>
      <c r="R487" s="118">
        <v>2</v>
      </c>
      <c r="S487" s="118" t="s">
        <v>138</v>
      </c>
      <c r="T487" s="118" t="s">
        <v>138</v>
      </c>
      <c r="U487" s="118" t="s">
        <v>138</v>
      </c>
      <c r="V487" s="118" t="s">
        <v>138</v>
      </c>
      <c r="W487" s="118" t="s">
        <v>138</v>
      </c>
      <c r="X487" s="118" t="s">
        <v>138</v>
      </c>
      <c r="Y487" s="118" t="s">
        <v>138</v>
      </c>
      <c r="Z487" s="118" t="str">
        <f>IF('BD2'!$AA487 &lt; 14, "no", "si")</f>
        <v>no</v>
      </c>
      <c r="AA487" s="118"/>
      <c r="AB487" s="118"/>
      <c r="AC487" s="119" t="s">
        <v>1408</v>
      </c>
      <c r="AD487" s="119" t="s">
        <v>1403</v>
      </c>
      <c r="AE487" s="118">
        <f t="shared" si="25"/>
        <v>7</v>
      </c>
      <c r="AF487" s="120" t="str">
        <f t="shared" si="23"/>
        <v>Funcional con observaciones</v>
      </c>
    </row>
    <row r="488" spans="1:32" x14ac:dyDescent="0.2">
      <c r="A488" s="121">
        <v>573</v>
      </c>
      <c r="B488" s="122" t="s">
        <v>1204</v>
      </c>
      <c r="C488" s="123" t="s">
        <v>17</v>
      </c>
      <c r="D488" s="123" t="s">
        <v>17</v>
      </c>
      <c r="E488" s="124" t="s">
        <v>1361</v>
      </c>
      <c r="F488" s="124" t="s">
        <v>1362</v>
      </c>
      <c r="G488" s="124" t="s">
        <v>1817</v>
      </c>
      <c r="H488" s="122" t="s">
        <v>1207</v>
      </c>
      <c r="I488" s="123">
        <v>20.932839999999999</v>
      </c>
      <c r="J488" s="123">
        <v>-101.42482</v>
      </c>
      <c r="K488" s="122"/>
      <c r="L488" s="125" t="str">
        <f t="shared" si="24"/>
        <v>Ver en Google Maps</v>
      </c>
      <c r="M488" s="122">
        <v>1</v>
      </c>
      <c r="N488" s="130"/>
      <c r="O488" s="109"/>
      <c r="P488" s="109"/>
      <c r="Q488" s="109"/>
      <c r="R488" s="109"/>
      <c r="S488" s="109"/>
      <c r="T488" s="109"/>
      <c r="U488" s="109"/>
      <c r="V488" s="109"/>
      <c r="W488" s="109"/>
      <c r="X488" s="109"/>
      <c r="Y488" s="109"/>
      <c r="Z488" s="109"/>
      <c r="AA488" s="109"/>
      <c r="AB488" s="109"/>
      <c r="AC488" s="110"/>
      <c r="AD488" s="110"/>
      <c r="AE488" s="109"/>
      <c r="AF488" s="111"/>
    </row>
    <row r="489" spans="1:32" x14ac:dyDescent="0.2">
      <c r="A489" s="112">
        <v>581</v>
      </c>
      <c r="B489" s="113" t="s">
        <v>1204</v>
      </c>
      <c r="C489" s="114" t="s">
        <v>17</v>
      </c>
      <c r="D489" s="114" t="s">
        <v>17</v>
      </c>
      <c r="E489" s="115" t="s">
        <v>1276</v>
      </c>
      <c r="F489" s="115" t="s">
        <v>1277</v>
      </c>
      <c r="G489" s="115" t="s">
        <v>1278</v>
      </c>
      <c r="H489" s="113" t="s">
        <v>1207</v>
      </c>
      <c r="I489" s="114">
        <v>20.945900000000002</v>
      </c>
      <c r="J489" s="114">
        <v>-101.45302</v>
      </c>
      <c r="K489" s="113"/>
      <c r="L489" s="116" t="str">
        <f t="shared" si="24"/>
        <v>Ver en Google Maps</v>
      </c>
      <c r="M489" s="113">
        <v>1</v>
      </c>
      <c r="N489" s="129"/>
      <c r="O489" s="118"/>
      <c r="P489" s="118"/>
      <c r="Q489" s="118"/>
      <c r="R489" s="118"/>
      <c r="S489" s="118"/>
      <c r="T489" s="118"/>
      <c r="U489" s="118"/>
      <c r="V489" s="118"/>
      <c r="W489" s="118"/>
      <c r="X489" s="118"/>
      <c r="Y489" s="118"/>
      <c r="Z489" s="118"/>
      <c r="AA489" s="118"/>
      <c r="AB489" s="118"/>
      <c r="AC489" s="119"/>
      <c r="AD489" s="119"/>
      <c r="AE489" s="118"/>
      <c r="AF489" s="120"/>
    </row>
    <row r="490" spans="1:32" x14ac:dyDescent="0.2">
      <c r="A490" s="121">
        <v>582</v>
      </c>
      <c r="B490" s="122" t="s">
        <v>1204</v>
      </c>
      <c r="C490" s="123" t="s">
        <v>17</v>
      </c>
      <c r="D490" s="123" t="s">
        <v>17</v>
      </c>
      <c r="E490" s="124" t="s">
        <v>1363</v>
      </c>
      <c r="F490" s="124" t="s">
        <v>1364</v>
      </c>
      <c r="G490" s="124" t="s">
        <v>1818</v>
      </c>
      <c r="H490" s="122" t="s">
        <v>1207</v>
      </c>
      <c r="I490" s="123">
        <v>20.930240000000001</v>
      </c>
      <c r="J490" s="123">
        <v>-101.43176</v>
      </c>
      <c r="K490" s="122"/>
      <c r="L490" s="125" t="str">
        <f t="shared" si="24"/>
        <v>Ver en Google Maps</v>
      </c>
      <c r="M490" s="122">
        <v>1</v>
      </c>
      <c r="N490" s="130"/>
      <c r="O490" s="109"/>
      <c r="P490" s="109"/>
      <c r="Q490" s="109"/>
      <c r="R490" s="109"/>
      <c r="S490" s="109"/>
      <c r="T490" s="109"/>
      <c r="U490" s="109"/>
      <c r="V490" s="109"/>
      <c r="W490" s="109"/>
      <c r="X490" s="109"/>
      <c r="Y490" s="109"/>
      <c r="Z490" s="109"/>
      <c r="AA490" s="109"/>
      <c r="AB490" s="109"/>
      <c r="AC490" s="110"/>
      <c r="AD490" s="110"/>
      <c r="AE490" s="109"/>
      <c r="AF490" s="111"/>
    </row>
    <row r="491" spans="1:32" x14ac:dyDescent="0.2">
      <c r="A491" s="112">
        <v>585</v>
      </c>
      <c r="B491" s="113" t="s">
        <v>1204</v>
      </c>
      <c r="C491" s="114" t="s">
        <v>1279</v>
      </c>
      <c r="D491" s="114" t="s">
        <v>404</v>
      </c>
      <c r="E491" s="115" t="s">
        <v>1280</v>
      </c>
      <c r="F491" s="115" t="s">
        <v>1281</v>
      </c>
      <c r="G491" s="115" t="s">
        <v>360</v>
      </c>
      <c r="H491" s="113" t="s">
        <v>1207</v>
      </c>
      <c r="I491" s="114">
        <v>20.944548999999999</v>
      </c>
      <c r="J491" s="114">
        <v>-101.428495</v>
      </c>
      <c r="K491" s="113" t="s">
        <v>139</v>
      </c>
      <c r="L491" s="116" t="str">
        <f t="shared" si="24"/>
        <v>Ver en Google Maps</v>
      </c>
      <c r="M491" s="113">
        <v>1</v>
      </c>
      <c r="N491" s="117"/>
      <c r="O491" s="118">
        <f>DAY('BD2'!$N491)</f>
        <v>0</v>
      </c>
      <c r="P491" s="118">
        <f>MONTH('BD2'!$N491)</f>
        <v>1</v>
      </c>
      <c r="Q491" s="118">
        <f>YEAR('BD2'!$N491)</f>
        <v>1900</v>
      </c>
      <c r="R491" s="118">
        <v>2</v>
      </c>
      <c r="S491" s="118" t="s">
        <v>138</v>
      </c>
      <c r="T491" s="118" t="s">
        <v>138</v>
      </c>
      <c r="U491" s="118" t="s">
        <v>138</v>
      </c>
      <c r="V491" s="118" t="s">
        <v>138</v>
      </c>
      <c r="W491" s="118" t="s">
        <v>138</v>
      </c>
      <c r="X491" s="118" t="s">
        <v>138</v>
      </c>
      <c r="Y491" s="118" t="s">
        <v>138</v>
      </c>
      <c r="Z491" s="118" t="str">
        <f>IF('BD2'!$AA491 &lt; 14, "no", "si")</f>
        <v>no</v>
      </c>
      <c r="AA491" s="118"/>
      <c r="AB491" s="118"/>
      <c r="AC491" s="119" t="s">
        <v>1410</v>
      </c>
      <c r="AD491" s="119" t="s">
        <v>1403</v>
      </c>
      <c r="AE491" s="118">
        <f t="shared" si="25"/>
        <v>7</v>
      </c>
      <c r="AF491" s="120" t="str">
        <f t="shared" si="23"/>
        <v>Funcional con observaciones</v>
      </c>
    </row>
    <row r="492" spans="1:32" x14ac:dyDescent="0.2">
      <c r="A492" s="121">
        <v>600</v>
      </c>
      <c r="B492" s="122" t="s">
        <v>1204</v>
      </c>
      <c r="C492" s="123" t="s">
        <v>17</v>
      </c>
      <c r="D492" s="123" t="s">
        <v>17</v>
      </c>
      <c r="E492" s="124" t="s">
        <v>1282</v>
      </c>
      <c r="F492" s="124" t="s">
        <v>1283</v>
      </c>
      <c r="G492" s="124" t="s">
        <v>1819</v>
      </c>
      <c r="H492" s="122" t="s">
        <v>1207</v>
      </c>
      <c r="I492" s="123">
        <v>20.933859999999999</v>
      </c>
      <c r="J492" s="123">
        <v>-101.42007</v>
      </c>
      <c r="K492" s="122" t="s">
        <v>139</v>
      </c>
      <c r="L492" s="125" t="str">
        <f t="shared" si="24"/>
        <v>Ver en Google Maps</v>
      </c>
      <c r="M492" s="122">
        <v>1</v>
      </c>
      <c r="N492" s="108"/>
      <c r="O492" s="109">
        <f>DAY('BD2'!$N492)</f>
        <v>0</v>
      </c>
      <c r="P492" s="109">
        <f>MONTH('BD2'!$N492)</f>
        <v>1</v>
      </c>
      <c r="Q492" s="109">
        <f>YEAR('BD2'!$N492)</f>
        <v>1900</v>
      </c>
      <c r="R492" s="109">
        <v>2</v>
      </c>
      <c r="S492" s="109" t="s">
        <v>138</v>
      </c>
      <c r="T492" s="109" t="s">
        <v>138</v>
      </c>
      <c r="U492" s="109" t="s">
        <v>138</v>
      </c>
      <c r="V492" s="109" t="s">
        <v>138</v>
      </c>
      <c r="W492" s="109" t="s">
        <v>138</v>
      </c>
      <c r="X492" s="109" t="s">
        <v>138</v>
      </c>
      <c r="Y492" s="109" t="s">
        <v>138</v>
      </c>
      <c r="Z492" s="109" t="str">
        <f>IF('BD2'!$AA492 &lt; 14, "no", "si")</f>
        <v>no</v>
      </c>
      <c r="AA492" s="109"/>
      <c r="AB492" s="109"/>
      <c r="AC492" s="110" t="s">
        <v>967</v>
      </c>
      <c r="AD492" s="110" t="s">
        <v>1403</v>
      </c>
      <c r="AE492" s="109">
        <f t="shared" si="25"/>
        <v>7</v>
      </c>
      <c r="AF492" s="111" t="str">
        <f t="shared" si="23"/>
        <v>Funcional con observaciones</v>
      </c>
    </row>
    <row r="493" spans="1:32" x14ac:dyDescent="0.2">
      <c r="A493" s="112">
        <v>608</v>
      </c>
      <c r="B493" s="113" t="s">
        <v>1204</v>
      </c>
      <c r="C493" s="114" t="s">
        <v>16</v>
      </c>
      <c r="D493" s="114" t="s">
        <v>16</v>
      </c>
      <c r="E493" s="115" t="s">
        <v>1284</v>
      </c>
      <c r="F493" s="115" t="s">
        <v>1285</v>
      </c>
      <c r="G493" s="115" t="s">
        <v>1802</v>
      </c>
      <c r="H493" s="113" t="s">
        <v>1207</v>
      </c>
      <c r="I493" s="114">
        <v>20.938120000000001</v>
      </c>
      <c r="J493" s="114">
        <v>-101.42243999999999</v>
      </c>
      <c r="K493" s="113" t="s">
        <v>139</v>
      </c>
      <c r="L493" s="116" t="str">
        <f t="shared" si="24"/>
        <v>Ver en Google Maps</v>
      </c>
      <c r="M493" s="113">
        <v>1</v>
      </c>
      <c r="N493" s="117"/>
      <c r="O493" s="118">
        <f>DAY('BD2'!$N493)</f>
        <v>0</v>
      </c>
      <c r="P493" s="118">
        <f>MONTH('BD2'!$N493)</f>
        <v>1</v>
      </c>
      <c r="Q493" s="118">
        <f>YEAR('BD2'!$N493)</f>
        <v>1900</v>
      </c>
      <c r="R493" s="118">
        <v>2</v>
      </c>
      <c r="S493" s="118" t="s">
        <v>138</v>
      </c>
      <c r="T493" s="118" t="s">
        <v>138</v>
      </c>
      <c r="U493" s="118" t="s">
        <v>138</v>
      </c>
      <c r="V493" s="118" t="s">
        <v>138</v>
      </c>
      <c r="W493" s="118" t="s">
        <v>138</v>
      </c>
      <c r="X493" s="118" t="s">
        <v>138</v>
      </c>
      <c r="Y493" s="118" t="s">
        <v>138</v>
      </c>
      <c r="Z493" s="118" t="str">
        <f>IF('BD2'!$AA493 &lt; 14, "no", "si")</f>
        <v>no</v>
      </c>
      <c r="AA493" s="118"/>
      <c r="AB493" s="118"/>
      <c r="AC493" s="119" t="s">
        <v>967</v>
      </c>
      <c r="AD493" s="119" t="s">
        <v>1403</v>
      </c>
      <c r="AE493" s="118">
        <f t="shared" si="25"/>
        <v>7</v>
      </c>
      <c r="AF493" s="120" t="str">
        <f t="shared" si="23"/>
        <v>Funcional con observaciones</v>
      </c>
    </row>
    <row r="494" spans="1:32" x14ac:dyDescent="0.2">
      <c r="A494" s="121">
        <v>646</v>
      </c>
      <c r="B494" s="122" t="s">
        <v>1204</v>
      </c>
      <c r="C494" s="123" t="s">
        <v>16</v>
      </c>
      <c r="D494" s="123" t="s">
        <v>16</v>
      </c>
      <c r="E494" s="124" t="s">
        <v>1286</v>
      </c>
      <c r="F494" s="124" t="s">
        <v>1287</v>
      </c>
      <c r="G494" s="124" t="s">
        <v>1801</v>
      </c>
      <c r="H494" s="122" t="s">
        <v>1207</v>
      </c>
      <c r="I494" s="123">
        <v>20.947649999999999</v>
      </c>
      <c r="J494" s="123">
        <v>-101.42618</v>
      </c>
      <c r="K494" s="122" t="s">
        <v>139</v>
      </c>
      <c r="L494" s="125" t="str">
        <f t="shared" si="24"/>
        <v>Ver en Google Maps</v>
      </c>
      <c r="M494" s="122">
        <v>1</v>
      </c>
      <c r="N494" s="108"/>
      <c r="O494" s="109">
        <f>DAY('BD2'!$N494)</f>
        <v>0</v>
      </c>
      <c r="P494" s="109">
        <f>MONTH('BD2'!$N494)</f>
        <v>1</v>
      </c>
      <c r="Q494" s="109">
        <f>YEAR('BD2'!$N494)</f>
        <v>1900</v>
      </c>
      <c r="R494" s="109">
        <v>2</v>
      </c>
      <c r="S494" s="109" t="s">
        <v>138</v>
      </c>
      <c r="T494" s="109" t="s">
        <v>138</v>
      </c>
      <c r="U494" s="109" t="s">
        <v>138</v>
      </c>
      <c r="V494" s="109" t="s">
        <v>138</v>
      </c>
      <c r="W494" s="109" t="s">
        <v>138</v>
      </c>
      <c r="X494" s="109" t="s">
        <v>138</v>
      </c>
      <c r="Y494" s="109" t="s">
        <v>138</v>
      </c>
      <c r="Z494" s="109" t="str">
        <f>IF('BD2'!$AA494 &lt; 14, "no", "si")</f>
        <v>no</v>
      </c>
      <c r="AA494" s="109"/>
      <c r="AB494" s="109"/>
      <c r="AC494" s="110" t="s">
        <v>967</v>
      </c>
      <c r="AD494" s="110" t="s">
        <v>1403</v>
      </c>
      <c r="AE494" s="109">
        <f t="shared" si="25"/>
        <v>7</v>
      </c>
      <c r="AF494" s="111" t="str">
        <f t="shared" si="23"/>
        <v>Funcional con observaciones</v>
      </c>
    </row>
    <row r="495" spans="1:32" x14ac:dyDescent="0.2">
      <c r="A495" s="112">
        <v>647</v>
      </c>
      <c r="B495" s="113" t="s">
        <v>1204</v>
      </c>
      <c r="C495" s="114" t="s">
        <v>16</v>
      </c>
      <c r="D495" s="114" t="s">
        <v>16</v>
      </c>
      <c r="E495" s="115" t="s">
        <v>1288</v>
      </c>
      <c r="F495" s="115" t="s">
        <v>1289</v>
      </c>
      <c r="G495" s="115" t="s">
        <v>1105</v>
      </c>
      <c r="H495" s="113" t="s">
        <v>1207</v>
      </c>
      <c r="I495" s="114">
        <v>20.938639999999999</v>
      </c>
      <c r="J495" s="114">
        <v>-101.43106</v>
      </c>
      <c r="K495" s="113" t="s">
        <v>139</v>
      </c>
      <c r="L495" s="116" t="str">
        <f t="shared" si="24"/>
        <v>Ver en Google Maps</v>
      </c>
      <c r="M495" s="113">
        <v>1</v>
      </c>
      <c r="N495" s="117"/>
      <c r="O495" s="118">
        <f>DAY('BD2'!$N495)</f>
        <v>0</v>
      </c>
      <c r="P495" s="118">
        <f>MONTH('BD2'!$N495)</f>
        <v>1</v>
      </c>
      <c r="Q495" s="118">
        <f>YEAR('BD2'!$N495)</f>
        <v>1900</v>
      </c>
      <c r="R495" s="118">
        <v>2</v>
      </c>
      <c r="S495" s="118" t="s">
        <v>138</v>
      </c>
      <c r="T495" s="118" t="s">
        <v>138</v>
      </c>
      <c r="U495" s="118" t="s">
        <v>138</v>
      </c>
      <c r="V495" s="118" t="s">
        <v>138</v>
      </c>
      <c r="W495" s="118" t="s">
        <v>138</v>
      </c>
      <c r="X495" s="118" t="s">
        <v>138</v>
      </c>
      <c r="Y495" s="118" t="s">
        <v>138</v>
      </c>
      <c r="Z495" s="118" t="str">
        <f>IF('BD2'!$AA495 &lt; 14, "no", "si")</f>
        <v>no</v>
      </c>
      <c r="AA495" s="118"/>
      <c r="AB495" s="118"/>
      <c r="AC495" s="119" t="s">
        <v>967</v>
      </c>
      <c r="AD495" s="119" t="s">
        <v>1403</v>
      </c>
      <c r="AE495" s="118">
        <f t="shared" si="25"/>
        <v>7</v>
      </c>
      <c r="AF495" s="120" t="str">
        <f t="shared" si="23"/>
        <v>Funcional con observaciones</v>
      </c>
    </row>
    <row r="496" spans="1:32" x14ac:dyDescent="0.2">
      <c r="A496" s="121">
        <v>648</v>
      </c>
      <c r="B496" s="122" t="s">
        <v>1204</v>
      </c>
      <c r="C496" s="123" t="s">
        <v>16</v>
      </c>
      <c r="D496" s="123" t="s">
        <v>16</v>
      </c>
      <c r="E496" s="124" t="s">
        <v>1365</v>
      </c>
      <c r="F496" s="124" t="s">
        <v>1366</v>
      </c>
      <c r="G496" s="124" t="s">
        <v>1367</v>
      </c>
      <c r="H496" s="122" t="s">
        <v>1207</v>
      </c>
      <c r="I496" s="123">
        <v>20.919332000000001</v>
      </c>
      <c r="J496" s="123">
        <v>-101.39649</v>
      </c>
      <c r="K496" s="122"/>
      <c r="L496" s="125" t="str">
        <f t="shared" si="24"/>
        <v>Ver en Google Maps</v>
      </c>
      <c r="M496" s="122">
        <v>1</v>
      </c>
      <c r="N496" s="130"/>
      <c r="O496" s="109"/>
      <c r="P496" s="109"/>
      <c r="Q496" s="109"/>
      <c r="R496" s="109"/>
      <c r="S496" s="109"/>
      <c r="T496" s="109"/>
      <c r="U496" s="109"/>
      <c r="V496" s="109"/>
      <c r="W496" s="109"/>
      <c r="X496" s="109"/>
      <c r="Y496" s="109"/>
      <c r="Z496" s="109"/>
      <c r="AA496" s="109"/>
      <c r="AB496" s="109"/>
      <c r="AC496" s="110"/>
      <c r="AD496" s="110"/>
      <c r="AE496" s="109"/>
      <c r="AF496" s="111"/>
    </row>
    <row r="497" spans="1:32" x14ac:dyDescent="0.2">
      <c r="A497" s="112">
        <v>649</v>
      </c>
      <c r="B497" s="113" t="s">
        <v>1204</v>
      </c>
      <c r="C497" s="114" t="s">
        <v>16</v>
      </c>
      <c r="D497" s="114" t="s">
        <v>16</v>
      </c>
      <c r="E497" s="115" t="s">
        <v>1290</v>
      </c>
      <c r="F497" s="115" t="s">
        <v>1291</v>
      </c>
      <c r="G497" s="115" t="s">
        <v>1801</v>
      </c>
      <c r="H497" s="113" t="s">
        <v>1207</v>
      </c>
      <c r="I497" s="114">
        <v>20.944600000000001</v>
      </c>
      <c r="J497" s="114">
        <v>-101.42062</v>
      </c>
      <c r="K497" s="113" t="s">
        <v>139</v>
      </c>
      <c r="L497" s="116" t="str">
        <f t="shared" si="24"/>
        <v>Ver en Google Maps</v>
      </c>
      <c r="M497" s="113">
        <v>1</v>
      </c>
      <c r="N497" s="117"/>
      <c r="O497" s="118">
        <f>DAY('BD2'!$N497)</f>
        <v>0</v>
      </c>
      <c r="P497" s="118">
        <f>MONTH('BD2'!$N497)</f>
        <v>1</v>
      </c>
      <c r="Q497" s="118">
        <f>YEAR('BD2'!$N497)</f>
        <v>1900</v>
      </c>
      <c r="R497" s="118">
        <v>2</v>
      </c>
      <c r="S497" s="118" t="s">
        <v>138</v>
      </c>
      <c r="T497" s="118" t="s">
        <v>138</v>
      </c>
      <c r="U497" s="118" t="s">
        <v>138</v>
      </c>
      <c r="V497" s="118" t="s">
        <v>138</v>
      </c>
      <c r="W497" s="118" t="s">
        <v>138</v>
      </c>
      <c r="X497" s="118" t="s">
        <v>138</v>
      </c>
      <c r="Y497" s="118" t="s">
        <v>138</v>
      </c>
      <c r="Z497" s="118" t="str">
        <f>IF('BD2'!$AA497 &lt; 14, "no", "si")</f>
        <v>no</v>
      </c>
      <c r="AA497" s="118"/>
      <c r="AB497" s="118"/>
      <c r="AC497" s="119" t="s">
        <v>1414</v>
      </c>
      <c r="AD497" s="119" t="s">
        <v>1403</v>
      </c>
      <c r="AE497" s="118">
        <f t="shared" si="25"/>
        <v>7</v>
      </c>
      <c r="AF497" s="120" t="str">
        <f t="shared" si="23"/>
        <v>Funcional con observaciones</v>
      </c>
    </row>
    <row r="498" spans="1:32" x14ac:dyDescent="0.2">
      <c r="A498" s="121">
        <v>657</v>
      </c>
      <c r="B498" s="122" t="s">
        <v>1204</v>
      </c>
      <c r="C498" s="123" t="s">
        <v>17</v>
      </c>
      <c r="D498" s="123" t="s">
        <v>17</v>
      </c>
      <c r="E498" s="124" t="s">
        <v>1368</v>
      </c>
      <c r="F498" s="124" t="s">
        <v>1369</v>
      </c>
      <c r="G498" s="124" t="s">
        <v>979</v>
      </c>
      <c r="H498" s="122" t="s">
        <v>1207</v>
      </c>
      <c r="I498" s="123">
        <v>20.946863</v>
      </c>
      <c r="J498" s="123">
        <v>-101.436983</v>
      </c>
      <c r="K498" s="122"/>
      <c r="L498" s="125" t="str">
        <f t="shared" si="24"/>
        <v>Ver en Google Maps</v>
      </c>
      <c r="M498" s="122">
        <v>1</v>
      </c>
      <c r="N498" s="130"/>
      <c r="O498" s="109"/>
      <c r="P498" s="109"/>
      <c r="Q498" s="109"/>
      <c r="R498" s="109"/>
      <c r="S498" s="109"/>
      <c r="T498" s="109"/>
      <c r="U498" s="109"/>
      <c r="V498" s="109"/>
      <c r="W498" s="109"/>
      <c r="X498" s="109"/>
      <c r="Y498" s="109"/>
      <c r="Z498" s="109"/>
      <c r="AA498" s="109"/>
      <c r="AB498" s="109"/>
      <c r="AC498" s="110"/>
      <c r="AD498" s="110"/>
      <c r="AE498" s="109"/>
      <c r="AF498" s="111"/>
    </row>
    <row r="499" spans="1:32" x14ac:dyDescent="0.2">
      <c r="A499" s="112">
        <v>686</v>
      </c>
      <c r="B499" s="113" t="s">
        <v>1204</v>
      </c>
      <c r="C499" s="114" t="s">
        <v>16</v>
      </c>
      <c r="D499" s="114" t="s">
        <v>16</v>
      </c>
      <c r="E499" s="115" t="s">
        <v>1292</v>
      </c>
      <c r="F499" s="115" t="s">
        <v>1293</v>
      </c>
      <c r="G499" s="115" t="s">
        <v>1105</v>
      </c>
      <c r="H499" s="113" t="s">
        <v>1207</v>
      </c>
      <c r="I499" s="114">
        <v>20.941140000000001</v>
      </c>
      <c r="J499" s="114">
        <v>-101.43093</v>
      </c>
      <c r="K499" s="113" t="s">
        <v>139</v>
      </c>
      <c r="L499" s="116" t="str">
        <f t="shared" si="24"/>
        <v>Ver en Google Maps</v>
      </c>
      <c r="M499" s="113">
        <v>1</v>
      </c>
      <c r="N499" s="117"/>
      <c r="O499" s="118">
        <f>DAY('BD2'!$N499)</f>
        <v>0</v>
      </c>
      <c r="P499" s="118">
        <f>MONTH('BD2'!$N499)</f>
        <v>1</v>
      </c>
      <c r="Q499" s="118">
        <f>YEAR('BD2'!$N499)</f>
        <v>1900</v>
      </c>
      <c r="R499" s="118">
        <v>2</v>
      </c>
      <c r="S499" s="118" t="s">
        <v>138</v>
      </c>
      <c r="T499" s="118" t="s">
        <v>138</v>
      </c>
      <c r="U499" s="118" t="s">
        <v>138</v>
      </c>
      <c r="V499" s="118" t="s">
        <v>138</v>
      </c>
      <c r="W499" s="118" t="s">
        <v>138</v>
      </c>
      <c r="X499" s="118" t="s">
        <v>138</v>
      </c>
      <c r="Y499" s="118" t="s">
        <v>138</v>
      </c>
      <c r="Z499" s="118" t="str">
        <f>IF('BD2'!$AA499 &lt; 14, "no", "si")</f>
        <v>no</v>
      </c>
      <c r="AA499" s="118"/>
      <c r="AB499" s="118"/>
      <c r="AC499" s="119" t="s">
        <v>967</v>
      </c>
      <c r="AD499" s="119" t="s">
        <v>1403</v>
      </c>
      <c r="AE499" s="118">
        <f t="shared" si="25"/>
        <v>7</v>
      </c>
      <c r="AF499" s="120" t="str">
        <f t="shared" si="23"/>
        <v>Funcional con observaciones</v>
      </c>
    </row>
    <row r="500" spans="1:32" x14ac:dyDescent="0.2">
      <c r="A500" s="121">
        <v>712</v>
      </c>
      <c r="B500" s="122" t="s">
        <v>1204</v>
      </c>
      <c r="C500" s="123" t="s">
        <v>15</v>
      </c>
      <c r="D500" s="123" t="s">
        <v>15</v>
      </c>
      <c r="E500" s="124" t="s">
        <v>1370</v>
      </c>
      <c r="F500" s="124" t="s">
        <v>1371</v>
      </c>
      <c r="G500" s="124" t="s">
        <v>1321</v>
      </c>
      <c r="H500" s="122" t="s">
        <v>1207</v>
      </c>
      <c r="I500" s="123">
        <v>20.97448</v>
      </c>
      <c r="J500" s="123">
        <v>-101.44991</v>
      </c>
      <c r="K500" s="122"/>
      <c r="L500" s="125" t="str">
        <f t="shared" si="24"/>
        <v>Ver en Google Maps</v>
      </c>
      <c r="M500" s="122">
        <v>1</v>
      </c>
      <c r="N500" s="130"/>
      <c r="O500" s="109"/>
      <c r="P500" s="109"/>
      <c r="Q500" s="109"/>
      <c r="R500" s="109"/>
      <c r="S500" s="109"/>
      <c r="T500" s="109"/>
      <c r="U500" s="109"/>
      <c r="V500" s="109"/>
      <c r="W500" s="109"/>
      <c r="X500" s="109"/>
      <c r="Y500" s="109"/>
      <c r="Z500" s="109"/>
      <c r="AA500" s="109"/>
      <c r="AB500" s="109"/>
      <c r="AC500" s="110"/>
      <c r="AD500" s="110"/>
      <c r="AE500" s="109"/>
      <c r="AF500" s="111"/>
    </row>
    <row r="501" spans="1:32" x14ac:dyDescent="0.2">
      <c r="A501" s="112">
        <v>718</v>
      </c>
      <c r="B501" s="113" t="s">
        <v>1204</v>
      </c>
      <c r="C501" s="114" t="s">
        <v>15</v>
      </c>
      <c r="D501" s="114" t="s">
        <v>15</v>
      </c>
      <c r="E501" s="115" t="s">
        <v>1294</v>
      </c>
      <c r="F501" s="115" t="s">
        <v>1295</v>
      </c>
      <c r="G501" s="115" t="s">
        <v>1800</v>
      </c>
      <c r="H501" s="113" t="s">
        <v>1207</v>
      </c>
      <c r="I501" s="114">
        <v>20.961819999999999</v>
      </c>
      <c r="J501" s="114">
        <v>-101.41694</v>
      </c>
      <c r="K501" s="113" t="s">
        <v>139</v>
      </c>
      <c r="L501" s="116" t="str">
        <f t="shared" si="24"/>
        <v>Ver en Google Maps</v>
      </c>
      <c r="M501" s="113">
        <v>1</v>
      </c>
      <c r="N501" s="117"/>
      <c r="O501" s="118">
        <f>DAY('BD2'!$N501)</f>
        <v>0</v>
      </c>
      <c r="P501" s="118">
        <f>MONTH('BD2'!$N501)</f>
        <v>1</v>
      </c>
      <c r="Q501" s="118">
        <f>YEAR('BD2'!$N501)</f>
        <v>1900</v>
      </c>
      <c r="R501" s="118">
        <v>2</v>
      </c>
      <c r="S501" s="118" t="s">
        <v>138</v>
      </c>
      <c r="T501" s="118" t="s">
        <v>138</v>
      </c>
      <c r="U501" s="118" t="s">
        <v>138</v>
      </c>
      <c r="V501" s="118" t="s">
        <v>138</v>
      </c>
      <c r="W501" s="118" t="s">
        <v>138</v>
      </c>
      <c r="X501" s="118" t="s">
        <v>138</v>
      </c>
      <c r="Y501" s="118" t="s">
        <v>138</v>
      </c>
      <c r="Z501" s="118" t="str">
        <f>IF('BD2'!$AA501 &lt; 14, "no", "si")</f>
        <v>no</v>
      </c>
      <c r="AA501" s="118"/>
      <c r="AB501" s="118"/>
      <c r="AC501" s="119" t="s">
        <v>967</v>
      </c>
      <c r="AD501" s="119" t="s">
        <v>1403</v>
      </c>
      <c r="AE501" s="118">
        <f t="shared" si="25"/>
        <v>7</v>
      </c>
      <c r="AF501" s="120" t="str">
        <f t="shared" si="23"/>
        <v>Funcional con observaciones</v>
      </c>
    </row>
    <row r="502" spans="1:32" x14ac:dyDescent="0.2">
      <c r="A502" s="121">
        <v>726</v>
      </c>
      <c r="B502" s="122" t="s">
        <v>1204</v>
      </c>
      <c r="C502" s="123" t="s">
        <v>15</v>
      </c>
      <c r="D502" s="123" t="s">
        <v>15</v>
      </c>
      <c r="E502" s="124" t="s">
        <v>1372</v>
      </c>
      <c r="F502" s="124" t="s">
        <v>1373</v>
      </c>
      <c r="G502" s="124" t="s">
        <v>1374</v>
      </c>
      <c r="H502" s="122" t="s">
        <v>1207</v>
      </c>
      <c r="I502" s="123">
        <v>20.95064</v>
      </c>
      <c r="J502" s="123">
        <v>-101.44125</v>
      </c>
      <c r="K502" s="122"/>
      <c r="L502" s="125" t="str">
        <f t="shared" si="24"/>
        <v>Ver en Google Maps</v>
      </c>
      <c r="M502" s="122">
        <v>1</v>
      </c>
      <c r="N502" s="130"/>
      <c r="O502" s="109"/>
      <c r="P502" s="109"/>
      <c r="Q502" s="109"/>
      <c r="R502" s="109"/>
      <c r="S502" s="109"/>
      <c r="T502" s="109"/>
      <c r="U502" s="109"/>
      <c r="V502" s="109"/>
      <c r="W502" s="109"/>
      <c r="X502" s="109"/>
      <c r="Y502" s="109"/>
      <c r="Z502" s="109"/>
      <c r="AA502" s="109"/>
      <c r="AB502" s="109"/>
      <c r="AC502" s="110"/>
      <c r="AD502" s="110"/>
      <c r="AE502" s="109"/>
      <c r="AF502" s="111"/>
    </row>
    <row r="503" spans="1:32" x14ac:dyDescent="0.2">
      <c r="A503" s="112">
        <v>731</v>
      </c>
      <c r="B503" s="113" t="s">
        <v>1204</v>
      </c>
      <c r="C503" s="114" t="s">
        <v>15</v>
      </c>
      <c r="D503" s="114" t="s">
        <v>15</v>
      </c>
      <c r="E503" s="115" t="s">
        <v>1296</v>
      </c>
      <c r="F503" s="115" t="s">
        <v>1297</v>
      </c>
      <c r="G503" s="115" t="s">
        <v>83</v>
      </c>
      <c r="H503" s="113" t="s">
        <v>1207</v>
      </c>
      <c r="I503" s="114">
        <v>20.935169999999999</v>
      </c>
      <c r="J503" s="114">
        <v>-101.42085</v>
      </c>
      <c r="K503" s="113" t="s">
        <v>139</v>
      </c>
      <c r="L503" s="116" t="str">
        <f t="shared" si="24"/>
        <v>Ver en Google Maps</v>
      </c>
      <c r="M503" s="113">
        <v>1</v>
      </c>
      <c r="N503" s="117"/>
      <c r="O503" s="118">
        <f>DAY('BD2'!$N503)</f>
        <v>0</v>
      </c>
      <c r="P503" s="118">
        <f>MONTH('BD2'!$N503)</f>
        <v>1</v>
      </c>
      <c r="Q503" s="118">
        <f>YEAR('BD2'!$N503)</f>
        <v>1900</v>
      </c>
      <c r="R503" s="118">
        <v>2</v>
      </c>
      <c r="S503" s="118" t="s">
        <v>138</v>
      </c>
      <c r="T503" s="118" t="s">
        <v>138</v>
      </c>
      <c r="U503" s="118" t="s">
        <v>138</v>
      </c>
      <c r="V503" s="118" t="s">
        <v>138</v>
      </c>
      <c r="W503" s="118" t="s">
        <v>138</v>
      </c>
      <c r="X503" s="118" t="s">
        <v>138</v>
      </c>
      <c r="Y503" s="118" t="s">
        <v>138</v>
      </c>
      <c r="Z503" s="118" t="str">
        <f>IF('BD2'!$AA503 &lt; 14, "no", "si")</f>
        <v>no</v>
      </c>
      <c r="AA503" s="118"/>
      <c r="AB503" s="118"/>
      <c r="AC503" s="119" t="s">
        <v>967</v>
      </c>
      <c r="AD503" s="119" t="s">
        <v>1403</v>
      </c>
      <c r="AE503" s="118">
        <f t="shared" si="25"/>
        <v>7</v>
      </c>
      <c r="AF503" s="120" t="str">
        <f t="shared" si="23"/>
        <v>Funcional con observaciones</v>
      </c>
    </row>
    <row r="504" spans="1:32" x14ac:dyDescent="0.2">
      <c r="A504" s="121">
        <v>748</v>
      </c>
      <c r="B504" s="122" t="s">
        <v>1204</v>
      </c>
      <c r="C504" s="123" t="s">
        <v>16</v>
      </c>
      <c r="D504" s="123" t="s">
        <v>16</v>
      </c>
      <c r="E504" s="124" t="s">
        <v>1298</v>
      </c>
      <c r="F504" s="124" t="s">
        <v>1299</v>
      </c>
      <c r="G504" s="124" t="s">
        <v>1820</v>
      </c>
      <c r="H504" s="122" t="s">
        <v>1207</v>
      </c>
      <c r="I504" s="123">
        <v>20.934013</v>
      </c>
      <c r="J504" s="123">
        <v>-101.41888</v>
      </c>
      <c r="K504" s="122" t="s">
        <v>139</v>
      </c>
      <c r="L504" s="125" t="str">
        <f t="shared" si="24"/>
        <v>Ver en Google Maps</v>
      </c>
      <c r="M504" s="122">
        <v>1</v>
      </c>
      <c r="N504" s="108"/>
      <c r="O504" s="109">
        <f>DAY('BD2'!$N504)</f>
        <v>0</v>
      </c>
      <c r="P504" s="109">
        <f>MONTH('BD2'!$N504)</f>
        <v>1</v>
      </c>
      <c r="Q504" s="109">
        <f>YEAR('BD2'!$N504)</f>
        <v>1900</v>
      </c>
      <c r="R504" s="109">
        <v>2</v>
      </c>
      <c r="S504" s="109" t="s">
        <v>138</v>
      </c>
      <c r="T504" s="109" t="s">
        <v>138</v>
      </c>
      <c r="U504" s="109" t="s">
        <v>138</v>
      </c>
      <c r="V504" s="109" t="s">
        <v>138</v>
      </c>
      <c r="W504" s="109" t="s">
        <v>138</v>
      </c>
      <c r="X504" s="109" t="s">
        <v>138</v>
      </c>
      <c r="Y504" s="109" t="s">
        <v>138</v>
      </c>
      <c r="Z504" s="109" t="str">
        <f>IF('BD2'!$AA504 &lt; 14, "no", "si")</f>
        <v>no</v>
      </c>
      <c r="AA504" s="109"/>
      <c r="AB504" s="109"/>
      <c r="AC504" s="110" t="s">
        <v>967</v>
      </c>
      <c r="AD504" s="110" t="s">
        <v>1403</v>
      </c>
      <c r="AE504" s="109">
        <f t="shared" si="25"/>
        <v>7</v>
      </c>
      <c r="AF504" s="111" t="str">
        <f t="shared" si="23"/>
        <v>Funcional con observaciones</v>
      </c>
    </row>
    <row r="505" spans="1:32" x14ac:dyDescent="0.2">
      <c r="A505" s="112">
        <v>767</v>
      </c>
      <c r="B505" s="113" t="s">
        <v>1204</v>
      </c>
      <c r="C505" s="114" t="s">
        <v>15</v>
      </c>
      <c r="D505" s="114" t="s">
        <v>15</v>
      </c>
      <c r="E505" s="115" t="s">
        <v>1300</v>
      </c>
      <c r="F505" s="115" t="s">
        <v>1301</v>
      </c>
      <c r="G505" s="115" t="s">
        <v>1302</v>
      </c>
      <c r="H505" s="113" t="s">
        <v>1207</v>
      </c>
      <c r="I505" s="114">
        <v>20.939457999999998</v>
      </c>
      <c r="J505" s="114">
        <v>-101.41947</v>
      </c>
      <c r="K505" s="113"/>
      <c r="L505" s="116" t="str">
        <f t="shared" si="24"/>
        <v>Ver en Google Maps</v>
      </c>
      <c r="M505" s="113">
        <v>1</v>
      </c>
      <c r="N505" s="129"/>
      <c r="O505" s="118"/>
      <c r="P505" s="118"/>
      <c r="Q505" s="118"/>
      <c r="R505" s="118"/>
      <c r="S505" s="118"/>
      <c r="T505" s="118"/>
      <c r="U505" s="118"/>
      <c r="V505" s="118"/>
      <c r="W505" s="118"/>
      <c r="X505" s="118"/>
      <c r="Y505" s="118"/>
      <c r="Z505" s="118"/>
      <c r="AA505" s="118"/>
      <c r="AB505" s="118"/>
      <c r="AC505" s="119"/>
      <c r="AD505" s="119"/>
      <c r="AE505" s="118"/>
      <c r="AF505" s="120"/>
    </row>
    <row r="506" spans="1:32" x14ac:dyDescent="0.2">
      <c r="A506" s="121">
        <v>784</v>
      </c>
      <c r="B506" s="122" t="s">
        <v>1204</v>
      </c>
      <c r="C506" s="123" t="s">
        <v>17</v>
      </c>
      <c r="D506" s="123" t="s">
        <v>17</v>
      </c>
      <c r="E506" s="124" t="s">
        <v>1375</v>
      </c>
      <c r="F506" s="124" t="s">
        <v>1376</v>
      </c>
      <c r="G506" s="124" t="s">
        <v>1821</v>
      </c>
      <c r="H506" s="122" t="s">
        <v>1207</v>
      </c>
      <c r="I506" s="123">
        <v>20.923897</v>
      </c>
      <c r="J506" s="123">
        <v>-101.449575</v>
      </c>
      <c r="K506" s="122"/>
      <c r="L506" s="125" t="str">
        <f t="shared" si="24"/>
        <v>Ver en Google Maps</v>
      </c>
      <c r="M506" s="122">
        <v>1</v>
      </c>
      <c r="N506" s="130"/>
      <c r="O506" s="109"/>
      <c r="P506" s="109"/>
      <c r="Q506" s="109"/>
      <c r="R506" s="109"/>
      <c r="S506" s="109"/>
      <c r="T506" s="109"/>
      <c r="U506" s="109"/>
      <c r="V506" s="109"/>
      <c r="W506" s="109"/>
      <c r="X506" s="109"/>
      <c r="Y506" s="109"/>
      <c r="Z506" s="109"/>
      <c r="AA506" s="109"/>
      <c r="AB506" s="109"/>
      <c r="AC506" s="110"/>
      <c r="AD506" s="110"/>
      <c r="AE506" s="109"/>
      <c r="AF506" s="111"/>
    </row>
    <row r="507" spans="1:32" x14ac:dyDescent="0.2">
      <c r="A507" s="112">
        <v>787</v>
      </c>
      <c r="B507" s="113" t="s">
        <v>1204</v>
      </c>
      <c r="C507" s="114" t="s">
        <v>17</v>
      </c>
      <c r="D507" s="114" t="s">
        <v>17</v>
      </c>
      <c r="E507" s="115" t="s">
        <v>1377</v>
      </c>
      <c r="F507" s="115" t="s">
        <v>1378</v>
      </c>
      <c r="G507" s="115" t="s">
        <v>1379</v>
      </c>
      <c r="H507" s="113" t="s">
        <v>1207</v>
      </c>
      <c r="I507" s="114">
        <v>20.936050999999999</v>
      </c>
      <c r="J507" s="114">
        <v>-101.450003</v>
      </c>
      <c r="K507" s="113"/>
      <c r="L507" s="116" t="str">
        <f t="shared" si="24"/>
        <v>Ver en Google Maps</v>
      </c>
      <c r="M507" s="113">
        <v>1</v>
      </c>
      <c r="N507" s="129"/>
      <c r="O507" s="118"/>
      <c r="P507" s="118"/>
      <c r="Q507" s="118"/>
      <c r="R507" s="118"/>
      <c r="S507" s="118"/>
      <c r="T507" s="118"/>
      <c r="U507" s="118"/>
      <c r="V507" s="118"/>
      <c r="W507" s="118"/>
      <c r="X507" s="118"/>
      <c r="Y507" s="118"/>
      <c r="Z507" s="118"/>
      <c r="AA507" s="118"/>
      <c r="AB507" s="118"/>
      <c r="AC507" s="119"/>
      <c r="AD507" s="119"/>
      <c r="AE507" s="118"/>
      <c r="AF507" s="120"/>
    </row>
    <row r="508" spans="1:32" x14ac:dyDescent="0.2">
      <c r="A508" s="121">
        <v>799</v>
      </c>
      <c r="B508" s="122" t="s">
        <v>1204</v>
      </c>
      <c r="C508" s="123" t="s">
        <v>16</v>
      </c>
      <c r="D508" s="123" t="s">
        <v>16</v>
      </c>
      <c r="E508" s="124" t="s">
        <v>1380</v>
      </c>
      <c r="F508" s="124" t="s">
        <v>1381</v>
      </c>
      <c r="G508" s="124" t="s">
        <v>1382</v>
      </c>
      <c r="H508" s="122" t="s">
        <v>1207</v>
      </c>
      <c r="I508" s="123">
        <v>20.924944</v>
      </c>
      <c r="J508" s="123">
        <v>-101.45665</v>
      </c>
      <c r="K508" s="122"/>
      <c r="L508" s="125" t="str">
        <f t="shared" si="24"/>
        <v>Ver en Google Maps</v>
      </c>
      <c r="M508" s="122">
        <v>1</v>
      </c>
      <c r="N508" s="130"/>
      <c r="O508" s="109"/>
      <c r="P508" s="109"/>
      <c r="Q508" s="109"/>
      <c r="R508" s="109"/>
      <c r="S508" s="109"/>
      <c r="T508" s="109"/>
      <c r="U508" s="109"/>
      <c r="V508" s="109"/>
      <c r="W508" s="109"/>
      <c r="X508" s="109"/>
      <c r="Y508" s="109"/>
      <c r="Z508" s="109"/>
      <c r="AA508" s="109"/>
      <c r="AB508" s="109"/>
      <c r="AC508" s="110"/>
      <c r="AD508" s="110"/>
      <c r="AE508" s="109"/>
      <c r="AF508" s="111"/>
    </row>
    <row r="509" spans="1:32" x14ac:dyDescent="0.2">
      <c r="A509" s="112">
        <v>800</v>
      </c>
      <c r="B509" s="113" t="s">
        <v>1204</v>
      </c>
      <c r="C509" s="114" t="s">
        <v>14</v>
      </c>
      <c r="D509" s="114" t="s">
        <v>404</v>
      </c>
      <c r="E509" s="115" t="s">
        <v>1303</v>
      </c>
      <c r="F509" s="115" t="s">
        <v>1304</v>
      </c>
      <c r="G509" s="115" t="s">
        <v>360</v>
      </c>
      <c r="H509" s="113" t="s">
        <v>1207</v>
      </c>
      <c r="I509" s="114">
        <v>20.943404999999998</v>
      </c>
      <c r="J509" s="114">
        <v>-101.42492</v>
      </c>
      <c r="K509" s="113" t="s">
        <v>139</v>
      </c>
      <c r="L509" s="116" t="str">
        <f t="shared" si="24"/>
        <v>Ver en Google Maps</v>
      </c>
      <c r="M509" s="113">
        <v>1</v>
      </c>
      <c r="N509" s="117"/>
      <c r="O509" s="118">
        <f>DAY('BD2'!$N509)</f>
        <v>0</v>
      </c>
      <c r="P509" s="118">
        <f>MONTH('BD2'!$N509)</f>
        <v>1</v>
      </c>
      <c r="Q509" s="118">
        <f>YEAR('BD2'!$N509)</f>
        <v>1900</v>
      </c>
      <c r="R509" s="118">
        <v>2</v>
      </c>
      <c r="S509" s="118" t="s">
        <v>138</v>
      </c>
      <c r="T509" s="118" t="s">
        <v>138</v>
      </c>
      <c r="U509" s="118" t="s">
        <v>138</v>
      </c>
      <c r="V509" s="118" t="s">
        <v>138</v>
      </c>
      <c r="W509" s="118" t="s">
        <v>138</v>
      </c>
      <c r="X509" s="118" t="s">
        <v>138</v>
      </c>
      <c r="Y509" s="118" t="s">
        <v>138</v>
      </c>
      <c r="Z509" s="118" t="str">
        <f>IF('BD2'!$AA509 &lt; 14, "no", "si")</f>
        <v>no</v>
      </c>
      <c r="AA509" s="118"/>
      <c r="AB509" s="118"/>
      <c r="AC509" s="119" t="s">
        <v>967</v>
      </c>
      <c r="AD509" s="119" t="s">
        <v>1403</v>
      </c>
      <c r="AE509" s="118">
        <f t="shared" si="25"/>
        <v>7</v>
      </c>
      <c r="AF509" s="120" t="str">
        <f t="shared" si="23"/>
        <v>Funcional con observaciones</v>
      </c>
    </row>
    <row r="510" spans="1:32" x14ac:dyDescent="0.2">
      <c r="A510" s="121">
        <v>803</v>
      </c>
      <c r="B510" s="122" t="s">
        <v>1204</v>
      </c>
      <c r="C510" s="123" t="s">
        <v>14</v>
      </c>
      <c r="D510" s="123" t="s">
        <v>404</v>
      </c>
      <c r="E510" s="124" t="s">
        <v>1305</v>
      </c>
      <c r="F510" s="124" t="s">
        <v>1306</v>
      </c>
      <c r="G510" s="124" t="s">
        <v>360</v>
      </c>
      <c r="H510" s="122" t="s">
        <v>1207</v>
      </c>
      <c r="I510" s="123">
        <v>20.94303</v>
      </c>
      <c r="J510" s="123">
        <v>-101.42771999999999</v>
      </c>
      <c r="K510" s="122" t="s">
        <v>139</v>
      </c>
      <c r="L510" s="125" t="str">
        <f t="shared" si="24"/>
        <v>Ver en Google Maps</v>
      </c>
      <c r="M510" s="122">
        <v>1</v>
      </c>
      <c r="N510" s="108"/>
      <c r="O510" s="109">
        <f>DAY('BD2'!$N510)</f>
        <v>0</v>
      </c>
      <c r="P510" s="109">
        <f>MONTH('BD2'!$N510)</f>
        <v>1</v>
      </c>
      <c r="Q510" s="109">
        <f>YEAR('BD2'!$N510)</f>
        <v>1900</v>
      </c>
      <c r="R510" s="109">
        <v>2</v>
      </c>
      <c r="S510" s="109" t="s">
        <v>138</v>
      </c>
      <c r="T510" s="109" t="s">
        <v>138</v>
      </c>
      <c r="U510" s="109" t="s">
        <v>138</v>
      </c>
      <c r="V510" s="109" t="s">
        <v>138</v>
      </c>
      <c r="W510" s="109" t="s">
        <v>138</v>
      </c>
      <c r="X510" s="109" t="s">
        <v>138</v>
      </c>
      <c r="Y510" s="109" t="s">
        <v>138</v>
      </c>
      <c r="Z510" s="109" t="str">
        <f>IF('BD2'!$AA510 &lt; 14, "no", "si")</f>
        <v>no</v>
      </c>
      <c r="AA510" s="109"/>
      <c r="AB510" s="109"/>
      <c r="AC510" s="110" t="s">
        <v>1411</v>
      </c>
      <c r="AD510" s="110" t="s">
        <v>1403</v>
      </c>
      <c r="AE510" s="109">
        <f t="shared" si="25"/>
        <v>7</v>
      </c>
      <c r="AF510" s="111" t="str">
        <f t="shared" si="23"/>
        <v>Funcional con observaciones</v>
      </c>
    </row>
    <row r="511" spans="1:32" x14ac:dyDescent="0.2">
      <c r="A511" s="112">
        <v>847</v>
      </c>
      <c r="B511" s="113" t="s">
        <v>1204</v>
      </c>
      <c r="C511" s="114" t="s">
        <v>1279</v>
      </c>
      <c r="D511" s="114" t="s">
        <v>404</v>
      </c>
      <c r="E511" s="115" t="s">
        <v>1307</v>
      </c>
      <c r="F511" s="115" t="s">
        <v>1308</v>
      </c>
      <c r="G511" s="115" t="s">
        <v>1105</v>
      </c>
      <c r="H511" s="113" t="s">
        <v>1207</v>
      </c>
      <c r="I511" s="114">
        <v>20.944410000000001</v>
      </c>
      <c r="J511" s="114">
        <v>-101.428864</v>
      </c>
      <c r="K511" s="113" t="s">
        <v>139</v>
      </c>
      <c r="L511" s="116" t="str">
        <f t="shared" si="24"/>
        <v>Ver en Google Maps</v>
      </c>
      <c r="M511" s="113">
        <v>1</v>
      </c>
      <c r="N511" s="117"/>
      <c r="O511" s="118">
        <f>DAY('BD2'!$N511)</f>
        <v>0</v>
      </c>
      <c r="P511" s="118">
        <f>MONTH('BD2'!$N511)</f>
        <v>1</v>
      </c>
      <c r="Q511" s="118">
        <f>YEAR('BD2'!$N511)</f>
        <v>1900</v>
      </c>
      <c r="R511" s="118">
        <v>2</v>
      </c>
      <c r="S511" s="118" t="s">
        <v>138</v>
      </c>
      <c r="T511" s="118" t="s">
        <v>138</v>
      </c>
      <c r="U511" s="118" t="s">
        <v>138</v>
      </c>
      <c r="V511" s="118" t="s">
        <v>138</v>
      </c>
      <c r="W511" s="118" t="s">
        <v>138</v>
      </c>
      <c r="X511" s="118" t="s">
        <v>138</v>
      </c>
      <c r="Y511" s="118" t="s">
        <v>138</v>
      </c>
      <c r="Z511" s="118" t="str">
        <f>IF('BD2'!$AA511 &lt; 14, "no", "si")</f>
        <v>no</v>
      </c>
      <c r="AA511" s="118"/>
      <c r="AB511" s="118"/>
      <c r="AC511" s="119" t="s">
        <v>967</v>
      </c>
      <c r="AD511" s="119" t="s">
        <v>1403</v>
      </c>
      <c r="AE511" s="118">
        <f t="shared" si="25"/>
        <v>7</v>
      </c>
      <c r="AF511" s="120" t="str">
        <f t="shared" si="23"/>
        <v>Funcional con observaciones</v>
      </c>
    </row>
    <row r="512" spans="1:32" x14ac:dyDescent="0.2">
      <c r="A512" s="121">
        <v>849</v>
      </c>
      <c r="B512" s="122" t="s">
        <v>1204</v>
      </c>
      <c r="C512" s="123" t="s">
        <v>1383</v>
      </c>
      <c r="D512" s="123" t="s">
        <v>404</v>
      </c>
      <c r="E512" s="124" t="s">
        <v>1384</v>
      </c>
      <c r="F512" s="124" t="s">
        <v>1385</v>
      </c>
      <c r="G512" s="124" t="s">
        <v>1822</v>
      </c>
      <c r="H512" s="122" t="s">
        <v>1207</v>
      </c>
      <c r="I512" s="123">
        <v>20.943840000000002</v>
      </c>
      <c r="J512" s="123">
        <v>-101.40441</v>
      </c>
      <c r="K512" s="122"/>
      <c r="L512" s="125" t="str">
        <f t="shared" si="24"/>
        <v>Ver en Google Maps</v>
      </c>
      <c r="M512" s="122">
        <v>2</v>
      </c>
      <c r="N512" s="130"/>
      <c r="O512" s="109"/>
      <c r="P512" s="109"/>
      <c r="Q512" s="109"/>
      <c r="R512" s="109"/>
      <c r="S512" s="109"/>
      <c r="T512" s="109"/>
      <c r="U512" s="109"/>
      <c r="V512" s="109"/>
      <c r="W512" s="109"/>
      <c r="X512" s="109"/>
      <c r="Y512" s="109"/>
      <c r="Z512" s="109"/>
      <c r="AA512" s="109"/>
      <c r="AB512" s="109"/>
      <c r="AC512" s="110"/>
      <c r="AD512" s="110"/>
      <c r="AE512" s="109"/>
      <c r="AF512" s="111"/>
    </row>
    <row r="513" spans="1:32" x14ac:dyDescent="0.2">
      <c r="A513" s="112">
        <v>853</v>
      </c>
      <c r="B513" s="113" t="s">
        <v>1204</v>
      </c>
      <c r="C513" s="114" t="s">
        <v>87</v>
      </c>
      <c r="D513" s="114" t="s">
        <v>404</v>
      </c>
      <c r="E513" s="115" t="s">
        <v>1386</v>
      </c>
      <c r="F513" s="115" t="s">
        <v>1387</v>
      </c>
      <c r="G513" s="115" t="s">
        <v>1388</v>
      </c>
      <c r="H513" s="113" t="s">
        <v>1207</v>
      </c>
      <c r="I513" s="114">
        <v>20.950858</v>
      </c>
      <c r="J513" s="114">
        <v>-101.4096</v>
      </c>
      <c r="K513" s="113"/>
      <c r="L513" s="116" t="str">
        <f t="shared" si="24"/>
        <v>Ver en Google Maps</v>
      </c>
      <c r="M513" s="113">
        <v>2</v>
      </c>
      <c r="N513" s="129"/>
      <c r="O513" s="118"/>
      <c r="P513" s="118"/>
      <c r="Q513" s="118"/>
      <c r="R513" s="118"/>
      <c r="S513" s="118"/>
      <c r="T513" s="118"/>
      <c r="U513" s="118"/>
      <c r="V513" s="118"/>
      <c r="W513" s="118"/>
      <c r="X513" s="118"/>
      <c r="Y513" s="118"/>
      <c r="Z513" s="118"/>
      <c r="AA513" s="118"/>
      <c r="AB513" s="118"/>
      <c r="AC513" s="119"/>
      <c r="AD513" s="119"/>
      <c r="AE513" s="118"/>
      <c r="AF513" s="120"/>
    </row>
    <row r="514" spans="1:32" x14ac:dyDescent="0.2">
      <c r="A514" s="121">
        <v>871</v>
      </c>
      <c r="B514" s="122" t="s">
        <v>1204</v>
      </c>
      <c r="C514" s="123" t="s">
        <v>14</v>
      </c>
      <c r="D514" s="123" t="s">
        <v>735</v>
      </c>
      <c r="E514" s="124" t="s">
        <v>1389</v>
      </c>
      <c r="F514" s="124" t="s">
        <v>1390</v>
      </c>
      <c r="G514" s="124" t="s">
        <v>1823</v>
      </c>
      <c r="H514" s="122" t="s">
        <v>1207</v>
      </c>
      <c r="I514" s="123">
        <v>20.959503000000002</v>
      </c>
      <c r="J514" s="123">
        <v>-101.414338</v>
      </c>
      <c r="K514" s="122" t="s">
        <v>139</v>
      </c>
      <c r="L514" s="125" t="str">
        <f t="shared" si="24"/>
        <v>Ver en Google Maps</v>
      </c>
      <c r="M514" s="122">
        <v>2</v>
      </c>
      <c r="N514" s="108"/>
      <c r="O514" s="109">
        <f>DAY('BD2'!$N514)</f>
        <v>0</v>
      </c>
      <c r="P514" s="109">
        <f>MONTH('BD2'!$N514)</f>
        <v>1</v>
      </c>
      <c r="Q514" s="109">
        <f>YEAR('BD2'!$N514)</f>
        <v>1900</v>
      </c>
      <c r="R514" s="109">
        <v>2</v>
      </c>
      <c r="S514" s="109" t="s">
        <v>138</v>
      </c>
      <c r="T514" s="109" t="s">
        <v>138</v>
      </c>
      <c r="U514" s="109" t="s">
        <v>138</v>
      </c>
      <c r="V514" s="109" t="s">
        <v>138</v>
      </c>
      <c r="W514" s="109" t="s">
        <v>138</v>
      </c>
      <c r="X514" s="109" t="s">
        <v>138</v>
      </c>
      <c r="Y514" s="109" t="s">
        <v>138</v>
      </c>
      <c r="Z514" s="109" t="str">
        <f>IF('BD2'!$AA514 &lt; 14, "no", "si")</f>
        <v>no</v>
      </c>
      <c r="AA514" s="109"/>
      <c r="AB514" s="109"/>
      <c r="AC514" s="110" t="s">
        <v>967</v>
      </c>
      <c r="AD514" s="110" t="s">
        <v>1403</v>
      </c>
      <c r="AE514" s="109">
        <f t="shared" si="25"/>
        <v>7</v>
      </c>
      <c r="AF514" s="111" t="str">
        <f t="shared" si="23"/>
        <v>Funcional con observaciones</v>
      </c>
    </row>
    <row r="515" spans="1:32" x14ac:dyDescent="0.2">
      <c r="A515" s="112">
        <v>872</v>
      </c>
      <c r="B515" s="113" t="s">
        <v>1204</v>
      </c>
      <c r="C515" s="114" t="s">
        <v>14</v>
      </c>
      <c r="D515" s="114" t="s">
        <v>735</v>
      </c>
      <c r="E515" s="115" t="s">
        <v>1309</v>
      </c>
      <c r="F515" s="115" t="s">
        <v>1310</v>
      </c>
      <c r="G515" s="115" t="s">
        <v>1824</v>
      </c>
      <c r="H515" s="113" t="s">
        <v>1207</v>
      </c>
      <c r="I515" s="114">
        <v>20.935818999999999</v>
      </c>
      <c r="J515" s="114">
        <v>-101.425961</v>
      </c>
      <c r="K515" s="113" t="s">
        <v>139</v>
      </c>
      <c r="L515" s="116" t="str">
        <f t="shared" si="24"/>
        <v>Ver en Google Maps</v>
      </c>
      <c r="M515" s="113">
        <v>2</v>
      </c>
      <c r="N515" s="117"/>
      <c r="O515" s="118">
        <f>DAY('BD2'!$N515)</f>
        <v>0</v>
      </c>
      <c r="P515" s="118">
        <f>MONTH('BD2'!$N515)</f>
        <v>1</v>
      </c>
      <c r="Q515" s="118">
        <f>YEAR('BD2'!$N515)</f>
        <v>1900</v>
      </c>
      <c r="R515" s="118">
        <v>2</v>
      </c>
      <c r="S515" s="118" t="s">
        <v>138</v>
      </c>
      <c r="T515" s="118" t="s">
        <v>138</v>
      </c>
      <c r="U515" s="118" t="s">
        <v>138</v>
      </c>
      <c r="V515" s="118" t="s">
        <v>138</v>
      </c>
      <c r="W515" s="118" t="s">
        <v>138</v>
      </c>
      <c r="X515" s="118" t="s">
        <v>138</v>
      </c>
      <c r="Y515" s="118" t="s">
        <v>138</v>
      </c>
      <c r="Z515" s="118" t="str">
        <f>IF('BD2'!$AA515 &lt; 14, "no", "si")</f>
        <v>no</v>
      </c>
      <c r="AA515" s="118"/>
      <c r="AB515" s="118"/>
      <c r="AC515" s="119" t="s">
        <v>967</v>
      </c>
      <c r="AD515" s="119" t="s">
        <v>1403</v>
      </c>
      <c r="AE515" s="118">
        <f t="shared" si="25"/>
        <v>7</v>
      </c>
      <c r="AF515" s="120" t="str">
        <f t="shared" si="23"/>
        <v>Funcional con observaciones</v>
      </c>
    </row>
    <row r="516" spans="1:32" x14ac:dyDescent="0.2">
      <c r="A516" s="121">
        <v>884</v>
      </c>
      <c r="B516" s="122" t="s">
        <v>1204</v>
      </c>
      <c r="C516" s="123" t="s">
        <v>14</v>
      </c>
      <c r="D516" s="123" t="s">
        <v>404</v>
      </c>
      <c r="E516" s="124" t="s">
        <v>1311</v>
      </c>
      <c r="F516" s="124" t="s">
        <v>1312</v>
      </c>
      <c r="G516" s="124" t="s">
        <v>360</v>
      </c>
      <c r="H516" s="122" t="s">
        <v>1207</v>
      </c>
      <c r="I516" s="123">
        <v>20.943110999999998</v>
      </c>
      <c r="J516" s="123">
        <v>-101.42522</v>
      </c>
      <c r="K516" s="122" t="s">
        <v>139</v>
      </c>
      <c r="L516" s="125" t="str">
        <f t="shared" si="24"/>
        <v>Ver en Google Maps</v>
      </c>
      <c r="M516" s="122">
        <v>1</v>
      </c>
      <c r="N516" s="108"/>
      <c r="O516" s="109">
        <f>DAY('BD2'!$N516)</f>
        <v>0</v>
      </c>
      <c r="P516" s="109">
        <f>MONTH('BD2'!$N516)</f>
        <v>1</v>
      </c>
      <c r="Q516" s="109">
        <f>YEAR('BD2'!$N516)</f>
        <v>1900</v>
      </c>
      <c r="R516" s="109">
        <v>2</v>
      </c>
      <c r="S516" s="109" t="s">
        <v>138</v>
      </c>
      <c r="T516" s="109" t="s">
        <v>138</v>
      </c>
      <c r="U516" s="109" t="s">
        <v>138</v>
      </c>
      <c r="V516" s="109" t="s">
        <v>138</v>
      </c>
      <c r="W516" s="109" t="s">
        <v>138</v>
      </c>
      <c r="X516" s="109" t="s">
        <v>138</v>
      </c>
      <c r="Y516" s="109" t="s">
        <v>138</v>
      </c>
      <c r="Z516" s="109" t="str">
        <f>IF('BD2'!$AA516 &lt; 14, "no", "si")</f>
        <v>no</v>
      </c>
      <c r="AA516" s="109"/>
      <c r="AB516" s="109"/>
      <c r="AC516" s="110" t="s">
        <v>967</v>
      </c>
      <c r="AD516" s="110" t="s">
        <v>1403</v>
      </c>
      <c r="AE516" s="109">
        <f t="shared" si="25"/>
        <v>7</v>
      </c>
      <c r="AF516" s="111" t="str">
        <f t="shared" ref="AF516:AF579" si="26">IF(AE516=8,"Estable",(IF(AE516=7,"Funcional con observaciones", (IF(AE516=6,"Funcional con observaciones",(IF(AE516=5,"Rendimiento bajo",(IF(AE516=4,"Parcialmente funcional",(IF(AE516=3,"Parcialmente funcional",(IF(AE516=2,"Inoperativo",(IF(AE516=1,"Inoperativo","Crítico")))))))))))))))</f>
        <v>Funcional con observaciones</v>
      </c>
    </row>
    <row r="517" spans="1:32" x14ac:dyDescent="0.2">
      <c r="A517" s="112">
        <v>909</v>
      </c>
      <c r="B517" s="113" t="s">
        <v>1204</v>
      </c>
      <c r="C517" s="114" t="s">
        <v>14</v>
      </c>
      <c r="D517" s="114" t="s">
        <v>404</v>
      </c>
      <c r="E517" s="115" t="s">
        <v>1313</v>
      </c>
      <c r="F517" s="115" t="s">
        <v>1314</v>
      </c>
      <c r="G517" s="115" t="s">
        <v>360</v>
      </c>
      <c r="H517" s="113" t="s">
        <v>1207</v>
      </c>
      <c r="I517" s="114">
        <v>20.942916</v>
      </c>
      <c r="J517" s="114">
        <v>-101.42637999999999</v>
      </c>
      <c r="K517" s="113"/>
      <c r="L517" s="116" t="str">
        <f t="shared" si="24"/>
        <v>Ver en Google Maps</v>
      </c>
      <c r="M517" s="113">
        <v>1</v>
      </c>
      <c r="N517" s="129"/>
      <c r="O517" s="118"/>
      <c r="P517" s="118"/>
      <c r="Q517" s="118"/>
      <c r="R517" s="118"/>
      <c r="S517" s="118"/>
      <c r="T517" s="118"/>
      <c r="U517" s="118"/>
      <c r="V517" s="118"/>
      <c r="W517" s="118"/>
      <c r="X517" s="118"/>
      <c r="Y517" s="118"/>
      <c r="Z517" s="118"/>
      <c r="AA517" s="118"/>
      <c r="AB517" s="118"/>
      <c r="AC517" s="119"/>
      <c r="AD517" s="119"/>
      <c r="AE517" s="118"/>
      <c r="AF517" s="120"/>
    </row>
    <row r="518" spans="1:32" x14ac:dyDescent="0.2">
      <c r="A518" s="121">
        <v>940</v>
      </c>
      <c r="B518" s="122" t="s">
        <v>1204</v>
      </c>
      <c r="C518" s="123" t="s">
        <v>336</v>
      </c>
      <c r="D518" s="123" t="s">
        <v>132</v>
      </c>
      <c r="E518" s="124" t="s">
        <v>1391</v>
      </c>
      <c r="F518" s="124" t="s">
        <v>1392</v>
      </c>
      <c r="G518" s="124" t="s">
        <v>1805</v>
      </c>
      <c r="H518" s="122" t="s">
        <v>1207</v>
      </c>
      <c r="I518" s="123">
        <v>20.92251422</v>
      </c>
      <c r="J518" s="123">
        <v>-101.4440711</v>
      </c>
      <c r="K518" s="122"/>
      <c r="L518" s="125" t="str">
        <f t="shared" ref="L518:L585" si="27">HYPERLINK("https://www.google.com/maps?q=" &amp; I518 &amp; "," &amp; J518, "Ver en Google Maps")</f>
        <v>Ver en Google Maps</v>
      </c>
      <c r="M518" s="122">
        <v>2</v>
      </c>
      <c r="N518" s="130"/>
      <c r="O518" s="109"/>
      <c r="P518" s="109"/>
      <c r="Q518" s="109"/>
      <c r="R518" s="109"/>
      <c r="S518" s="109"/>
      <c r="T518" s="109"/>
      <c r="U518" s="109"/>
      <c r="V518" s="109"/>
      <c r="W518" s="109"/>
      <c r="X518" s="109"/>
      <c r="Y518" s="109"/>
      <c r="Z518" s="109"/>
      <c r="AA518" s="109"/>
      <c r="AB518" s="109"/>
      <c r="AC518" s="110"/>
      <c r="AD518" s="110"/>
      <c r="AE518" s="109"/>
      <c r="AF518" s="111"/>
    </row>
    <row r="519" spans="1:32" x14ac:dyDescent="0.2">
      <c r="A519" s="112">
        <v>955</v>
      </c>
      <c r="B519" s="113" t="s">
        <v>1204</v>
      </c>
      <c r="C519" s="114" t="s">
        <v>132</v>
      </c>
      <c r="D519" s="114" t="s">
        <v>132</v>
      </c>
      <c r="E519" s="115" t="s">
        <v>1315</v>
      </c>
      <c r="F519" s="115" t="s">
        <v>1316</v>
      </c>
      <c r="G519" s="115" t="s">
        <v>1800</v>
      </c>
      <c r="H519" s="113" t="s">
        <v>1207</v>
      </c>
      <c r="I519" s="114">
        <v>20.964094559999999</v>
      </c>
      <c r="J519" s="114">
        <v>-101.4185951</v>
      </c>
      <c r="K519" s="113"/>
      <c r="L519" s="116" t="str">
        <f t="shared" si="27"/>
        <v>Ver en Google Maps</v>
      </c>
      <c r="M519" s="113">
        <v>3</v>
      </c>
      <c r="N519" s="129"/>
      <c r="O519" s="118"/>
      <c r="P519" s="118"/>
      <c r="Q519" s="118"/>
      <c r="R519" s="118"/>
      <c r="S519" s="118"/>
      <c r="T519" s="118"/>
      <c r="U519" s="118"/>
      <c r="V519" s="118"/>
      <c r="W519" s="118"/>
      <c r="X519" s="118"/>
      <c r="Y519" s="118"/>
      <c r="Z519" s="118"/>
      <c r="AA519" s="118"/>
      <c r="AB519" s="118"/>
      <c r="AC519" s="119"/>
      <c r="AD519" s="119"/>
      <c r="AE519" s="118"/>
      <c r="AF519" s="120"/>
    </row>
    <row r="520" spans="1:32" x14ac:dyDescent="0.2">
      <c r="A520" s="121">
        <v>999</v>
      </c>
      <c r="B520" s="122" t="s">
        <v>1204</v>
      </c>
      <c r="C520" s="123" t="s">
        <v>87</v>
      </c>
      <c r="D520" s="123" t="s">
        <v>805</v>
      </c>
      <c r="E520" s="124" t="s">
        <v>1393</v>
      </c>
      <c r="F520" s="124" t="s">
        <v>1394</v>
      </c>
      <c r="G520" s="124" t="s">
        <v>1395</v>
      </c>
      <c r="H520" s="122" t="s">
        <v>1207</v>
      </c>
      <c r="I520" s="123">
        <v>20.9422</v>
      </c>
      <c r="J520" s="123">
        <v>-101.465</v>
      </c>
      <c r="K520" s="122"/>
      <c r="L520" s="125" t="str">
        <f t="shared" si="27"/>
        <v>Ver en Google Maps</v>
      </c>
      <c r="M520" s="122">
        <v>2</v>
      </c>
      <c r="N520" s="130"/>
      <c r="O520" s="109"/>
      <c r="P520" s="109"/>
      <c r="Q520" s="109"/>
      <c r="R520" s="109"/>
      <c r="S520" s="109"/>
      <c r="T520" s="109"/>
      <c r="U520" s="109"/>
      <c r="V520" s="109"/>
      <c r="W520" s="109"/>
      <c r="X520" s="109"/>
      <c r="Y520" s="109"/>
      <c r="Z520" s="109"/>
      <c r="AA520" s="109"/>
      <c r="AB520" s="109"/>
      <c r="AC520" s="110"/>
      <c r="AD520" s="110"/>
      <c r="AE520" s="109"/>
      <c r="AF520" s="111"/>
    </row>
    <row r="521" spans="1:32" x14ac:dyDescent="0.2">
      <c r="A521" s="112">
        <v>1010</v>
      </c>
      <c r="B521" s="113" t="s">
        <v>1204</v>
      </c>
      <c r="C521" s="114" t="s">
        <v>87</v>
      </c>
      <c r="D521" s="114" t="s">
        <v>782</v>
      </c>
      <c r="E521" s="115" t="s">
        <v>1396</v>
      </c>
      <c r="F521" s="115" t="s">
        <v>1397</v>
      </c>
      <c r="G521" s="115" t="s">
        <v>1825</v>
      </c>
      <c r="H521" s="113" t="s">
        <v>1207</v>
      </c>
      <c r="I521" s="114">
        <v>20.953728000000002</v>
      </c>
      <c r="J521" s="114">
        <v>-101.40996</v>
      </c>
      <c r="K521" s="113"/>
      <c r="L521" s="116" t="str">
        <f t="shared" si="27"/>
        <v>Ver en Google Maps</v>
      </c>
      <c r="M521" s="113">
        <v>2</v>
      </c>
      <c r="N521" s="129"/>
      <c r="O521" s="118"/>
      <c r="P521" s="118"/>
      <c r="Q521" s="118"/>
      <c r="R521" s="118"/>
      <c r="S521" s="118"/>
      <c r="T521" s="118"/>
      <c r="U521" s="118"/>
      <c r="V521" s="118"/>
      <c r="W521" s="118"/>
      <c r="X521" s="118"/>
      <c r="Y521" s="118"/>
      <c r="Z521" s="118"/>
      <c r="AA521" s="118"/>
      <c r="AB521" s="118"/>
      <c r="AC521" s="119"/>
      <c r="AD521" s="119"/>
      <c r="AE521" s="118"/>
      <c r="AF521" s="120"/>
    </row>
    <row r="522" spans="1:32" x14ac:dyDescent="0.2">
      <c r="A522" s="121">
        <v>1080</v>
      </c>
      <c r="B522" s="122" t="s">
        <v>1204</v>
      </c>
      <c r="C522" s="123" t="s">
        <v>336</v>
      </c>
      <c r="D522" s="123" t="s">
        <v>336</v>
      </c>
      <c r="E522" s="124" t="s">
        <v>1398</v>
      </c>
      <c r="F522" s="124" t="s">
        <v>1399</v>
      </c>
      <c r="G522" s="124" t="s">
        <v>1826</v>
      </c>
      <c r="H522" s="122" t="s">
        <v>1207</v>
      </c>
      <c r="I522" s="123">
        <v>20.928149999999999</v>
      </c>
      <c r="J522" s="123">
        <v>-101.44673</v>
      </c>
      <c r="K522" s="122"/>
      <c r="L522" s="125" t="str">
        <f t="shared" si="27"/>
        <v>Ver en Google Maps</v>
      </c>
      <c r="M522" s="122">
        <v>3</v>
      </c>
      <c r="N522" s="130"/>
      <c r="O522" s="109"/>
      <c r="P522" s="109"/>
      <c r="Q522" s="109"/>
      <c r="R522" s="109"/>
      <c r="S522" s="109"/>
      <c r="T522" s="109"/>
      <c r="U522" s="109"/>
      <c r="V522" s="109"/>
      <c r="W522" s="109"/>
      <c r="X522" s="109"/>
      <c r="Y522" s="109"/>
      <c r="Z522" s="109"/>
      <c r="AA522" s="109"/>
      <c r="AB522" s="109"/>
      <c r="AC522" s="110"/>
      <c r="AD522" s="110"/>
      <c r="AE522" s="109"/>
      <c r="AF522" s="111"/>
    </row>
    <row r="523" spans="1:32" x14ac:dyDescent="0.2">
      <c r="A523" s="112">
        <v>1087</v>
      </c>
      <c r="B523" s="113" t="s">
        <v>1204</v>
      </c>
      <c r="C523" s="114" t="s">
        <v>14</v>
      </c>
      <c r="D523" s="114" t="s">
        <v>404</v>
      </c>
      <c r="E523" s="115" t="s">
        <v>1317</v>
      </c>
      <c r="F523" s="115" t="s">
        <v>1318</v>
      </c>
      <c r="G523" s="115" t="s">
        <v>360</v>
      </c>
      <c r="H523" s="113" t="s">
        <v>1207</v>
      </c>
      <c r="I523" s="114">
        <v>20.944531399999999</v>
      </c>
      <c r="J523" s="114">
        <v>-101.4262856</v>
      </c>
      <c r="K523" s="113" t="s">
        <v>139</v>
      </c>
      <c r="L523" s="116" t="str">
        <f t="shared" si="27"/>
        <v>Ver en Google Maps</v>
      </c>
      <c r="M523" s="113">
        <v>1</v>
      </c>
      <c r="N523" s="117"/>
      <c r="O523" s="118">
        <f>DAY('BD2'!$N523)</f>
        <v>0</v>
      </c>
      <c r="P523" s="118">
        <f>MONTH('BD2'!$N523)</f>
        <v>1</v>
      </c>
      <c r="Q523" s="118">
        <f>YEAR('BD2'!$N523)</f>
        <v>1900</v>
      </c>
      <c r="R523" s="118">
        <v>2</v>
      </c>
      <c r="S523" s="118" t="s">
        <v>138</v>
      </c>
      <c r="T523" s="118" t="s">
        <v>138</v>
      </c>
      <c r="U523" s="118" t="s">
        <v>138</v>
      </c>
      <c r="V523" s="118" t="s">
        <v>138</v>
      </c>
      <c r="W523" s="118" t="s">
        <v>138</v>
      </c>
      <c r="X523" s="118" t="s">
        <v>138</v>
      </c>
      <c r="Y523" s="118" t="s">
        <v>138</v>
      </c>
      <c r="Z523" s="118" t="str">
        <f>IF('BD2'!$AA523 &lt; 14, "no", "si")</f>
        <v>no</v>
      </c>
      <c r="AA523" s="118"/>
      <c r="AB523" s="118"/>
      <c r="AC523" s="119" t="s">
        <v>1412</v>
      </c>
      <c r="AD523" s="119" t="s">
        <v>1403</v>
      </c>
      <c r="AE523" s="118">
        <f t="shared" ref="AE523:AE540" si="28">COUNTIF(S523:Z523, "si")</f>
        <v>7</v>
      </c>
      <c r="AF523" s="120" t="str">
        <f t="shared" si="26"/>
        <v>Funcional con observaciones</v>
      </c>
    </row>
    <row r="524" spans="1:32" ht="12.75" thickBot="1" x14ac:dyDescent="0.25">
      <c r="A524" s="121">
        <v>1109</v>
      </c>
      <c r="B524" s="122" t="s">
        <v>1204</v>
      </c>
      <c r="C524" s="123" t="s">
        <v>132</v>
      </c>
      <c r="D524" s="123" t="s">
        <v>132</v>
      </c>
      <c r="E524" s="124" t="s">
        <v>1400</v>
      </c>
      <c r="F524" s="124" t="s">
        <v>1401</v>
      </c>
      <c r="G524" s="124" t="s">
        <v>1332</v>
      </c>
      <c r="H524" s="122" t="s">
        <v>1207</v>
      </c>
      <c r="I524" s="123">
        <v>20.919789999999999</v>
      </c>
      <c r="J524" s="123">
        <v>-101.39901</v>
      </c>
      <c r="K524" s="122"/>
      <c r="L524" s="125" t="str">
        <f t="shared" si="27"/>
        <v>Ver en Google Maps</v>
      </c>
      <c r="M524" s="122">
        <v>2</v>
      </c>
      <c r="N524" s="130"/>
      <c r="O524" s="109"/>
      <c r="P524" s="109"/>
      <c r="Q524" s="109"/>
      <c r="R524" s="109"/>
      <c r="S524" s="109"/>
      <c r="T524" s="109"/>
      <c r="U524" s="109"/>
      <c r="V524" s="109"/>
      <c r="W524" s="109"/>
      <c r="X524" s="109"/>
      <c r="Y524" s="109"/>
      <c r="Z524" s="109"/>
      <c r="AA524" s="109"/>
      <c r="AB524" s="109"/>
      <c r="AC524" s="110"/>
      <c r="AD524" s="110"/>
      <c r="AE524" s="109"/>
      <c r="AF524" s="111"/>
    </row>
    <row r="525" spans="1:32" ht="12.75" thickBot="1" x14ac:dyDescent="0.25">
      <c r="A525" s="132" t="s">
        <v>2420</v>
      </c>
      <c r="B525" s="133" t="s">
        <v>1204</v>
      </c>
      <c r="C525" s="134" t="s">
        <v>7</v>
      </c>
      <c r="D525" s="134" t="s">
        <v>404</v>
      </c>
      <c r="E525" s="135" t="s">
        <v>1426</v>
      </c>
      <c r="F525" s="135" t="s">
        <v>1427</v>
      </c>
      <c r="G525" s="135" t="s">
        <v>1827</v>
      </c>
      <c r="H525" s="133" t="s">
        <v>1428</v>
      </c>
      <c r="I525" s="134">
        <v>20.527583</v>
      </c>
      <c r="J525" s="134">
        <v>-100.81063899999999</v>
      </c>
      <c r="K525" s="133" t="s">
        <v>139</v>
      </c>
      <c r="L525" s="136" t="str">
        <f t="shared" si="27"/>
        <v>Ver en Google Maps</v>
      </c>
      <c r="M525" s="133">
        <v>2</v>
      </c>
      <c r="N525" s="117">
        <v>45962</v>
      </c>
      <c r="O525" s="118">
        <f>DAY('BD2'!$N525)</f>
        <v>1</v>
      </c>
      <c r="P525" s="118">
        <f>MONTH('BD2'!$N525)</f>
        <v>11</v>
      </c>
      <c r="Q525" s="118">
        <f>YEAR('BD2'!$N525)</f>
        <v>2025</v>
      </c>
      <c r="R525" s="118">
        <v>2</v>
      </c>
      <c r="S525" s="118" t="s">
        <v>138</v>
      </c>
      <c r="T525" s="118" t="s">
        <v>138</v>
      </c>
      <c r="U525" s="118" t="s">
        <v>138</v>
      </c>
      <c r="V525" s="118" t="s">
        <v>138</v>
      </c>
      <c r="W525" s="118" t="s">
        <v>138</v>
      </c>
      <c r="X525" s="118" t="s">
        <v>138</v>
      </c>
      <c r="Y525" s="118" t="s">
        <v>138</v>
      </c>
      <c r="Z525" s="118" t="str">
        <f>IF('BD2'!$AA525 &lt; 14, "no", "si")</f>
        <v>si</v>
      </c>
      <c r="AA525" s="118">
        <v>15.7</v>
      </c>
      <c r="AB525" s="118">
        <v>7.32</v>
      </c>
      <c r="AC525" s="119" t="s">
        <v>967</v>
      </c>
      <c r="AD525" s="119" t="s">
        <v>1403</v>
      </c>
      <c r="AE525" s="118">
        <f t="shared" si="28"/>
        <v>8</v>
      </c>
      <c r="AF525" s="120" t="str">
        <f t="shared" si="26"/>
        <v>Estable</v>
      </c>
    </row>
    <row r="526" spans="1:32" x14ac:dyDescent="0.2">
      <c r="A526" s="121" t="s">
        <v>2421</v>
      </c>
      <c r="B526" s="104" t="s">
        <v>1204</v>
      </c>
      <c r="C526" s="105" t="s">
        <v>7</v>
      </c>
      <c r="D526" s="105" t="s">
        <v>404</v>
      </c>
      <c r="E526" s="106" t="s">
        <v>1426</v>
      </c>
      <c r="F526" s="106" t="s">
        <v>1427</v>
      </c>
      <c r="G526" s="106" t="s">
        <v>1827</v>
      </c>
      <c r="H526" s="104" t="s">
        <v>1428</v>
      </c>
      <c r="I526" s="105">
        <v>20.527583</v>
      </c>
      <c r="J526" s="105">
        <v>-100.81063899999999</v>
      </c>
      <c r="K526" s="104" t="s">
        <v>139</v>
      </c>
      <c r="L526" s="107" t="str">
        <f t="shared" si="27"/>
        <v>Ver en Google Maps</v>
      </c>
      <c r="M526" s="104">
        <v>2</v>
      </c>
      <c r="N526" s="108">
        <v>45962</v>
      </c>
      <c r="O526" s="109">
        <f>DAY('BD2'!$N526)</f>
        <v>1</v>
      </c>
      <c r="P526" s="109">
        <f>MONTH('BD2'!$N526)</f>
        <v>11</v>
      </c>
      <c r="Q526" s="109">
        <f>YEAR('BD2'!$N526)</f>
        <v>2025</v>
      </c>
      <c r="R526" s="109">
        <v>2</v>
      </c>
      <c r="S526" s="109" t="s">
        <v>138</v>
      </c>
      <c r="T526" s="109" t="s">
        <v>138</v>
      </c>
      <c r="U526" s="109" t="s">
        <v>138</v>
      </c>
      <c r="V526" s="109" t="s">
        <v>138</v>
      </c>
      <c r="W526" s="109" t="s">
        <v>138</v>
      </c>
      <c r="X526" s="109" t="s">
        <v>138</v>
      </c>
      <c r="Y526" s="109" t="s">
        <v>138</v>
      </c>
      <c r="Z526" s="109" t="str">
        <f>IF('BD2'!$AA526 &lt; 14, "no", "si")</f>
        <v>no</v>
      </c>
      <c r="AA526" s="109">
        <v>4.12</v>
      </c>
      <c r="AB526" s="109">
        <v>5</v>
      </c>
      <c r="AC526" s="110" t="s">
        <v>1412</v>
      </c>
      <c r="AD526" s="110" t="s">
        <v>1403</v>
      </c>
      <c r="AE526" s="109">
        <f t="shared" si="28"/>
        <v>7</v>
      </c>
      <c r="AF526" s="111" t="str">
        <f t="shared" si="26"/>
        <v>Funcional con observaciones</v>
      </c>
    </row>
    <row r="527" spans="1:32" x14ac:dyDescent="0.2">
      <c r="A527" s="112">
        <v>38</v>
      </c>
      <c r="B527" s="113" t="s">
        <v>1204</v>
      </c>
      <c r="C527" s="114" t="s">
        <v>7</v>
      </c>
      <c r="D527" s="114" t="s">
        <v>404</v>
      </c>
      <c r="E527" s="115" t="s">
        <v>1429</v>
      </c>
      <c r="F527" s="115" t="s">
        <v>1430</v>
      </c>
      <c r="G527" s="115" t="s">
        <v>1828</v>
      </c>
      <c r="H527" s="113" t="s">
        <v>1428</v>
      </c>
      <c r="I527" s="114">
        <v>20.555498</v>
      </c>
      <c r="J527" s="114">
        <v>-100.85095099999999</v>
      </c>
      <c r="K527" s="113" t="s">
        <v>139</v>
      </c>
      <c r="L527" s="116" t="str">
        <f t="shared" si="27"/>
        <v>Ver en Google Maps</v>
      </c>
      <c r="M527" s="113">
        <v>1</v>
      </c>
      <c r="N527" s="117">
        <v>45962</v>
      </c>
      <c r="O527" s="118">
        <f>DAY('BD2'!$N527)</f>
        <v>1</v>
      </c>
      <c r="P527" s="118">
        <f>MONTH('BD2'!$N527)</f>
        <v>11</v>
      </c>
      <c r="Q527" s="118">
        <f>YEAR('BD2'!$N527)</f>
        <v>2025</v>
      </c>
      <c r="R527" s="118">
        <v>2</v>
      </c>
      <c r="S527" s="118" t="s">
        <v>138</v>
      </c>
      <c r="T527" s="118" t="s">
        <v>138</v>
      </c>
      <c r="U527" s="118" t="s">
        <v>138</v>
      </c>
      <c r="V527" s="118" t="s">
        <v>138</v>
      </c>
      <c r="W527" s="118" t="s">
        <v>138</v>
      </c>
      <c r="X527" s="118" t="s">
        <v>138</v>
      </c>
      <c r="Y527" s="118" t="s">
        <v>138</v>
      </c>
      <c r="Z527" s="118" t="str">
        <f>IF('BD2'!$AA527 &lt; 14, "no", "si")</f>
        <v>si</v>
      </c>
      <c r="AA527" s="118">
        <v>40.5</v>
      </c>
      <c r="AB527" s="118">
        <v>40.6</v>
      </c>
      <c r="AC527" s="119" t="s">
        <v>967</v>
      </c>
      <c r="AD527" s="119" t="s">
        <v>1403</v>
      </c>
      <c r="AE527" s="118">
        <f t="shared" si="28"/>
        <v>8</v>
      </c>
      <c r="AF527" s="120" t="str">
        <f t="shared" si="26"/>
        <v>Estable</v>
      </c>
    </row>
    <row r="528" spans="1:32" x14ac:dyDescent="0.2">
      <c r="A528" s="121">
        <v>39</v>
      </c>
      <c r="B528" s="122" t="s">
        <v>1204</v>
      </c>
      <c r="C528" s="123" t="s">
        <v>7</v>
      </c>
      <c r="D528" s="123" t="s">
        <v>404</v>
      </c>
      <c r="E528" s="124" t="s">
        <v>1431</v>
      </c>
      <c r="F528" s="124" t="s">
        <v>1432</v>
      </c>
      <c r="G528" s="124" t="s">
        <v>1829</v>
      </c>
      <c r="H528" s="122" t="s">
        <v>1428</v>
      </c>
      <c r="I528" s="123">
        <v>20.520765999999998</v>
      </c>
      <c r="J528" s="123">
        <v>-100.813337</v>
      </c>
      <c r="K528" s="122" t="s">
        <v>139</v>
      </c>
      <c r="L528" s="125" t="str">
        <f t="shared" si="27"/>
        <v>Ver en Google Maps</v>
      </c>
      <c r="M528" s="122">
        <v>1</v>
      </c>
      <c r="N528" s="108">
        <v>45962</v>
      </c>
      <c r="O528" s="109">
        <f>DAY('BD2'!$N528)</f>
        <v>1</v>
      </c>
      <c r="P528" s="109">
        <f>MONTH('BD2'!$N528)</f>
        <v>11</v>
      </c>
      <c r="Q528" s="109">
        <f>YEAR('BD2'!$N528)</f>
        <v>2025</v>
      </c>
      <c r="R528" s="109">
        <v>2</v>
      </c>
      <c r="S528" s="109" t="s">
        <v>138</v>
      </c>
      <c r="T528" s="109" t="s">
        <v>138</v>
      </c>
      <c r="U528" s="109" t="s">
        <v>138</v>
      </c>
      <c r="V528" s="109" t="s">
        <v>138</v>
      </c>
      <c r="W528" s="109" t="s">
        <v>138</v>
      </c>
      <c r="X528" s="109" t="s">
        <v>138</v>
      </c>
      <c r="Y528" s="109" t="s">
        <v>138</v>
      </c>
      <c r="Z528" s="109" t="str">
        <f>IF('BD2'!$AA528 &lt; 14, "no", "si")</f>
        <v>si</v>
      </c>
      <c r="AA528" s="109">
        <v>25.2</v>
      </c>
      <c r="AB528" s="109">
        <v>30.8</v>
      </c>
      <c r="AC528" s="110" t="s">
        <v>3025</v>
      </c>
      <c r="AD528" s="110" t="s">
        <v>1403</v>
      </c>
      <c r="AE528" s="109">
        <f t="shared" si="28"/>
        <v>8</v>
      </c>
      <c r="AF528" s="111" t="str">
        <f t="shared" si="26"/>
        <v>Estable</v>
      </c>
    </row>
    <row r="529" spans="1:32" x14ac:dyDescent="0.2">
      <c r="A529" s="112">
        <v>40</v>
      </c>
      <c r="B529" s="113" t="s">
        <v>1204</v>
      </c>
      <c r="C529" s="114" t="s">
        <v>7</v>
      </c>
      <c r="D529" s="114" t="s">
        <v>404</v>
      </c>
      <c r="E529" s="115" t="s">
        <v>1433</v>
      </c>
      <c r="F529" s="115" t="s">
        <v>1434</v>
      </c>
      <c r="G529" s="115" t="s">
        <v>1105</v>
      </c>
      <c r="H529" s="113" t="s">
        <v>1428</v>
      </c>
      <c r="I529" s="114">
        <v>20.521639</v>
      </c>
      <c r="J529" s="114">
        <v>-100.81219400000001</v>
      </c>
      <c r="K529" s="113" t="s">
        <v>139</v>
      </c>
      <c r="L529" s="116" t="str">
        <f t="shared" si="27"/>
        <v>Ver en Google Maps</v>
      </c>
      <c r="M529" s="113">
        <v>1</v>
      </c>
      <c r="N529" s="117">
        <v>45962</v>
      </c>
      <c r="O529" s="118">
        <f>DAY('BD2'!$N529)</f>
        <v>1</v>
      </c>
      <c r="P529" s="118">
        <f>MONTH('BD2'!$N529)</f>
        <v>11</v>
      </c>
      <c r="Q529" s="118">
        <f>YEAR('BD2'!$N529)</f>
        <v>2025</v>
      </c>
      <c r="R529" s="118">
        <v>2</v>
      </c>
      <c r="S529" s="118" t="s">
        <v>138</v>
      </c>
      <c r="T529" s="118" t="s">
        <v>138</v>
      </c>
      <c r="U529" s="118" t="s">
        <v>138</v>
      </c>
      <c r="V529" s="118" t="s">
        <v>138</v>
      </c>
      <c r="W529" s="118" t="s">
        <v>138</v>
      </c>
      <c r="X529" s="118" t="s">
        <v>138</v>
      </c>
      <c r="Y529" s="118" t="s">
        <v>138</v>
      </c>
      <c r="Z529" s="118" t="str">
        <f>IF('BD2'!$AA529 &lt; 14, "no", "si")</f>
        <v>si</v>
      </c>
      <c r="AA529" s="118">
        <v>22.7</v>
      </c>
      <c r="AB529" s="118">
        <v>1.55</v>
      </c>
      <c r="AC529" s="119" t="s">
        <v>967</v>
      </c>
      <c r="AD529" s="119" t="s">
        <v>1403</v>
      </c>
      <c r="AE529" s="118">
        <f t="shared" si="28"/>
        <v>8</v>
      </c>
      <c r="AF529" s="120" t="str">
        <f t="shared" si="26"/>
        <v>Estable</v>
      </c>
    </row>
    <row r="530" spans="1:32" x14ac:dyDescent="0.2">
      <c r="A530" s="121" t="s">
        <v>3130</v>
      </c>
      <c r="B530" s="122" t="s">
        <v>1204</v>
      </c>
      <c r="C530" s="123" t="s">
        <v>7</v>
      </c>
      <c r="D530" s="123" t="s">
        <v>404</v>
      </c>
      <c r="E530" s="124" t="s">
        <v>1435</v>
      </c>
      <c r="F530" s="124" t="s">
        <v>1436</v>
      </c>
      <c r="G530" s="124" t="s">
        <v>1114</v>
      </c>
      <c r="H530" s="122" t="s">
        <v>1428</v>
      </c>
      <c r="I530" s="123">
        <v>20.517738999999999</v>
      </c>
      <c r="J530" s="123">
        <v>-100.82928</v>
      </c>
      <c r="K530" s="122" t="s">
        <v>139</v>
      </c>
      <c r="L530" s="125" t="str">
        <f t="shared" si="27"/>
        <v>Ver en Google Maps</v>
      </c>
      <c r="M530" s="122">
        <v>2</v>
      </c>
      <c r="N530" s="108">
        <v>45962</v>
      </c>
      <c r="O530" s="109">
        <f>DAY('BD2'!$N530)</f>
        <v>1</v>
      </c>
      <c r="P530" s="109">
        <f>MONTH('BD2'!$N530)</f>
        <v>11</v>
      </c>
      <c r="Q530" s="109">
        <f>YEAR('BD2'!$N530)</f>
        <v>2025</v>
      </c>
      <c r="R530" s="109">
        <v>2</v>
      </c>
      <c r="S530" s="109" t="s">
        <v>138</v>
      </c>
      <c r="T530" s="109" t="s">
        <v>138</v>
      </c>
      <c r="U530" s="109" t="s">
        <v>138</v>
      </c>
      <c r="V530" s="109" t="s">
        <v>138</v>
      </c>
      <c r="W530" s="109" t="s">
        <v>138</v>
      </c>
      <c r="X530" s="109" t="s">
        <v>138</v>
      </c>
      <c r="Y530" s="109" t="s">
        <v>138</v>
      </c>
      <c r="Z530" s="109" t="str">
        <f>IF('BD2'!$AA530 &lt; 14, "no", "si")</f>
        <v>si</v>
      </c>
      <c r="AA530" s="109">
        <v>34.6</v>
      </c>
      <c r="AB530" s="109">
        <v>22.8</v>
      </c>
      <c r="AC530" s="110" t="s">
        <v>967</v>
      </c>
      <c r="AD530" s="110" t="s">
        <v>1403</v>
      </c>
      <c r="AE530" s="109">
        <f t="shared" si="28"/>
        <v>8</v>
      </c>
      <c r="AF530" s="111" t="str">
        <f t="shared" si="26"/>
        <v>Estable</v>
      </c>
    </row>
    <row r="531" spans="1:32" x14ac:dyDescent="0.2">
      <c r="A531" s="112" t="s">
        <v>3131</v>
      </c>
      <c r="B531" s="113" t="s">
        <v>1204</v>
      </c>
      <c r="C531" s="114" t="s">
        <v>7</v>
      </c>
      <c r="D531" s="114" t="s">
        <v>404</v>
      </c>
      <c r="E531" s="115" t="s">
        <v>1435</v>
      </c>
      <c r="F531" s="115" t="s">
        <v>1436</v>
      </c>
      <c r="G531" s="115" t="s">
        <v>1114</v>
      </c>
      <c r="H531" s="113" t="s">
        <v>1428</v>
      </c>
      <c r="I531" s="114">
        <v>20.517738999999999</v>
      </c>
      <c r="J531" s="114">
        <v>-100.82928</v>
      </c>
      <c r="K531" s="113" t="s">
        <v>139</v>
      </c>
      <c r="L531" s="116" t="str">
        <f t="shared" ref="L531" si="29">HYPERLINK("https://www.google.com/maps?q=" &amp; I531 &amp; "," &amp; J531, "Ver en Google Maps")</f>
        <v>Ver en Google Maps</v>
      </c>
      <c r="M531" s="113">
        <v>2</v>
      </c>
      <c r="N531" s="117">
        <v>45962</v>
      </c>
      <c r="O531" s="118">
        <f>DAY('BD2'!$N531)</f>
        <v>1</v>
      </c>
      <c r="P531" s="118">
        <f>MONTH('BD2'!$N531)</f>
        <v>11</v>
      </c>
      <c r="Q531" s="118">
        <f>YEAR('BD2'!$N531)</f>
        <v>2025</v>
      </c>
      <c r="R531" s="118">
        <v>2</v>
      </c>
      <c r="S531" s="118" t="s">
        <v>138</v>
      </c>
      <c r="T531" s="118" t="s">
        <v>138</v>
      </c>
      <c r="U531" s="118" t="s">
        <v>138</v>
      </c>
      <c r="V531" s="118" t="s">
        <v>138</v>
      </c>
      <c r="W531" s="118" t="s">
        <v>138</v>
      </c>
      <c r="X531" s="118" t="s">
        <v>138</v>
      </c>
      <c r="Y531" s="118" t="s">
        <v>138</v>
      </c>
      <c r="Z531" s="118" t="str">
        <f>IF('BD2'!$AA531 &lt; 14, "no", "si")</f>
        <v>si</v>
      </c>
      <c r="AA531" s="118">
        <v>42</v>
      </c>
      <c r="AB531" s="118">
        <v>15.4</v>
      </c>
      <c r="AC531" s="119" t="s">
        <v>967</v>
      </c>
      <c r="AD531" s="119" t="s">
        <v>1403</v>
      </c>
      <c r="AE531" s="118">
        <f>COUNTIF(S531:Z531, "si")</f>
        <v>8</v>
      </c>
      <c r="AF531" s="120" t="str">
        <f t="shared" si="26"/>
        <v>Estable</v>
      </c>
    </row>
    <row r="532" spans="1:32" x14ac:dyDescent="0.2">
      <c r="A532" s="121">
        <v>42</v>
      </c>
      <c r="B532" s="122" t="s">
        <v>1204</v>
      </c>
      <c r="C532" s="123" t="s">
        <v>7</v>
      </c>
      <c r="D532" s="123" t="s">
        <v>404</v>
      </c>
      <c r="E532" s="124" t="s">
        <v>1437</v>
      </c>
      <c r="F532" s="124" t="s">
        <v>1438</v>
      </c>
      <c r="G532" s="124" t="s">
        <v>1105</v>
      </c>
      <c r="H532" s="122" t="s">
        <v>1428</v>
      </c>
      <c r="I532" s="123">
        <v>20.521981</v>
      </c>
      <c r="J532" s="123">
        <v>-100.808694</v>
      </c>
      <c r="K532" s="122" t="s">
        <v>139</v>
      </c>
      <c r="L532" s="125" t="str">
        <f t="shared" si="27"/>
        <v>Ver en Google Maps</v>
      </c>
      <c r="M532" s="122">
        <v>1</v>
      </c>
      <c r="N532" s="108">
        <v>45962</v>
      </c>
      <c r="O532" s="109">
        <f>DAY('BD2'!$N532)</f>
        <v>1</v>
      </c>
      <c r="P532" s="109">
        <f>MONTH('BD2'!$N532)</f>
        <v>11</v>
      </c>
      <c r="Q532" s="109">
        <f>YEAR('BD2'!$N532)</f>
        <v>2025</v>
      </c>
      <c r="R532" s="109">
        <v>2</v>
      </c>
      <c r="S532" s="109" t="s">
        <v>138</v>
      </c>
      <c r="T532" s="109" t="s">
        <v>138</v>
      </c>
      <c r="U532" s="109" t="s">
        <v>138</v>
      </c>
      <c r="V532" s="109" t="s">
        <v>138</v>
      </c>
      <c r="W532" s="109" t="s">
        <v>138</v>
      </c>
      <c r="X532" s="109" t="s">
        <v>138</v>
      </c>
      <c r="Y532" s="109" t="s">
        <v>138</v>
      </c>
      <c r="Z532" s="109" t="str">
        <f>IF('BD2'!$AA532 &lt; 14, "no", "si")</f>
        <v>si</v>
      </c>
      <c r="AA532" s="109">
        <v>49.9</v>
      </c>
      <c r="AB532" s="109">
        <v>21.9</v>
      </c>
      <c r="AC532" s="110" t="s">
        <v>967</v>
      </c>
      <c r="AD532" s="110" t="s">
        <v>1403</v>
      </c>
      <c r="AE532" s="109">
        <f t="shared" si="28"/>
        <v>8</v>
      </c>
      <c r="AF532" s="111" t="str">
        <f t="shared" si="26"/>
        <v>Estable</v>
      </c>
    </row>
    <row r="533" spans="1:32" x14ac:dyDescent="0.2">
      <c r="A533" s="112" t="s">
        <v>2424</v>
      </c>
      <c r="B533" s="113" t="s">
        <v>1204</v>
      </c>
      <c r="C533" s="114" t="s">
        <v>7</v>
      </c>
      <c r="D533" s="114" t="s">
        <v>404</v>
      </c>
      <c r="E533" s="115" t="s">
        <v>1439</v>
      </c>
      <c r="F533" s="115" t="s">
        <v>1440</v>
      </c>
      <c r="G533" s="115" t="s">
        <v>1780</v>
      </c>
      <c r="H533" s="113" t="s">
        <v>1428</v>
      </c>
      <c r="I533" s="114">
        <v>20.534806</v>
      </c>
      <c r="J533" s="114">
        <v>-100.822639</v>
      </c>
      <c r="K533" s="113" t="s">
        <v>139</v>
      </c>
      <c r="L533" s="116" t="str">
        <f t="shared" si="27"/>
        <v>Ver en Google Maps</v>
      </c>
      <c r="M533" s="113">
        <v>2</v>
      </c>
      <c r="N533" s="117">
        <v>45962</v>
      </c>
      <c r="O533" s="118">
        <f>DAY('BD2'!$N533)</f>
        <v>1</v>
      </c>
      <c r="P533" s="118">
        <f>MONTH('BD2'!$N533)</f>
        <v>11</v>
      </c>
      <c r="Q533" s="118">
        <f>YEAR('BD2'!$N533)</f>
        <v>2025</v>
      </c>
      <c r="R533" s="118">
        <v>2</v>
      </c>
      <c r="S533" s="118" t="s">
        <v>138</v>
      </c>
      <c r="T533" s="118" t="s">
        <v>138</v>
      </c>
      <c r="U533" s="118" t="s">
        <v>138</v>
      </c>
      <c r="V533" s="118" t="s">
        <v>138</v>
      </c>
      <c r="W533" s="118" t="s">
        <v>138</v>
      </c>
      <c r="X533" s="118" t="s">
        <v>138</v>
      </c>
      <c r="Y533" s="118" t="s">
        <v>138</v>
      </c>
      <c r="Z533" s="118" t="str">
        <f>IF('BD2'!$AA533 &lt; 14, "no", "si")</f>
        <v>no</v>
      </c>
      <c r="AA533" s="118">
        <v>11.1</v>
      </c>
      <c r="AB533" s="118">
        <v>19.100000000000001</v>
      </c>
      <c r="AC533" s="119" t="s">
        <v>1412</v>
      </c>
      <c r="AD533" s="119" t="s">
        <v>1403</v>
      </c>
      <c r="AE533" s="118">
        <f t="shared" si="28"/>
        <v>7</v>
      </c>
      <c r="AF533" s="120" t="str">
        <f t="shared" si="26"/>
        <v>Funcional con observaciones</v>
      </c>
    </row>
    <row r="534" spans="1:32" x14ac:dyDescent="0.2">
      <c r="A534" s="121" t="s">
        <v>2425</v>
      </c>
      <c r="B534" s="122" t="s">
        <v>1204</v>
      </c>
      <c r="C534" s="123" t="s">
        <v>7</v>
      </c>
      <c r="D534" s="123" t="s">
        <v>404</v>
      </c>
      <c r="E534" s="124" t="s">
        <v>1439</v>
      </c>
      <c r="F534" s="124" t="s">
        <v>1440</v>
      </c>
      <c r="G534" s="124" t="s">
        <v>1780</v>
      </c>
      <c r="H534" s="122" t="s">
        <v>1428</v>
      </c>
      <c r="I534" s="123">
        <v>20.534806</v>
      </c>
      <c r="J534" s="123">
        <v>-100.822639</v>
      </c>
      <c r="K534" s="122" t="s">
        <v>139</v>
      </c>
      <c r="L534" s="125" t="str">
        <f t="shared" si="27"/>
        <v>Ver en Google Maps</v>
      </c>
      <c r="M534" s="122">
        <v>2</v>
      </c>
      <c r="N534" s="108">
        <v>45962</v>
      </c>
      <c r="O534" s="109">
        <f>DAY('BD2'!$N534)</f>
        <v>1</v>
      </c>
      <c r="P534" s="109">
        <f>MONTH('BD2'!$N534)</f>
        <v>11</v>
      </c>
      <c r="Q534" s="109">
        <f>YEAR('BD2'!$N534)</f>
        <v>2025</v>
      </c>
      <c r="R534" s="109">
        <v>2</v>
      </c>
      <c r="S534" s="109" t="s">
        <v>138</v>
      </c>
      <c r="T534" s="109" t="s">
        <v>138</v>
      </c>
      <c r="U534" s="109" t="s">
        <v>138</v>
      </c>
      <c r="V534" s="109" t="s">
        <v>138</v>
      </c>
      <c r="W534" s="109" t="s">
        <v>138</v>
      </c>
      <c r="X534" s="109" t="s">
        <v>138</v>
      </c>
      <c r="Y534" s="109" t="s">
        <v>138</v>
      </c>
      <c r="Z534" s="109" t="str">
        <f>IF('BD2'!$AA534 &lt; 14, "no", "si")</f>
        <v>no</v>
      </c>
      <c r="AA534" s="109">
        <v>6.8</v>
      </c>
      <c r="AB534" s="109">
        <v>1.1100000000000001</v>
      </c>
      <c r="AC534" s="110" t="s">
        <v>1412</v>
      </c>
      <c r="AD534" s="110" t="s">
        <v>1403</v>
      </c>
      <c r="AE534" s="109">
        <f t="shared" si="28"/>
        <v>7</v>
      </c>
      <c r="AF534" s="111" t="str">
        <f t="shared" si="26"/>
        <v>Funcional con observaciones</v>
      </c>
    </row>
    <row r="535" spans="1:32" x14ac:dyDescent="0.2">
      <c r="A535" s="112">
        <v>44</v>
      </c>
      <c r="B535" s="113" t="s">
        <v>1204</v>
      </c>
      <c r="C535" s="114" t="s">
        <v>7</v>
      </c>
      <c r="D535" s="114" t="s">
        <v>404</v>
      </c>
      <c r="E535" s="115" t="s">
        <v>1441</v>
      </c>
      <c r="F535" s="115" t="s">
        <v>1442</v>
      </c>
      <c r="G535" s="115" t="s">
        <v>1781</v>
      </c>
      <c r="H535" s="113" t="s">
        <v>1428</v>
      </c>
      <c r="I535" s="114">
        <v>20.553743000000001</v>
      </c>
      <c r="J535" s="114">
        <v>-100.847246</v>
      </c>
      <c r="K535" s="113" t="s">
        <v>139</v>
      </c>
      <c r="L535" s="116" t="str">
        <f t="shared" si="27"/>
        <v>Ver en Google Maps</v>
      </c>
      <c r="M535" s="113">
        <v>1</v>
      </c>
      <c r="N535" s="117">
        <v>45962</v>
      </c>
      <c r="O535" s="118">
        <f>DAY('BD2'!$N535)</f>
        <v>1</v>
      </c>
      <c r="P535" s="118">
        <f>MONTH('BD2'!$N535)</f>
        <v>11</v>
      </c>
      <c r="Q535" s="118">
        <f>YEAR('BD2'!$N535)</f>
        <v>2025</v>
      </c>
      <c r="R535" s="118">
        <v>2</v>
      </c>
      <c r="S535" s="118" t="s">
        <v>138</v>
      </c>
      <c r="T535" s="118" t="s">
        <v>138</v>
      </c>
      <c r="U535" s="118" t="s">
        <v>138</v>
      </c>
      <c r="V535" s="118" t="s">
        <v>138</v>
      </c>
      <c r="W535" s="118" t="s">
        <v>138</v>
      </c>
      <c r="X535" s="118" t="s">
        <v>138</v>
      </c>
      <c r="Y535" s="118" t="s">
        <v>138</v>
      </c>
      <c r="Z535" s="118" t="str">
        <f>IF('BD2'!$AA535 &lt; 14, "no", "si")</f>
        <v>si</v>
      </c>
      <c r="AA535" s="118">
        <v>15.8</v>
      </c>
      <c r="AB535" s="118">
        <v>1.1200000000000001</v>
      </c>
      <c r="AC535" s="119" t="s">
        <v>967</v>
      </c>
      <c r="AD535" s="119" t="s">
        <v>1403</v>
      </c>
      <c r="AE535" s="118">
        <f t="shared" si="28"/>
        <v>8</v>
      </c>
      <c r="AF535" s="120" t="str">
        <f t="shared" si="26"/>
        <v>Estable</v>
      </c>
    </row>
    <row r="536" spans="1:32" x14ac:dyDescent="0.2">
      <c r="A536" s="121" t="s">
        <v>2422</v>
      </c>
      <c r="B536" s="122" t="s">
        <v>1204</v>
      </c>
      <c r="C536" s="123" t="s">
        <v>11</v>
      </c>
      <c r="D536" s="123" t="s">
        <v>404</v>
      </c>
      <c r="E536" s="124" t="s">
        <v>1443</v>
      </c>
      <c r="F536" s="124" t="s">
        <v>1444</v>
      </c>
      <c r="G536" s="124" t="s">
        <v>360</v>
      </c>
      <c r="H536" s="122" t="s">
        <v>1428</v>
      </c>
      <c r="I536" s="123">
        <v>20.534167</v>
      </c>
      <c r="J536" s="123">
        <v>-100.816306</v>
      </c>
      <c r="K536" s="122" t="s">
        <v>139</v>
      </c>
      <c r="L536" s="125" t="str">
        <f t="shared" si="27"/>
        <v>Ver en Google Maps</v>
      </c>
      <c r="M536" s="122">
        <v>2</v>
      </c>
      <c r="N536" s="108">
        <v>45962</v>
      </c>
      <c r="O536" s="109">
        <f>DAY('BD2'!$N536)</f>
        <v>1</v>
      </c>
      <c r="P536" s="109">
        <f>MONTH('BD2'!$N536)</f>
        <v>11</v>
      </c>
      <c r="Q536" s="109">
        <f>YEAR('BD2'!$N536)</f>
        <v>2025</v>
      </c>
      <c r="R536" s="109">
        <v>2</v>
      </c>
      <c r="S536" s="109" t="s">
        <v>138</v>
      </c>
      <c r="T536" s="109" t="s">
        <v>138</v>
      </c>
      <c r="U536" s="109" t="s">
        <v>138</v>
      </c>
      <c r="V536" s="109" t="s">
        <v>138</v>
      </c>
      <c r="W536" s="109" t="s">
        <v>138</v>
      </c>
      <c r="X536" s="109" t="s">
        <v>138</v>
      </c>
      <c r="Y536" s="109" t="s">
        <v>138</v>
      </c>
      <c r="Z536" s="109" t="str">
        <f>IF('BD2'!$AA536 &lt; 14, "no", "si")</f>
        <v>si</v>
      </c>
      <c r="AA536" s="109">
        <v>40.700000000000003</v>
      </c>
      <c r="AB536" s="109">
        <v>52.2</v>
      </c>
      <c r="AC536" s="110" t="s">
        <v>967</v>
      </c>
      <c r="AD536" s="110" t="s">
        <v>1403</v>
      </c>
      <c r="AE536" s="109">
        <f t="shared" si="28"/>
        <v>8</v>
      </c>
      <c r="AF536" s="111" t="str">
        <f t="shared" si="26"/>
        <v>Estable</v>
      </c>
    </row>
    <row r="537" spans="1:32" x14ac:dyDescent="0.2">
      <c r="A537" s="112" t="s">
        <v>2423</v>
      </c>
      <c r="B537" s="113" t="s">
        <v>1204</v>
      </c>
      <c r="C537" s="114" t="s">
        <v>11</v>
      </c>
      <c r="D537" s="114" t="s">
        <v>404</v>
      </c>
      <c r="E537" s="115" t="s">
        <v>1443</v>
      </c>
      <c r="F537" s="115" t="s">
        <v>1444</v>
      </c>
      <c r="G537" s="115" t="s">
        <v>360</v>
      </c>
      <c r="H537" s="113" t="s">
        <v>1428</v>
      </c>
      <c r="I537" s="114">
        <v>20.534167</v>
      </c>
      <c r="J537" s="114">
        <v>-100.816306</v>
      </c>
      <c r="K537" s="113" t="s">
        <v>139</v>
      </c>
      <c r="L537" s="116" t="str">
        <f t="shared" si="27"/>
        <v>Ver en Google Maps</v>
      </c>
      <c r="M537" s="113">
        <v>2</v>
      </c>
      <c r="N537" s="117">
        <v>45962</v>
      </c>
      <c r="O537" s="118">
        <f>DAY('BD2'!$N537)</f>
        <v>1</v>
      </c>
      <c r="P537" s="118">
        <f>MONTH('BD2'!$N537)</f>
        <v>11</v>
      </c>
      <c r="Q537" s="118">
        <f>YEAR('BD2'!$N537)</f>
        <v>2025</v>
      </c>
      <c r="R537" s="118">
        <v>2</v>
      </c>
      <c r="S537" s="118" t="s">
        <v>138</v>
      </c>
      <c r="T537" s="118" t="s">
        <v>138</v>
      </c>
      <c r="U537" s="118" t="s">
        <v>138</v>
      </c>
      <c r="V537" s="118" t="s">
        <v>138</v>
      </c>
      <c r="W537" s="118" t="s">
        <v>138</v>
      </c>
      <c r="X537" s="118" t="s">
        <v>138</v>
      </c>
      <c r="Y537" s="118" t="s">
        <v>138</v>
      </c>
      <c r="Z537" s="118" t="str">
        <f>IF('BD2'!$AA537 &lt; 14, "no", "si")</f>
        <v>si</v>
      </c>
      <c r="AA537" s="118">
        <v>14.9</v>
      </c>
      <c r="AB537" s="118">
        <v>28.8</v>
      </c>
      <c r="AC537" s="119" t="s">
        <v>967</v>
      </c>
      <c r="AD537" s="119" t="s">
        <v>1403</v>
      </c>
      <c r="AE537" s="118">
        <f t="shared" si="28"/>
        <v>8</v>
      </c>
      <c r="AF537" s="120" t="str">
        <f t="shared" si="26"/>
        <v>Estable</v>
      </c>
    </row>
    <row r="538" spans="1:32" x14ac:dyDescent="0.2">
      <c r="A538" s="121">
        <v>46</v>
      </c>
      <c r="B538" s="122" t="s">
        <v>1204</v>
      </c>
      <c r="C538" s="123" t="s">
        <v>11</v>
      </c>
      <c r="D538" s="123" t="s">
        <v>404</v>
      </c>
      <c r="E538" s="124" t="s">
        <v>1445</v>
      </c>
      <c r="F538" s="124" t="s">
        <v>1446</v>
      </c>
      <c r="G538" s="124" t="s">
        <v>1782</v>
      </c>
      <c r="H538" s="122" t="s">
        <v>1428</v>
      </c>
      <c r="I538" s="123">
        <v>20.547249999999998</v>
      </c>
      <c r="J538" s="123">
        <v>-100.812972</v>
      </c>
      <c r="K538" s="122" t="s">
        <v>139</v>
      </c>
      <c r="L538" s="125" t="str">
        <f t="shared" si="27"/>
        <v>Ver en Google Maps</v>
      </c>
      <c r="M538" s="122">
        <v>1</v>
      </c>
      <c r="N538" s="108">
        <v>45962</v>
      </c>
      <c r="O538" s="109">
        <f>DAY('BD2'!$N538)</f>
        <v>1</v>
      </c>
      <c r="P538" s="109">
        <f>MONTH('BD2'!$N538)</f>
        <v>11</v>
      </c>
      <c r="Q538" s="109">
        <f>YEAR('BD2'!$N538)</f>
        <v>2025</v>
      </c>
      <c r="R538" s="109">
        <v>2</v>
      </c>
      <c r="S538" s="109" t="s">
        <v>138</v>
      </c>
      <c r="T538" s="109" t="s">
        <v>138</v>
      </c>
      <c r="U538" s="109" t="s">
        <v>138</v>
      </c>
      <c r="V538" s="109" t="s">
        <v>138</v>
      </c>
      <c r="W538" s="109" t="s">
        <v>138</v>
      </c>
      <c r="X538" s="109" t="s">
        <v>138</v>
      </c>
      <c r="Y538" s="109" t="s">
        <v>138</v>
      </c>
      <c r="Z538" s="109" t="str">
        <f>IF('BD2'!$AA538 &lt; 14, "no", "si")</f>
        <v>no</v>
      </c>
      <c r="AA538" s="109">
        <v>12.2</v>
      </c>
      <c r="AB538" s="109">
        <v>0</v>
      </c>
      <c r="AC538" s="110" t="s">
        <v>3132</v>
      </c>
      <c r="AD538" s="110" t="s">
        <v>1403</v>
      </c>
      <c r="AE538" s="109">
        <f t="shared" si="28"/>
        <v>7</v>
      </c>
      <c r="AF538" s="111" t="str">
        <f t="shared" si="26"/>
        <v>Funcional con observaciones</v>
      </c>
    </row>
    <row r="539" spans="1:32" x14ac:dyDescent="0.2">
      <c r="A539" s="112">
        <v>47</v>
      </c>
      <c r="B539" s="113" t="s">
        <v>1204</v>
      </c>
      <c r="C539" s="114" t="s">
        <v>11</v>
      </c>
      <c r="D539" s="114" t="s">
        <v>404</v>
      </c>
      <c r="E539" s="115" t="s">
        <v>1447</v>
      </c>
      <c r="F539" s="115" t="s">
        <v>1448</v>
      </c>
      <c r="G539" s="115" t="s">
        <v>1830</v>
      </c>
      <c r="H539" s="113" t="s">
        <v>1428</v>
      </c>
      <c r="I539" s="114">
        <v>20.544388999999999</v>
      </c>
      <c r="J539" s="114">
        <v>-100.799278</v>
      </c>
      <c r="K539" s="113" t="s">
        <v>139</v>
      </c>
      <c r="L539" s="116" t="str">
        <f t="shared" si="27"/>
        <v>Ver en Google Maps</v>
      </c>
      <c r="M539" s="113">
        <v>1</v>
      </c>
      <c r="N539" s="117">
        <v>45962</v>
      </c>
      <c r="O539" s="118">
        <f>DAY('BD2'!$N539)</f>
        <v>1</v>
      </c>
      <c r="P539" s="118">
        <f>MONTH('BD2'!$N539)</f>
        <v>11</v>
      </c>
      <c r="Q539" s="118">
        <f>YEAR('BD2'!$N539)</f>
        <v>2025</v>
      </c>
      <c r="R539" s="118">
        <v>2</v>
      </c>
      <c r="S539" s="118" t="s">
        <v>138</v>
      </c>
      <c r="T539" s="118" t="s">
        <v>138</v>
      </c>
      <c r="U539" s="118" t="s">
        <v>138</v>
      </c>
      <c r="V539" s="118" t="s">
        <v>138</v>
      </c>
      <c r="W539" s="118" t="s">
        <v>138</v>
      </c>
      <c r="X539" s="118" t="s">
        <v>138</v>
      </c>
      <c r="Y539" s="118" t="s">
        <v>138</v>
      </c>
      <c r="Z539" s="118" t="str">
        <f>IF('BD2'!$AA539 &lt; 14, "no", "si")</f>
        <v>si</v>
      </c>
      <c r="AA539" s="118">
        <v>24</v>
      </c>
      <c r="AB539" s="118">
        <v>6.22</v>
      </c>
      <c r="AC539" s="119" t="s">
        <v>967</v>
      </c>
      <c r="AD539" s="119" t="s">
        <v>1403</v>
      </c>
      <c r="AE539" s="118">
        <f t="shared" si="28"/>
        <v>8</v>
      </c>
      <c r="AF539" s="120" t="str">
        <f t="shared" si="26"/>
        <v>Estable</v>
      </c>
    </row>
    <row r="540" spans="1:32" x14ac:dyDescent="0.2">
      <c r="A540" s="121">
        <v>81</v>
      </c>
      <c r="B540" s="122" t="s">
        <v>1204</v>
      </c>
      <c r="C540" s="123" t="s">
        <v>1449</v>
      </c>
      <c r="D540" s="123" t="s">
        <v>404</v>
      </c>
      <c r="E540" s="124" t="s">
        <v>1450</v>
      </c>
      <c r="F540" s="124" t="s">
        <v>1451</v>
      </c>
      <c r="G540" s="124" t="s">
        <v>360</v>
      </c>
      <c r="H540" s="122" t="s">
        <v>1428</v>
      </c>
      <c r="I540" s="123">
        <v>20.522335000000002</v>
      </c>
      <c r="J540" s="123">
        <v>-100.808896</v>
      </c>
      <c r="K540" s="122" t="s">
        <v>139</v>
      </c>
      <c r="L540" s="125" t="str">
        <f t="shared" si="27"/>
        <v>Ver en Google Maps</v>
      </c>
      <c r="M540" s="122">
        <v>1</v>
      </c>
      <c r="N540" s="108">
        <v>45962</v>
      </c>
      <c r="O540" s="109">
        <f>DAY('BD2'!$N540)</f>
        <v>1</v>
      </c>
      <c r="P540" s="109">
        <f>MONTH('BD2'!$N540)</f>
        <v>11</v>
      </c>
      <c r="Q540" s="109">
        <f>YEAR('BD2'!$N540)</f>
        <v>2025</v>
      </c>
      <c r="R540" s="109">
        <v>2</v>
      </c>
      <c r="S540" s="109" t="s">
        <v>138</v>
      </c>
      <c r="T540" s="109" t="s">
        <v>138</v>
      </c>
      <c r="U540" s="109" t="s">
        <v>138</v>
      </c>
      <c r="V540" s="109" t="s">
        <v>138</v>
      </c>
      <c r="W540" s="109" t="s">
        <v>138</v>
      </c>
      <c r="X540" s="109" t="s">
        <v>138</v>
      </c>
      <c r="Y540" s="109" t="s">
        <v>138</v>
      </c>
      <c r="Z540" s="109" t="str">
        <f>IF('BD2'!$AA540 &lt; 14, "no", "si")</f>
        <v>si</v>
      </c>
      <c r="AA540" s="109">
        <v>89.2</v>
      </c>
      <c r="AB540" s="109">
        <v>41.8</v>
      </c>
      <c r="AC540" s="110" t="s">
        <v>967</v>
      </c>
      <c r="AD540" s="110" t="s">
        <v>1403</v>
      </c>
      <c r="AE540" s="109">
        <f t="shared" si="28"/>
        <v>8</v>
      </c>
      <c r="AF540" s="111" t="str">
        <f t="shared" si="26"/>
        <v>Estable</v>
      </c>
    </row>
    <row r="541" spans="1:32" x14ac:dyDescent="0.2">
      <c r="A541" s="112">
        <v>93</v>
      </c>
      <c r="B541" s="113" t="s">
        <v>1204</v>
      </c>
      <c r="C541" s="114" t="s">
        <v>429</v>
      </c>
      <c r="D541" s="114" t="s">
        <v>17</v>
      </c>
      <c r="E541" s="115" t="s">
        <v>1452</v>
      </c>
      <c r="F541" s="115" t="s">
        <v>1453</v>
      </c>
      <c r="G541" s="115" t="s">
        <v>1143</v>
      </c>
      <c r="H541" s="113" t="s">
        <v>1428</v>
      </c>
      <c r="I541" s="114">
        <v>20.541139999999999</v>
      </c>
      <c r="J541" s="114">
        <v>-100.84069</v>
      </c>
      <c r="K541" s="113"/>
      <c r="L541" s="116" t="str">
        <f t="shared" si="27"/>
        <v>Ver en Google Maps</v>
      </c>
      <c r="M541" s="113">
        <v>1</v>
      </c>
      <c r="N541" s="129"/>
      <c r="O541" s="118"/>
      <c r="P541" s="118"/>
      <c r="Q541" s="118"/>
      <c r="R541" s="118"/>
      <c r="S541" s="118"/>
      <c r="T541" s="118"/>
      <c r="U541" s="118"/>
      <c r="V541" s="118"/>
      <c r="W541" s="118"/>
      <c r="X541" s="118"/>
      <c r="Y541" s="118"/>
      <c r="Z541" s="118"/>
      <c r="AA541" s="118"/>
      <c r="AB541" s="118"/>
      <c r="AC541" s="119"/>
      <c r="AD541" s="119"/>
      <c r="AE541" s="118"/>
      <c r="AF541" s="120"/>
    </row>
    <row r="542" spans="1:32" x14ac:dyDescent="0.2">
      <c r="A542" s="121">
        <v>95</v>
      </c>
      <c r="B542" s="122" t="s">
        <v>1204</v>
      </c>
      <c r="C542" s="123" t="s">
        <v>429</v>
      </c>
      <c r="D542" s="123" t="s">
        <v>15</v>
      </c>
      <c r="E542" s="124" t="s">
        <v>1454</v>
      </c>
      <c r="F542" s="124" t="s">
        <v>1455</v>
      </c>
      <c r="G542" s="124" t="s">
        <v>1831</v>
      </c>
      <c r="H542" s="122" t="s">
        <v>1428</v>
      </c>
      <c r="I542" s="123">
        <v>20.545002</v>
      </c>
      <c r="J542" s="123">
        <v>-100.815361</v>
      </c>
      <c r="K542" s="122"/>
      <c r="L542" s="125" t="str">
        <f t="shared" si="27"/>
        <v>Ver en Google Maps</v>
      </c>
      <c r="M542" s="122">
        <v>2</v>
      </c>
      <c r="N542" s="130"/>
      <c r="O542" s="109"/>
      <c r="P542" s="109"/>
      <c r="Q542" s="109"/>
      <c r="R542" s="109"/>
      <c r="S542" s="109"/>
      <c r="T542" s="109"/>
      <c r="U542" s="109"/>
      <c r="V542" s="109"/>
      <c r="W542" s="109"/>
      <c r="X542" s="109"/>
      <c r="Y542" s="109"/>
      <c r="Z542" s="109"/>
      <c r="AA542" s="109"/>
      <c r="AB542" s="109"/>
      <c r="AC542" s="110"/>
      <c r="AD542" s="110"/>
      <c r="AE542" s="109"/>
      <c r="AF542" s="111"/>
    </row>
    <row r="543" spans="1:32" x14ac:dyDescent="0.2">
      <c r="A543" s="112">
        <v>98</v>
      </c>
      <c r="B543" s="113" t="s">
        <v>1204</v>
      </c>
      <c r="C543" s="114" t="s">
        <v>429</v>
      </c>
      <c r="D543" s="114" t="s">
        <v>15</v>
      </c>
      <c r="E543" s="115" t="s">
        <v>1456</v>
      </c>
      <c r="F543" s="115" t="s">
        <v>1457</v>
      </c>
      <c r="G543" s="115" t="s">
        <v>1109</v>
      </c>
      <c r="H543" s="113" t="s">
        <v>1428</v>
      </c>
      <c r="I543" s="114">
        <v>20.536621</v>
      </c>
      <c r="J543" s="114">
        <v>-100.830648</v>
      </c>
      <c r="K543" s="113"/>
      <c r="L543" s="116" t="str">
        <f t="shared" si="27"/>
        <v>Ver en Google Maps</v>
      </c>
      <c r="M543" s="113">
        <v>2</v>
      </c>
      <c r="N543" s="129"/>
      <c r="O543" s="118"/>
      <c r="P543" s="118"/>
      <c r="Q543" s="118"/>
      <c r="R543" s="118"/>
      <c r="S543" s="118"/>
      <c r="T543" s="118"/>
      <c r="U543" s="118"/>
      <c r="V543" s="118"/>
      <c r="W543" s="118"/>
      <c r="X543" s="118"/>
      <c r="Y543" s="118"/>
      <c r="Z543" s="118"/>
      <c r="AA543" s="118"/>
      <c r="AB543" s="118"/>
      <c r="AC543" s="119"/>
      <c r="AD543" s="119"/>
      <c r="AE543" s="118"/>
      <c r="AF543" s="120"/>
    </row>
    <row r="544" spans="1:32" x14ac:dyDescent="0.2">
      <c r="A544" s="121">
        <v>110</v>
      </c>
      <c r="B544" s="122" t="s">
        <v>1204</v>
      </c>
      <c r="C544" s="123" t="s">
        <v>429</v>
      </c>
      <c r="D544" s="123" t="s">
        <v>15</v>
      </c>
      <c r="E544" s="124" t="s">
        <v>1458</v>
      </c>
      <c r="F544" s="124" t="s">
        <v>1459</v>
      </c>
      <c r="G544" s="124" t="s">
        <v>1832</v>
      </c>
      <c r="H544" s="122" t="s">
        <v>1428</v>
      </c>
      <c r="I544" s="123">
        <v>20.510400000000001</v>
      </c>
      <c r="J544" s="123">
        <v>-100.83125</v>
      </c>
      <c r="K544" s="122"/>
      <c r="L544" s="125" t="str">
        <f t="shared" si="27"/>
        <v>Ver en Google Maps</v>
      </c>
      <c r="M544" s="122">
        <v>2</v>
      </c>
      <c r="N544" s="130"/>
      <c r="O544" s="109"/>
      <c r="P544" s="109"/>
      <c r="Q544" s="109"/>
      <c r="R544" s="109"/>
      <c r="S544" s="109"/>
      <c r="T544" s="109"/>
      <c r="U544" s="109"/>
      <c r="V544" s="109"/>
      <c r="W544" s="109"/>
      <c r="X544" s="109"/>
      <c r="Y544" s="109"/>
      <c r="Z544" s="109"/>
      <c r="AA544" s="109"/>
      <c r="AB544" s="109"/>
      <c r="AC544" s="110"/>
      <c r="AD544" s="110"/>
      <c r="AE544" s="109"/>
      <c r="AF544" s="111"/>
    </row>
    <row r="545" spans="1:32" x14ac:dyDescent="0.2">
      <c r="A545" s="112">
        <v>119</v>
      </c>
      <c r="B545" s="113" t="s">
        <v>1204</v>
      </c>
      <c r="C545" s="114" t="s">
        <v>429</v>
      </c>
      <c r="D545" s="114" t="s">
        <v>17</v>
      </c>
      <c r="E545" s="115" t="s">
        <v>1460</v>
      </c>
      <c r="F545" s="115" t="s">
        <v>1461</v>
      </c>
      <c r="G545" s="115" t="s">
        <v>1784</v>
      </c>
      <c r="H545" s="113" t="s">
        <v>1428</v>
      </c>
      <c r="I545" s="114">
        <v>20.526890000000002</v>
      </c>
      <c r="J545" s="114">
        <v>-100.83289000000001</v>
      </c>
      <c r="K545" s="113"/>
      <c r="L545" s="116" t="str">
        <f t="shared" si="27"/>
        <v>Ver en Google Maps</v>
      </c>
      <c r="M545" s="113">
        <v>1</v>
      </c>
      <c r="N545" s="129"/>
      <c r="O545" s="118"/>
      <c r="P545" s="118"/>
      <c r="Q545" s="118"/>
      <c r="R545" s="118"/>
      <c r="S545" s="118"/>
      <c r="T545" s="118"/>
      <c r="U545" s="118"/>
      <c r="V545" s="118"/>
      <c r="W545" s="118"/>
      <c r="X545" s="118"/>
      <c r="Y545" s="118"/>
      <c r="Z545" s="118"/>
      <c r="AA545" s="118"/>
      <c r="AB545" s="118"/>
      <c r="AC545" s="119"/>
      <c r="AD545" s="119"/>
      <c r="AE545" s="118"/>
      <c r="AF545" s="120"/>
    </row>
    <row r="546" spans="1:32" x14ac:dyDescent="0.2">
      <c r="A546" s="121">
        <v>122</v>
      </c>
      <c r="B546" s="122" t="s">
        <v>1204</v>
      </c>
      <c r="C546" s="123" t="s">
        <v>429</v>
      </c>
      <c r="D546" s="123" t="s">
        <v>17</v>
      </c>
      <c r="E546" s="124" t="s">
        <v>1462</v>
      </c>
      <c r="F546" s="124" t="s">
        <v>1463</v>
      </c>
      <c r="G546" s="124" t="s">
        <v>1833</v>
      </c>
      <c r="H546" s="122" t="s">
        <v>1428</v>
      </c>
      <c r="I546" s="123">
        <v>20.543749999999999</v>
      </c>
      <c r="J546" s="123">
        <v>-100.83436</v>
      </c>
      <c r="K546" s="122"/>
      <c r="L546" s="125" t="str">
        <f t="shared" si="27"/>
        <v>Ver en Google Maps</v>
      </c>
      <c r="M546" s="122">
        <v>1</v>
      </c>
      <c r="N546" s="130"/>
      <c r="O546" s="109"/>
      <c r="P546" s="109"/>
      <c r="Q546" s="109"/>
      <c r="R546" s="109"/>
      <c r="S546" s="109"/>
      <c r="T546" s="109"/>
      <c r="U546" s="109"/>
      <c r="V546" s="109"/>
      <c r="W546" s="109"/>
      <c r="X546" s="109"/>
      <c r="Y546" s="109"/>
      <c r="Z546" s="109"/>
      <c r="AA546" s="109"/>
      <c r="AB546" s="109"/>
      <c r="AC546" s="110"/>
      <c r="AD546" s="110"/>
      <c r="AE546" s="109"/>
      <c r="AF546" s="111"/>
    </row>
    <row r="547" spans="1:32" x14ac:dyDescent="0.2">
      <c r="A547" s="112">
        <v>124</v>
      </c>
      <c r="B547" s="113" t="s">
        <v>1204</v>
      </c>
      <c r="C547" s="114" t="s">
        <v>429</v>
      </c>
      <c r="D547" s="114" t="s">
        <v>17</v>
      </c>
      <c r="E547" s="115" t="s">
        <v>1464</v>
      </c>
      <c r="F547" s="115" t="s">
        <v>1465</v>
      </c>
      <c r="G547" s="115" t="s">
        <v>1834</v>
      </c>
      <c r="H547" s="113" t="s">
        <v>1428</v>
      </c>
      <c r="I547" s="114">
        <v>20.543527000000001</v>
      </c>
      <c r="J547" s="114">
        <v>-100.799931</v>
      </c>
      <c r="K547" s="113"/>
      <c r="L547" s="116" t="str">
        <f t="shared" si="27"/>
        <v>Ver en Google Maps</v>
      </c>
      <c r="M547" s="113">
        <v>1</v>
      </c>
      <c r="N547" s="129"/>
      <c r="O547" s="118"/>
      <c r="P547" s="118"/>
      <c r="Q547" s="118"/>
      <c r="R547" s="118"/>
      <c r="S547" s="118"/>
      <c r="T547" s="118"/>
      <c r="U547" s="118"/>
      <c r="V547" s="118"/>
      <c r="W547" s="118"/>
      <c r="X547" s="118"/>
      <c r="Y547" s="118"/>
      <c r="Z547" s="118"/>
      <c r="AA547" s="118"/>
      <c r="AB547" s="118"/>
      <c r="AC547" s="119"/>
      <c r="AD547" s="119"/>
      <c r="AE547" s="118"/>
      <c r="AF547" s="120"/>
    </row>
    <row r="548" spans="1:32" x14ac:dyDescent="0.2">
      <c r="A548" s="121">
        <v>126</v>
      </c>
      <c r="B548" s="122" t="s">
        <v>1204</v>
      </c>
      <c r="C548" s="123" t="s">
        <v>429</v>
      </c>
      <c r="D548" s="123" t="s">
        <v>17</v>
      </c>
      <c r="E548" s="124" t="s">
        <v>1466</v>
      </c>
      <c r="F548" s="124" t="s">
        <v>1467</v>
      </c>
      <c r="G548" s="124" t="s">
        <v>1835</v>
      </c>
      <c r="H548" s="122" t="s">
        <v>1428</v>
      </c>
      <c r="I548" s="123">
        <v>20.492249999999999</v>
      </c>
      <c r="J548" s="123">
        <v>-100.80717</v>
      </c>
      <c r="K548" s="122"/>
      <c r="L548" s="125" t="str">
        <f t="shared" si="27"/>
        <v>Ver en Google Maps</v>
      </c>
      <c r="M548" s="122">
        <v>1</v>
      </c>
      <c r="N548" s="130"/>
      <c r="O548" s="109"/>
      <c r="P548" s="109"/>
      <c r="Q548" s="109"/>
      <c r="R548" s="109"/>
      <c r="S548" s="109"/>
      <c r="T548" s="109"/>
      <c r="U548" s="109"/>
      <c r="V548" s="109"/>
      <c r="W548" s="109"/>
      <c r="X548" s="109"/>
      <c r="Y548" s="109"/>
      <c r="Z548" s="109"/>
      <c r="AA548" s="109"/>
      <c r="AB548" s="109"/>
      <c r="AC548" s="110"/>
      <c r="AD548" s="110"/>
      <c r="AE548" s="109"/>
      <c r="AF548" s="111"/>
    </row>
    <row r="549" spans="1:32" x14ac:dyDescent="0.2">
      <c r="A549" s="112">
        <v>127</v>
      </c>
      <c r="B549" s="113" t="s">
        <v>1204</v>
      </c>
      <c r="C549" s="114" t="s">
        <v>429</v>
      </c>
      <c r="D549" s="114" t="s">
        <v>17</v>
      </c>
      <c r="E549" s="115" t="s">
        <v>1468</v>
      </c>
      <c r="F549" s="115" t="s">
        <v>1469</v>
      </c>
      <c r="G549" s="115" t="s">
        <v>1836</v>
      </c>
      <c r="H549" s="113" t="s">
        <v>1428</v>
      </c>
      <c r="I549" s="114">
        <v>20.542413</v>
      </c>
      <c r="J549" s="114">
        <v>-100.817379</v>
      </c>
      <c r="K549" s="113"/>
      <c r="L549" s="116" t="str">
        <f t="shared" si="27"/>
        <v>Ver en Google Maps</v>
      </c>
      <c r="M549" s="113">
        <v>1</v>
      </c>
      <c r="N549" s="129"/>
      <c r="O549" s="118"/>
      <c r="P549" s="118"/>
      <c r="Q549" s="118"/>
      <c r="R549" s="118"/>
      <c r="S549" s="118"/>
      <c r="T549" s="118"/>
      <c r="U549" s="118"/>
      <c r="V549" s="118"/>
      <c r="W549" s="118"/>
      <c r="X549" s="118"/>
      <c r="Y549" s="118"/>
      <c r="Z549" s="118"/>
      <c r="AA549" s="118"/>
      <c r="AB549" s="118"/>
      <c r="AC549" s="119"/>
      <c r="AD549" s="119"/>
      <c r="AE549" s="118"/>
      <c r="AF549" s="120"/>
    </row>
    <row r="550" spans="1:32" x14ac:dyDescent="0.2">
      <c r="A550" s="121">
        <v>129</v>
      </c>
      <c r="B550" s="122" t="s">
        <v>1204</v>
      </c>
      <c r="C550" s="123" t="s">
        <v>429</v>
      </c>
      <c r="D550" s="123" t="s">
        <v>17</v>
      </c>
      <c r="E550" s="124" t="s">
        <v>1470</v>
      </c>
      <c r="F550" s="124" t="s">
        <v>1471</v>
      </c>
      <c r="G550" s="124" t="s">
        <v>1837</v>
      </c>
      <c r="H550" s="122" t="s">
        <v>1428</v>
      </c>
      <c r="I550" s="123">
        <v>20.50226</v>
      </c>
      <c r="J550" s="123">
        <v>-100.81370200000001</v>
      </c>
      <c r="K550" s="122"/>
      <c r="L550" s="125" t="str">
        <f t="shared" si="27"/>
        <v>Ver en Google Maps</v>
      </c>
      <c r="M550" s="122">
        <v>1</v>
      </c>
      <c r="N550" s="130"/>
      <c r="O550" s="109"/>
      <c r="P550" s="109"/>
      <c r="Q550" s="109"/>
      <c r="R550" s="109"/>
      <c r="S550" s="109"/>
      <c r="T550" s="109"/>
      <c r="U550" s="109"/>
      <c r="V550" s="109"/>
      <c r="W550" s="109"/>
      <c r="X550" s="109"/>
      <c r="Y550" s="109"/>
      <c r="Z550" s="109"/>
      <c r="AA550" s="109"/>
      <c r="AB550" s="109"/>
      <c r="AC550" s="110"/>
      <c r="AD550" s="110"/>
      <c r="AE550" s="109"/>
      <c r="AF550" s="111"/>
    </row>
    <row r="551" spans="1:32" x14ac:dyDescent="0.2">
      <c r="A551" s="112">
        <v>139</v>
      </c>
      <c r="B551" s="113" t="s">
        <v>1204</v>
      </c>
      <c r="C551" s="114" t="s">
        <v>429</v>
      </c>
      <c r="D551" s="114" t="s">
        <v>17</v>
      </c>
      <c r="E551" s="115" t="s">
        <v>1472</v>
      </c>
      <c r="F551" s="115" t="s">
        <v>1473</v>
      </c>
      <c r="G551" s="115" t="s">
        <v>1838</v>
      </c>
      <c r="H551" s="113" t="s">
        <v>1428</v>
      </c>
      <c r="I551" s="114">
        <v>20.52656</v>
      </c>
      <c r="J551" s="114">
        <v>-100.82903</v>
      </c>
      <c r="K551" s="113"/>
      <c r="L551" s="116" t="str">
        <f t="shared" si="27"/>
        <v>Ver en Google Maps</v>
      </c>
      <c r="M551" s="113">
        <v>1</v>
      </c>
      <c r="N551" s="129"/>
      <c r="O551" s="118"/>
      <c r="P551" s="118"/>
      <c r="Q551" s="118"/>
      <c r="R551" s="118"/>
      <c r="S551" s="118"/>
      <c r="T551" s="118"/>
      <c r="U551" s="118"/>
      <c r="V551" s="118"/>
      <c r="W551" s="118"/>
      <c r="X551" s="118"/>
      <c r="Y551" s="118"/>
      <c r="Z551" s="118"/>
      <c r="AA551" s="118"/>
      <c r="AB551" s="118"/>
      <c r="AC551" s="119"/>
      <c r="AD551" s="119"/>
      <c r="AE551" s="118"/>
      <c r="AF551" s="120"/>
    </row>
    <row r="552" spans="1:32" x14ac:dyDescent="0.2">
      <c r="A552" s="121">
        <v>153</v>
      </c>
      <c r="B552" s="122" t="s">
        <v>1204</v>
      </c>
      <c r="C552" s="123" t="s">
        <v>429</v>
      </c>
      <c r="D552" s="123" t="s">
        <v>17</v>
      </c>
      <c r="E552" s="124" t="s">
        <v>1474</v>
      </c>
      <c r="F552" s="124" t="s">
        <v>1475</v>
      </c>
      <c r="G552" s="124" t="s">
        <v>1839</v>
      </c>
      <c r="H552" s="122" t="s">
        <v>1428</v>
      </c>
      <c r="I552" s="123">
        <v>20.49811</v>
      </c>
      <c r="J552" s="123">
        <v>-100.81658</v>
      </c>
      <c r="K552" s="122"/>
      <c r="L552" s="125" t="str">
        <f t="shared" si="27"/>
        <v>Ver en Google Maps</v>
      </c>
      <c r="M552" s="122">
        <v>1</v>
      </c>
      <c r="N552" s="130"/>
      <c r="O552" s="109"/>
      <c r="P552" s="109"/>
      <c r="Q552" s="109"/>
      <c r="R552" s="109"/>
      <c r="S552" s="109"/>
      <c r="T552" s="109"/>
      <c r="U552" s="109"/>
      <c r="V552" s="109"/>
      <c r="W552" s="109"/>
      <c r="X552" s="109"/>
      <c r="Y552" s="109"/>
      <c r="Z552" s="109"/>
      <c r="AA552" s="109"/>
      <c r="AB552" s="109"/>
      <c r="AC552" s="110"/>
      <c r="AD552" s="110"/>
      <c r="AE552" s="109"/>
      <c r="AF552" s="111"/>
    </row>
    <row r="553" spans="1:32" x14ac:dyDescent="0.2">
      <c r="A553" s="112">
        <v>155</v>
      </c>
      <c r="B553" s="113" t="s">
        <v>1204</v>
      </c>
      <c r="C553" s="114" t="s">
        <v>429</v>
      </c>
      <c r="D553" s="114" t="s">
        <v>17</v>
      </c>
      <c r="E553" s="115" t="s">
        <v>1476</v>
      </c>
      <c r="F553" s="115" t="s">
        <v>1477</v>
      </c>
      <c r="G553" s="115" t="s">
        <v>1790</v>
      </c>
      <c r="H553" s="113" t="s">
        <v>1428</v>
      </c>
      <c r="I553" s="114">
        <v>20.559367999999999</v>
      </c>
      <c r="J553" s="114">
        <v>-100.801249</v>
      </c>
      <c r="K553" s="113"/>
      <c r="L553" s="116" t="str">
        <f t="shared" si="27"/>
        <v>Ver en Google Maps</v>
      </c>
      <c r="M553" s="113">
        <v>1</v>
      </c>
      <c r="N553" s="129"/>
      <c r="O553" s="118"/>
      <c r="P553" s="118"/>
      <c r="Q553" s="118"/>
      <c r="R553" s="118"/>
      <c r="S553" s="118"/>
      <c r="T553" s="118"/>
      <c r="U553" s="118"/>
      <c r="V553" s="118"/>
      <c r="W553" s="118"/>
      <c r="X553" s="118"/>
      <c r="Y553" s="118"/>
      <c r="Z553" s="118"/>
      <c r="AA553" s="118"/>
      <c r="AB553" s="118"/>
      <c r="AC553" s="119"/>
      <c r="AD553" s="119"/>
      <c r="AE553" s="118"/>
      <c r="AF553" s="120"/>
    </row>
    <row r="554" spans="1:32" x14ac:dyDescent="0.2">
      <c r="A554" s="121">
        <v>156</v>
      </c>
      <c r="B554" s="122" t="s">
        <v>1204</v>
      </c>
      <c r="C554" s="123" t="s">
        <v>429</v>
      </c>
      <c r="D554" s="123" t="s">
        <v>17</v>
      </c>
      <c r="E554" s="124" t="s">
        <v>1478</v>
      </c>
      <c r="F554" s="124" t="s">
        <v>1479</v>
      </c>
      <c r="G554" s="124" t="s">
        <v>1840</v>
      </c>
      <c r="H554" s="122" t="s">
        <v>1428</v>
      </c>
      <c r="I554" s="123">
        <v>20.549987000000002</v>
      </c>
      <c r="J554" s="123">
        <v>-100.809906</v>
      </c>
      <c r="K554" s="122"/>
      <c r="L554" s="125" t="str">
        <f t="shared" si="27"/>
        <v>Ver en Google Maps</v>
      </c>
      <c r="M554" s="122">
        <v>1</v>
      </c>
      <c r="N554" s="130"/>
      <c r="O554" s="109"/>
      <c r="P554" s="109"/>
      <c r="Q554" s="109"/>
      <c r="R554" s="109"/>
      <c r="S554" s="109"/>
      <c r="T554" s="109"/>
      <c r="U554" s="109"/>
      <c r="V554" s="109"/>
      <c r="W554" s="109"/>
      <c r="X554" s="109"/>
      <c r="Y554" s="109"/>
      <c r="Z554" s="109"/>
      <c r="AA554" s="109"/>
      <c r="AB554" s="109"/>
      <c r="AC554" s="110"/>
      <c r="AD554" s="110"/>
      <c r="AE554" s="109"/>
      <c r="AF554" s="111"/>
    </row>
    <row r="555" spans="1:32" x14ac:dyDescent="0.2">
      <c r="A555" s="112">
        <v>157</v>
      </c>
      <c r="B555" s="113" t="s">
        <v>1204</v>
      </c>
      <c r="C555" s="114" t="s">
        <v>429</v>
      </c>
      <c r="D555" s="114" t="s">
        <v>17</v>
      </c>
      <c r="E555" s="115" t="s">
        <v>1480</v>
      </c>
      <c r="F555" s="115" t="s">
        <v>1481</v>
      </c>
      <c r="G555" s="115" t="s">
        <v>1808</v>
      </c>
      <c r="H555" s="113" t="s">
        <v>1428</v>
      </c>
      <c r="I555" s="114">
        <v>20.54758</v>
      </c>
      <c r="J555" s="114">
        <v>-100.82993999999999</v>
      </c>
      <c r="K555" s="113"/>
      <c r="L555" s="116" t="str">
        <f t="shared" si="27"/>
        <v>Ver en Google Maps</v>
      </c>
      <c r="M555" s="113">
        <v>1</v>
      </c>
      <c r="N555" s="129"/>
      <c r="O555" s="118"/>
      <c r="P555" s="118"/>
      <c r="Q555" s="118"/>
      <c r="R555" s="118"/>
      <c r="S555" s="118"/>
      <c r="T555" s="118"/>
      <c r="U555" s="118"/>
      <c r="V555" s="118"/>
      <c r="W555" s="118"/>
      <c r="X555" s="118"/>
      <c r="Y555" s="118"/>
      <c r="Z555" s="118"/>
      <c r="AA555" s="118"/>
      <c r="AB555" s="118"/>
      <c r="AC555" s="119"/>
      <c r="AD555" s="119"/>
      <c r="AE555" s="118"/>
      <c r="AF555" s="120"/>
    </row>
    <row r="556" spans="1:32" x14ac:dyDescent="0.2">
      <c r="A556" s="121">
        <v>158</v>
      </c>
      <c r="B556" s="122" t="s">
        <v>1204</v>
      </c>
      <c r="C556" s="123" t="s">
        <v>429</v>
      </c>
      <c r="D556" s="123" t="s">
        <v>17</v>
      </c>
      <c r="E556" s="124" t="s">
        <v>1482</v>
      </c>
      <c r="F556" s="124" t="s">
        <v>1483</v>
      </c>
      <c r="G556" s="124" t="s">
        <v>1841</v>
      </c>
      <c r="H556" s="122" t="s">
        <v>1428</v>
      </c>
      <c r="I556" s="123">
        <v>20.518439999999998</v>
      </c>
      <c r="J556" s="123">
        <v>-100.82684</v>
      </c>
      <c r="K556" s="122"/>
      <c r="L556" s="125" t="str">
        <f t="shared" si="27"/>
        <v>Ver en Google Maps</v>
      </c>
      <c r="M556" s="122">
        <v>1</v>
      </c>
      <c r="N556" s="130"/>
      <c r="O556" s="109"/>
      <c r="P556" s="109"/>
      <c r="Q556" s="109"/>
      <c r="R556" s="109"/>
      <c r="S556" s="109"/>
      <c r="T556" s="109"/>
      <c r="U556" s="109"/>
      <c r="V556" s="109"/>
      <c r="W556" s="109"/>
      <c r="X556" s="109"/>
      <c r="Y556" s="109"/>
      <c r="Z556" s="109"/>
      <c r="AA556" s="109"/>
      <c r="AB556" s="109"/>
      <c r="AC556" s="110"/>
      <c r="AD556" s="110"/>
      <c r="AE556" s="109"/>
      <c r="AF556" s="111"/>
    </row>
    <row r="557" spans="1:32" x14ac:dyDescent="0.2">
      <c r="A557" s="112">
        <v>174</v>
      </c>
      <c r="B557" s="113" t="s">
        <v>1204</v>
      </c>
      <c r="C557" s="114" t="s">
        <v>429</v>
      </c>
      <c r="D557" s="114" t="s">
        <v>17</v>
      </c>
      <c r="E557" s="115" t="s">
        <v>1484</v>
      </c>
      <c r="F557" s="115" t="s">
        <v>1485</v>
      </c>
      <c r="G557" s="115" t="s">
        <v>1842</v>
      </c>
      <c r="H557" s="113" t="s">
        <v>1428</v>
      </c>
      <c r="I557" s="114">
        <v>20.510415999999999</v>
      </c>
      <c r="J557" s="114">
        <v>-100.77520699999999</v>
      </c>
      <c r="K557" s="113"/>
      <c r="L557" s="116" t="str">
        <f t="shared" si="27"/>
        <v>Ver en Google Maps</v>
      </c>
      <c r="M557" s="113">
        <v>1</v>
      </c>
      <c r="N557" s="129"/>
      <c r="O557" s="118"/>
      <c r="P557" s="118"/>
      <c r="Q557" s="118"/>
      <c r="R557" s="118"/>
      <c r="S557" s="118"/>
      <c r="T557" s="118"/>
      <c r="U557" s="118"/>
      <c r="V557" s="118"/>
      <c r="W557" s="118"/>
      <c r="X557" s="118"/>
      <c r="Y557" s="118"/>
      <c r="Z557" s="118"/>
      <c r="AA557" s="118"/>
      <c r="AB557" s="118"/>
      <c r="AC557" s="119"/>
      <c r="AD557" s="119"/>
      <c r="AE557" s="118"/>
      <c r="AF557" s="120"/>
    </row>
    <row r="558" spans="1:32" x14ac:dyDescent="0.2">
      <c r="A558" s="121">
        <v>175</v>
      </c>
      <c r="B558" s="122" t="s">
        <v>1204</v>
      </c>
      <c r="C558" s="123" t="s">
        <v>429</v>
      </c>
      <c r="D558" s="123" t="s">
        <v>17</v>
      </c>
      <c r="E558" s="124" t="s">
        <v>1486</v>
      </c>
      <c r="F558" s="124" t="s">
        <v>1487</v>
      </c>
      <c r="G558" s="124" t="s">
        <v>1843</v>
      </c>
      <c r="H558" s="122" t="s">
        <v>1428</v>
      </c>
      <c r="I558" s="123">
        <v>20.527470000000001</v>
      </c>
      <c r="J558" s="123">
        <v>-100.83808000000001</v>
      </c>
      <c r="K558" s="122"/>
      <c r="L558" s="125" t="str">
        <f t="shared" si="27"/>
        <v>Ver en Google Maps</v>
      </c>
      <c r="M558" s="122">
        <v>1</v>
      </c>
      <c r="N558" s="130"/>
      <c r="O558" s="109"/>
      <c r="P558" s="109"/>
      <c r="Q558" s="109"/>
      <c r="R558" s="109"/>
      <c r="S558" s="109"/>
      <c r="T558" s="109"/>
      <c r="U558" s="109"/>
      <c r="V558" s="109"/>
      <c r="W558" s="109"/>
      <c r="X558" s="109"/>
      <c r="Y558" s="109"/>
      <c r="Z558" s="109"/>
      <c r="AA558" s="109"/>
      <c r="AB558" s="109"/>
      <c r="AC558" s="110"/>
      <c r="AD558" s="110"/>
      <c r="AE558" s="109"/>
      <c r="AF558" s="111"/>
    </row>
    <row r="559" spans="1:32" x14ac:dyDescent="0.2">
      <c r="A559" s="112">
        <v>176</v>
      </c>
      <c r="B559" s="113" t="s">
        <v>1204</v>
      </c>
      <c r="C559" s="114" t="s">
        <v>429</v>
      </c>
      <c r="D559" s="114" t="s">
        <v>17</v>
      </c>
      <c r="E559" s="115" t="s">
        <v>1488</v>
      </c>
      <c r="F559" s="115" t="s">
        <v>1489</v>
      </c>
      <c r="G559" s="115" t="s">
        <v>1844</v>
      </c>
      <c r="H559" s="113" t="s">
        <v>1428</v>
      </c>
      <c r="I559" s="114">
        <v>20.527249000000001</v>
      </c>
      <c r="J559" s="114">
        <v>-100.80171300000001</v>
      </c>
      <c r="K559" s="113"/>
      <c r="L559" s="116" t="str">
        <f t="shared" si="27"/>
        <v>Ver en Google Maps</v>
      </c>
      <c r="M559" s="113">
        <v>1</v>
      </c>
      <c r="N559" s="129"/>
      <c r="O559" s="118"/>
      <c r="P559" s="118"/>
      <c r="Q559" s="118"/>
      <c r="R559" s="118"/>
      <c r="S559" s="118"/>
      <c r="T559" s="118"/>
      <c r="U559" s="118"/>
      <c r="V559" s="118"/>
      <c r="W559" s="118"/>
      <c r="X559" s="118"/>
      <c r="Y559" s="118"/>
      <c r="Z559" s="118"/>
      <c r="AA559" s="118"/>
      <c r="AB559" s="118"/>
      <c r="AC559" s="119"/>
      <c r="AD559" s="119"/>
      <c r="AE559" s="118"/>
      <c r="AF559" s="120"/>
    </row>
    <row r="560" spans="1:32" x14ac:dyDescent="0.2">
      <c r="A560" s="121">
        <v>177</v>
      </c>
      <c r="B560" s="122" t="s">
        <v>1204</v>
      </c>
      <c r="C560" s="123" t="s">
        <v>429</v>
      </c>
      <c r="D560" s="123" t="s">
        <v>17</v>
      </c>
      <c r="E560" s="124" t="s">
        <v>1490</v>
      </c>
      <c r="F560" s="124" t="s">
        <v>1491</v>
      </c>
      <c r="G560" s="124" t="s">
        <v>1845</v>
      </c>
      <c r="H560" s="122" t="s">
        <v>1428</v>
      </c>
      <c r="I560" s="123">
        <v>20.524750000000001</v>
      </c>
      <c r="J560" s="123">
        <v>-100.84413000000001</v>
      </c>
      <c r="K560" s="122"/>
      <c r="L560" s="125" t="str">
        <f t="shared" si="27"/>
        <v>Ver en Google Maps</v>
      </c>
      <c r="M560" s="122">
        <v>1</v>
      </c>
      <c r="N560" s="130"/>
      <c r="O560" s="109"/>
      <c r="P560" s="109"/>
      <c r="Q560" s="109"/>
      <c r="R560" s="109"/>
      <c r="S560" s="109"/>
      <c r="T560" s="109"/>
      <c r="U560" s="109"/>
      <c r="V560" s="109"/>
      <c r="W560" s="109"/>
      <c r="X560" s="109"/>
      <c r="Y560" s="109"/>
      <c r="Z560" s="109"/>
      <c r="AA560" s="109"/>
      <c r="AB560" s="109"/>
      <c r="AC560" s="110"/>
      <c r="AD560" s="110"/>
      <c r="AE560" s="109"/>
      <c r="AF560" s="111"/>
    </row>
    <row r="561" spans="1:32" x14ac:dyDescent="0.2">
      <c r="A561" s="112">
        <v>179</v>
      </c>
      <c r="B561" s="113" t="s">
        <v>1204</v>
      </c>
      <c r="C561" s="114" t="s">
        <v>429</v>
      </c>
      <c r="D561" s="114" t="s">
        <v>17</v>
      </c>
      <c r="E561" s="115" t="s">
        <v>1492</v>
      </c>
      <c r="F561" s="115" t="s">
        <v>1493</v>
      </c>
      <c r="G561" s="115" t="s">
        <v>1846</v>
      </c>
      <c r="H561" s="113" t="s">
        <v>1428</v>
      </c>
      <c r="I561" s="114">
        <v>20.510902999999999</v>
      </c>
      <c r="J561" s="114">
        <v>-100.797732</v>
      </c>
      <c r="K561" s="113"/>
      <c r="L561" s="116" t="str">
        <f t="shared" si="27"/>
        <v>Ver en Google Maps</v>
      </c>
      <c r="M561" s="113">
        <v>1</v>
      </c>
      <c r="N561" s="129"/>
      <c r="O561" s="118"/>
      <c r="P561" s="118"/>
      <c r="Q561" s="118"/>
      <c r="R561" s="118"/>
      <c r="S561" s="118"/>
      <c r="T561" s="118"/>
      <c r="U561" s="118"/>
      <c r="V561" s="118"/>
      <c r="W561" s="118"/>
      <c r="X561" s="118"/>
      <c r="Y561" s="118"/>
      <c r="Z561" s="118"/>
      <c r="AA561" s="118"/>
      <c r="AB561" s="118"/>
      <c r="AC561" s="119"/>
      <c r="AD561" s="119"/>
      <c r="AE561" s="118"/>
      <c r="AF561" s="120"/>
    </row>
    <row r="562" spans="1:32" x14ac:dyDescent="0.2">
      <c r="A562" s="121">
        <v>185</v>
      </c>
      <c r="B562" s="122" t="s">
        <v>1204</v>
      </c>
      <c r="C562" s="123" t="s">
        <v>429</v>
      </c>
      <c r="D562" s="123" t="s">
        <v>17</v>
      </c>
      <c r="E562" s="124" t="s">
        <v>1494</v>
      </c>
      <c r="F562" s="124" t="s">
        <v>1495</v>
      </c>
      <c r="G562" s="124" t="s">
        <v>1847</v>
      </c>
      <c r="H562" s="122" t="s">
        <v>1428</v>
      </c>
      <c r="I562" s="123">
        <v>20.515415999999998</v>
      </c>
      <c r="J562" s="123">
        <v>-100.78680799999999</v>
      </c>
      <c r="K562" s="122"/>
      <c r="L562" s="125" t="str">
        <f t="shared" si="27"/>
        <v>Ver en Google Maps</v>
      </c>
      <c r="M562" s="122">
        <v>1</v>
      </c>
      <c r="N562" s="130"/>
      <c r="O562" s="109"/>
      <c r="P562" s="109"/>
      <c r="Q562" s="109"/>
      <c r="R562" s="109"/>
      <c r="S562" s="109"/>
      <c r="T562" s="109"/>
      <c r="U562" s="109"/>
      <c r="V562" s="109"/>
      <c r="W562" s="109"/>
      <c r="X562" s="109"/>
      <c r="Y562" s="109"/>
      <c r="Z562" s="109"/>
      <c r="AA562" s="109"/>
      <c r="AB562" s="109"/>
      <c r="AC562" s="110"/>
      <c r="AD562" s="110"/>
      <c r="AE562" s="109"/>
      <c r="AF562" s="111"/>
    </row>
    <row r="563" spans="1:32" x14ac:dyDescent="0.2">
      <c r="A563" s="112">
        <v>186</v>
      </c>
      <c r="B563" s="113" t="s">
        <v>1204</v>
      </c>
      <c r="C563" s="114" t="s">
        <v>429</v>
      </c>
      <c r="D563" s="114" t="s">
        <v>17</v>
      </c>
      <c r="E563" s="115" t="s">
        <v>1496</v>
      </c>
      <c r="F563" s="115" t="s">
        <v>1497</v>
      </c>
      <c r="G563" s="115" t="s">
        <v>1848</v>
      </c>
      <c r="H563" s="113" t="s">
        <v>1428</v>
      </c>
      <c r="I563" s="114">
        <v>20.508379999999999</v>
      </c>
      <c r="J563" s="114">
        <v>-100.80757699999999</v>
      </c>
      <c r="K563" s="113"/>
      <c r="L563" s="116" t="str">
        <f t="shared" si="27"/>
        <v>Ver en Google Maps</v>
      </c>
      <c r="M563" s="113">
        <v>1</v>
      </c>
      <c r="N563" s="129"/>
      <c r="O563" s="118"/>
      <c r="P563" s="118"/>
      <c r="Q563" s="118"/>
      <c r="R563" s="118"/>
      <c r="S563" s="118"/>
      <c r="T563" s="118"/>
      <c r="U563" s="118"/>
      <c r="V563" s="118"/>
      <c r="W563" s="118"/>
      <c r="X563" s="118"/>
      <c r="Y563" s="118"/>
      <c r="Z563" s="118"/>
      <c r="AA563" s="118"/>
      <c r="AB563" s="118"/>
      <c r="AC563" s="119"/>
      <c r="AD563" s="119"/>
      <c r="AE563" s="118"/>
      <c r="AF563" s="120"/>
    </row>
    <row r="564" spans="1:32" x14ac:dyDescent="0.2">
      <c r="A564" s="121">
        <v>188</v>
      </c>
      <c r="B564" s="122" t="s">
        <v>1204</v>
      </c>
      <c r="C564" s="123" t="s">
        <v>429</v>
      </c>
      <c r="D564" s="123" t="s">
        <v>17</v>
      </c>
      <c r="E564" s="124" t="s">
        <v>1498</v>
      </c>
      <c r="F564" s="124" t="s">
        <v>1499</v>
      </c>
      <c r="G564" s="124" t="s">
        <v>1849</v>
      </c>
      <c r="H564" s="122" t="s">
        <v>1428</v>
      </c>
      <c r="I564" s="123">
        <v>20.503837000000001</v>
      </c>
      <c r="J564" s="123">
        <v>-100.80708799999999</v>
      </c>
      <c r="K564" s="122"/>
      <c r="L564" s="125" t="str">
        <f t="shared" si="27"/>
        <v>Ver en Google Maps</v>
      </c>
      <c r="M564" s="122">
        <v>1</v>
      </c>
      <c r="N564" s="130"/>
      <c r="O564" s="109"/>
      <c r="P564" s="109"/>
      <c r="Q564" s="109"/>
      <c r="R564" s="109"/>
      <c r="S564" s="109"/>
      <c r="T564" s="109"/>
      <c r="U564" s="109"/>
      <c r="V564" s="109"/>
      <c r="W564" s="109"/>
      <c r="X564" s="109"/>
      <c r="Y564" s="109"/>
      <c r="Z564" s="109"/>
      <c r="AA564" s="109"/>
      <c r="AB564" s="109"/>
      <c r="AC564" s="110"/>
      <c r="AD564" s="110"/>
      <c r="AE564" s="109"/>
      <c r="AF564" s="111"/>
    </row>
    <row r="565" spans="1:32" x14ac:dyDescent="0.2">
      <c r="A565" s="112">
        <v>192</v>
      </c>
      <c r="B565" s="113" t="s">
        <v>1204</v>
      </c>
      <c r="C565" s="114" t="s">
        <v>429</v>
      </c>
      <c r="D565" s="114" t="s">
        <v>17</v>
      </c>
      <c r="E565" s="115" t="s">
        <v>1500</v>
      </c>
      <c r="F565" s="115" t="s">
        <v>1501</v>
      </c>
      <c r="G565" s="115" t="s">
        <v>1850</v>
      </c>
      <c r="H565" s="113" t="s">
        <v>1428</v>
      </c>
      <c r="I565" s="114">
        <v>20.512329999999999</v>
      </c>
      <c r="J565" s="114">
        <v>-100.81455</v>
      </c>
      <c r="K565" s="113"/>
      <c r="L565" s="116" t="str">
        <f t="shared" si="27"/>
        <v>Ver en Google Maps</v>
      </c>
      <c r="M565" s="113">
        <v>1</v>
      </c>
      <c r="N565" s="129"/>
      <c r="O565" s="118"/>
      <c r="P565" s="118"/>
      <c r="Q565" s="118"/>
      <c r="R565" s="118"/>
      <c r="S565" s="118"/>
      <c r="T565" s="118"/>
      <c r="U565" s="118"/>
      <c r="V565" s="118"/>
      <c r="W565" s="118"/>
      <c r="X565" s="118"/>
      <c r="Y565" s="118"/>
      <c r="Z565" s="118"/>
      <c r="AA565" s="118"/>
      <c r="AB565" s="118"/>
      <c r="AC565" s="119"/>
      <c r="AD565" s="119"/>
      <c r="AE565" s="118"/>
      <c r="AF565" s="120"/>
    </row>
    <row r="566" spans="1:32" x14ac:dyDescent="0.2">
      <c r="A566" s="121">
        <v>193</v>
      </c>
      <c r="B566" s="122" t="s">
        <v>1204</v>
      </c>
      <c r="C566" s="123" t="s">
        <v>429</v>
      </c>
      <c r="D566" s="123" t="s">
        <v>17</v>
      </c>
      <c r="E566" s="124" t="s">
        <v>1502</v>
      </c>
      <c r="F566" s="124" t="s">
        <v>1503</v>
      </c>
      <c r="G566" s="124" t="s">
        <v>1851</v>
      </c>
      <c r="H566" s="122" t="s">
        <v>1428</v>
      </c>
      <c r="I566" s="123">
        <v>20.506601</v>
      </c>
      <c r="J566" s="123">
        <v>-100.827613</v>
      </c>
      <c r="K566" s="122"/>
      <c r="L566" s="125" t="str">
        <f t="shared" si="27"/>
        <v>Ver en Google Maps</v>
      </c>
      <c r="M566" s="122">
        <v>1</v>
      </c>
      <c r="N566" s="130"/>
      <c r="O566" s="109"/>
      <c r="P566" s="109"/>
      <c r="Q566" s="109"/>
      <c r="R566" s="109"/>
      <c r="S566" s="109"/>
      <c r="T566" s="109"/>
      <c r="U566" s="109"/>
      <c r="V566" s="109"/>
      <c r="W566" s="109"/>
      <c r="X566" s="109"/>
      <c r="Y566" s="109"/>
      <c r="Z566" s="109"/>
      <c r="AA566" s="109"/>
      <c r="AB566" s="109"/>
      <c r="AC566" s="110"/>
      <c r="AD566" s="110"/>
      <c r="AE566" s="109"/>
      <c r="AF566" s="111"/>
    </row>
    <row r="567" spans="1:32" x14ac:dyDescent="0.2">
      <c r="A567" s="112">
        <v>201</v>
      </c>
      <c r="B567" s="113" t="s">
        <v>1204</v>
      </c>
      <c r="C567" s="114" t="s">
        <v>429</v>
      </c>
      <c r="D567" s="114" t="s">
        <v>17</v>
      </c>
      <c r="E567" s="115" t="s">
        <v>1504</v>
      </c>
      <c r="F567" s="115" t="s">
        <v>1505</v>
      </c>
      <c r="G567" s="115" t="s">
        <v>1109</v>
      </c>
      <c r="H567" s="113" t="s">
        <v>1428</v>
      </c>
      <c r="I567" s="114">
        <v>20.534939999999999</v>
      </c>
      <c r="J567" s="114">
        <v>-100.8318</v>
      </c>
      <c r="K567" s="113"/>
      <c r="L567" s="116" t="str">
        <f t="shared" si="27"/>
        <v>Ver en Google Maps</v>
      </c>
      <c r="M567" s="113">
        <v>1</v>
      </c>
      <c r="N567" s="129"/>
      <c r="O567" s="118"/>
      <c r="P567" s="118"/>
      <c r="Q567" s="118"/>
      <c r="R567" s="118"/>
      <c r="S567" s="118"/>
      <c r="T567" s="118"/>
      <c r="U567" s="118"/>
      <c r="V567" s="118"/>
      <c r="W567" s="118"/>
      <c r="X567" s="118"/>
      <c r="Y567" s="118"/>
      <c r="Z567" s="118"/>
      <c r="AA567" s="118"/>
      <c r="AB567" s="118"/>
      <c r="AC567" s="119"/>
      <c r="AD567" s="119"/>
      <c r="AE567" s="118"/>
      <c r="AF567" s="120"/>
    </row>
    <row r="568" spans="1:32" x14ac:dyDescent="0.2">
      <c r="A568" s="121">
        <v>207</v>
      </c>
      <c r="B568" s="122" t="s">
        <v>1204</v>
      </c>
      <c r="C568" s="123" t="s">
        <v>429</v>
      </c>
      <c r="D568" s="123" t="s">
        <v>17</v>
      </c>
      <c r="E568" s="124" t="s">
        <v>1506</v>
      </c>
      <c r="F568" s="124" t="s">
        <v>1507</v>
      </c>
      <c r="G568" s="124" t="s">
        <v>1852</v>
      </c>
      <c r="H568" s="122" t="s">
        <v>1428</v>
      </c>
      <c r="I568" s="123">
        <v>20.538181999999999</v>
      </c>
      <c r="J568" s="123">
        <v>-100.83867600000001</v>
      </c>
      <c r="K568" s="122"/>
      <c r="L568" s="125" t="str">
        <f t="shared" si="27"/>
        <v>Ver en Google Maps</v>
      </c>
      <c r="M568" s="122">
        <v>1</v>
      </c>
      <c r="N568" s="130"/>
      <c r="O568" s="109"/>
      <c r="P568" s="109"/>
      <c r="Q568" s="109"/>
      <c r="R568" s="109"/>
      <c r="S568" s="109"/>
      <c r="T568" s="109"/>
      <c r="U568" s="109"/>
      <c r="V568" s="109"/>
      <c r="W568" s="109"/>
      <c r="X568" s="109"/>
      <c r="Y568" s="109"/>
      <c r="Z568" s="109"/>
      <c r="AA568" s="109"/>
      <c r="AB568" s="109"/>
      <c r="AC568" s="110"/>
      <c r="AD568" s="110"/>
      <c r="AE568" s="109"/>
      <c r="AF568" s="111"/>
    </row>
    <row r="569" spans="1:32" x14ac:dyDescent="0.2">
      <c r="A569" s="112">
        <v>210</v>
      </c>
      <c r="B569" s="113" t="s">
        <v>1204</v>
      </c>
      <c r="C569" s="114" t="s">
        <v>429</v>
      </c>
      <c r="D569" s="114" t="s">
        <v>17</v>
      </c>
      <c r="E569" s="115" t="s">
        <v>1508</v>
      </c>
      <c r="F569" s="115" t="s">
        <v>1509</v>
      </c>
      <c r="G569" s="115" t="s">
        <v>1853</v>
      </c>
      <c r="H569" s="113" t="s">
        <v>1428</v>
      </c>
      <c r="I569" s="114">
        <v>20.538132000000001</v>
      </c>
      <c r="J569" s="114">
        <v>-100.803398</v>
      </c>
      <c r="K569" s="113"/>
      <c r="L569" s="116" t="str">
        <f t="shared" si="27"/>
        <v>Ver en Google Maps</v>
      </c>
      <c r="M569" s="113">
        <v>1</v>
      </c>
      <c r="N569" s="129"/>
      <c r="O569" s="118"/>
      <c r="P569" s="118"/>
      <c r="Q569" s="118"/>
      <c r="R569" s="118"/>
      <c r="S569" s="118"/>
      <c r="T569" s="118"/>
      <c r="U569" s="118"/>
      <c r="V569" s="118"/>
      <c r="W569" s="118"/>
      <c r="X569" s="118"/>
      <c r="Y569" s="118"/>
      <c r="Z569" s="118"/>
      <c r="AA569" s="118"/>
      <c r="AB569" s="118"/>
      <c r="AC569" s="119"/>
      <c r="AD569" s="119"/>
      <c r="AE569" s="118"/>
      <c r="AF569" s="120"/>
    </row>
    <row r="570" spans="1:32" x14ac:dyDescent="0.2">
      <c r="A570" s="121">
        <v>225</v>
      </c>
      <c r="B570" s="122" t="s">
        <v>1204</v>
      </c>
      <c r="C570" s="123" t="s">
        <v>429</v>
      </c>
      <c r="D570" s="123" t="s">
        <v>17</v>
      </c>
      <c r="E570" s="124" t="s">
        <v>1510</v>
      </c>
      <c r="F570" s="124" t="s">
        <v>1511</v>
      </c>
      <c r="G570" s="124" t="s">
        <v>1854</v>
      </c>
      <c r="H570" s="122" t="s">
        <v>1428</v>
      </c>
      <c r="I570" s="123">
        <v>20.505307999999999</v>
      </c>
      <c r="J570" s="123">
        <v>-100.82047799999999</v>
      </c>
      <c r="K570" s="122"/>
      <c r="L570" s="125" t="str">
        <f t="shared" si="27"/>
        <v>Ver en Google Maps</v>
      </c>
      <c r="M570" s="122">
        <v>1</v>
      </c>
      <c r="N570" s="130"/>
      <c r="O570" s="109"/>
      <c r="P570" s="109"/>
      <c r="Q570" s="109"/>
      <c r="R570" s="109"/>
      <c r="S570" s="109"/>
      <c r="T570" s="109"/>
      <c r="U570" s="109"/>
      <c r="V570" s="109"/>
      <c r="W570" s="109"/>
      <c r="X570" s="109"/>
      <c r="Y570" s="109"/>
      <c r="Z570" s="109"/>
      <c r="AA570" s="109"/>
      <c r="AB570" s="109"/>
      <c r="AC570" s="110"/>
      <c r="AD570" s="110"/>
      <c r="AE570" s="109"/>
      <c r="AF570" s="111"/>
    </row>
    <row r="571" spans="1:32" x14ac:dyDescent="0.2">
      <c r="A571" s="112">
        <v>239</v>
      </c>
      <c r="B571" s="113" t="s">
        <v>1204</v>
      </c>
      <c r="C571" s="114" t="s">
        <v>429</v>
      </c>
      <c r="D571" s="114" t="s">
        <v>17</v>
      </c>
      <c r="E571" s="115" t="s">
        <v>1512</v>
      </c>
      <c r="F571" s="115" t="s">
        <v>1513</v>
      </c>
      <c r="G571" s="115" t="s">
        <v>1855</v>
      </c>
      <c r="H571" s="113" t="s">
        <v>1428</v>
      </c>
      <c r="I571" s="114">
        <v>20.54551</v>
      </c>
      <c r="J571" s="114">
        <v>-100.782597</v>
      </c>
      <c r="K571" s="113"/>
      <c r="L571" s="116" t="str">
        <f t="shared" si="27"/>
        <v>Ver en Google Maps</v>
      </c>
      <c r="M571" s="113">
        <v>1</v>
      </c>
      <c r="N571" s="129"/>
      <c r="O571" s="118"/>
      <c r="P571" s="118"/>
      <c r="Q571" s="118"/>
      <c r="R571" s="118"/>
      <c r="S571" s="118"/>
      <c r="T571" s="118"/>
      <c r="U571" s="118"/>
      <c r="V571" s="118"/>
      <c r="W571" s="118"/>
      <c r="X571" s="118"/>
      <c r="Y571" s="118"/>
      <c r="Z571" s="118"/>
      <c r="AA571" s="118"/>
      <c r="AB571" s="118"/>
      <c r="AC571" s="119"/>
      <c r="AD571" s="119"/>
      <c r="AE571" s="118"/>
      <c r="AF571" s="120"/>
    </row>
    <row r="572" spans="1:32" x14ac:dyDescent="0.2">
      <c r="A572" s="121">
        <v>244</v>
      </c>
      <c r="B572" s="122" t="s">
        <v>1204</v>
      </c>
      <c r="C572" s="123" t="s">
        <v>429</v>
      </c>
      <c r="D572" s="123" t="s">
        <v>17</v>
      </c>
      <c r="E572" s="124" t="s">
        <v>1514</v>
      </c>
      <c r="F572" s="124" t="s">
        <v>1515</v>
      </c>
      <c r="G572" s="124" t="s">
        <v>1856</v>
      </c>
      <c r="H572" s="122" t="s">
        <v>1428</v>
      </c>
      <c r="I572" s="123">
        <v>20.547263999999998</v>
      </c>
      <c r="J572" s="123">
        <v>-100.823547</v>
      </c>
      <c r="K572" s="122"/>
      <c r="L572" s="125" t="str">
        <f t="shared" si="27"/>
        <v>Ver en Google Maps</v>
      </c>
      <c r="M572" s="122">
        <v>1</v>
      </c>
      <c r="N572" s="130"/>
      <c r="O572" s="109"/>
      <c r="P572" s="109"/>
      <c r="Q572" s="109"/>
      <c r="R572" s="109"/>
      <c r="S572" s="109"/>
      <c r="T572" s="109"/>
      <c r="U572" s="109"/>
      <c r="V572" s="109"/>
      <c r="W572" s="109"/>
      <c r="X572" s="109"/>
      <c r="Y572" s="109"/>
      <c r="Z572" s="109"/>
      <c r="AA572" s="109"/>
      <c r="AB572" s="109"/>
      <c r="AC572" s="110"/>
      <c r="AD572" s="110"/>
      <c r="AE572" s="109"/>
      <c r="AF572" s="111"/>
    </row>
    <row r="573" spans="1:32" x14ac:dyDescent="0.2">
      <c r="A573" s="112">
        <v>245</v>
      </c>
      <c r="B573" s="113" t="s">
        <v>1204</v>
      </c>
      <c r="C573" s="114" t="s">
        <v>429</v>
      </c>
      <c r="D573" s="114" t="s">
        <v>17</v>
      </c>
      <c r="E573" s="115" t="s">
        <v>1516</v>
      </c>
      <c r="F573" s="115" t="s">
        <v>1517</v>
      </c>
      <c r="G573" s="115" t="s">
        <v>1857</v>
      </c>
      <c r="H573" s="113" t="s">
        <v>1428</v>
      </c>
      <c r="I573" s="114">
        <v>20.502707000000001</v>
      </c>
      <c r="J573" s="114">
        <v>-100.82763199999999</v>
      </c>
      <c r="K573" s="113"/>
      <c r="L573" s="116" t="str">
        <f t="shared" si="27"/>
        <v>Ver en Google Maps</v>
      </c>
      <c r="M573" s="113">
        <v>1</v>
      </c>
      <c r="N573" s="129"/>
      <c r="O573" s="118"/>
      <c r="P573" s="118"/>
      <c r="Q573" s="118"/>
      <c r="R573" s="118"/>
      <c r="S573" s="118"/>
      <c r="T573" s="118"/>
      <c r="U573" s="118"/>
      <c r="V573" s="118"/>
      <c r="W573" s="118"/>
      <c r="X573" s="118"/>
      <c r="Y573" s="118"/>
      <c r="Z573" s="118"/>
      <c r="AA573" s="118"/>
      <c r="AB573" s="118"/>
      <c r="AC573" s="119"/>
      <c r="AD573" s="119"/>
      <c r="AE573" s="118"/>
      <c r="AF573" s="120"/>
    </row>
    <row r="574" spans="1:32" x14ac:dyDescent="0.2">
      <c r="A574" s="121">
        <v>250</v>
      </c>
      <c r="B574" s="122" t="s">
        <v>1204</v>
      </c>
      <c r="C574" s="123" t="s">
        <v>429</v>
      </c>
      <c r="D574" s="123" t="s">
        <v>17</v>
      </c>
      <c r="E574" s="124" t="s">
        <v>1518</v>
      </c>
      <c r="F574" s="124" t="s">
        <v>1519</v>
      </c>
      <c r="G574" s="124" t="s">
        <v>1858</v>
      </c>
      <c r="H574" s="122" t="s">
        <v>1428</v>
      </c>
      <c r="I574" s="123">
        <v>20.530248</v>
      </c>
      <c r="J574" s="123">
        <v>-100.79176200000001</v>
      </c>
      <c r="K574" s="122"/>
      <c r="L574" s="125" t="str">
        <f t="shared" si="27"/>
        <v>Ver en Google Maps</v>
      </c>
      <c r="M574" s="122">
        <v>1</v>
      </c>
      <c r="N574" s="130"/>
      <c r="O574" s="109"/>
      <c r="P574" s="109"/>
      <c r="Q574" s="109"/>
      <c r="R574" s="109"/>
      <c r="S574" s="109"/>
      <c r="T574" s="109"/>
      <c r="U574" s="109"/>
      <c r="V574" s="109"/>
      <c r="W574" s="109"/>
      <c r="X574" s="109"/>
      <c r="Y574" s="109"/>
      <c r="Z574" s="109"/>
      <c r="AA574" s="109"/>
      <c r="AB574" s="109"/>
      <c r="AC574" s="110"/>
      <c r="AD574" s="110"/>
      <c r="AE574" s="109"/>
      <c r="AF574" s="111"/>
    </row>
    <row r="575" spans="1:32" x14ac:dyDescent="0.2">
      <c r="A575" s="112">
        <v>268</v>
      </c>
      <c r="B575" s="113" t="s">
        <v>1204</v>
      </c>
      <c r="C575" s="114" t="s">
        <v>429</v>
      </c>
      <c r="D575" s="114" t="s">
        <v>17</v>
      </c>
      <c r="E575" s="115" t="s">
        <v>1520</v>
      </c>
      <c r="F575" s="115" t="s">
        <v>1521</v>
      </c>
      <c r="G575" s="115" t="s">
        <v>1859</v>
      </c>
      <c r="H575" s="113" t="s">
        <v>1428</v>
      </c>
      <c r="I575" s="114">
        <v>20.541145</v>
      </c>
      <c r="J575" s="114">
        <v>-100.795073</v>
      </c>
      <c r="K575" s="113"/>
      <c r="L575" s="116" t="str">
        <f t="shared" si="27"/>
        <v>Ver en Google Maps</v>
      </c>
      <c r="M575" s="113">
        <v>1</v>
      </c>
      <c r="N575" s="129"/>
      <c r="O575" s="118"/>
      <c r="P575" s="118"/>
      <c r="Q575" s="118"/>
      <c r="R575" s="118"/>
      <c r="S575" s="118"/>
      <c r="T575" s="118"/>
      <c r="U575" s="118"/>
      <c r="V575" s="118"/>
      <c r="W575" s="118"/>
      <c r="X575" s="118"/>
      <c r="Y575" s="118"/>
      <c r="Z575" s="118"/>
      <c r="AA575" s="118"/>
      <c r="AB575" s="118"/>
      <c r="AC575" s="119"/>
      <c r="AD575" s="119"/>
      <c r="AE575" s="118"/>
      <c r="AF575" s="120"/>
    </row>
    <row r="576" spans="1:32" x14ac:dyDescent="0.2">
      <c r="A576" s="121">
        <v>271</v>
      </c>
      <c r="B576" s="122" t="s">
        <v>1204</v>
      </c>
      <c r="C576" s="123" t="s">
        <v>429</v>
      </c>
      <c r="D576" s="123" t="s">
        <v>17</v>
      </c>
      <c r="E576" s="124" t="s">
        <v>1522</v>
      </c>
      <c r="F576" s="124" t="s">
        <v>1523</v>
      </c>
      <c r="G576" s="124" t="s">
        <v>1860</v>
      </c>
      <c r="H576" s="122" t="s">
        <v>1428</v>
      </c>
      <c r="I576" s="123">
        <v>20.545853000000001</v>
      </c>
      <c r="J576" s="123">
        <v>-100.806826</v>
      </c>
      <c r="K576" s="122"/>
      <c r="L576" s="125" t="str">
        <f t="shared" si="27"/>
        <v>Ver en Google Maps</v>
      </c>
      <c r="M576" s="122">
        <v>1</v>
      </c>
      <c r="N576" s="130"/>
      <c r="O576" s="109"/>
      <c r="P576" s="109"/>
      <c r="Q576" s="109"/>
      <c r="R576" s="109"/>
      <c r="S576" s="109"/>
      <c r="T576" s="109"/>
      <c r="U576" s="109"/>
      <c r="V576" s="109"/>
      <c r="W576" s="109"/>
      <c r="X576" s="109"/>
      <c r="Y576" s="109"/>
      <c r="Z576" s="109"/>
      <c r="AA576" s="109"/>
      <c r="AB576" s="109"/>
      <c r="AC576" s="110"/>
      <c r="AD576" s="110"/>
      <c r="AE576" s="109"/>
      <c r="AF576" s="111"/>
    </row>
    <row r="577" spans="1:32" x14ac:dyDescent="0.2">
      <c r="A577" s="112">
        <v>272</v>
      </c>
      <c r="B577" s="113" t="s">
        <v>1204</v>
      </c>
      <c r="C577" s="114" t="s">
        <v>429</v>
      </c>
      <c r="D577" s="114" t="s">
        <v>17</v>
      </c>
      <c r="E577" s="115" t="s">
        <v>1524</v>
      </c>
      <c r="F577" s="115" t="s">
        <v>1525</v>
      </c>
      <c r="G577" s="115" t="s">
        <v>1861</v>
      </c>
      <c r="H577" s="113" t="s">
        <v>1428</v>
      </c>
      <c r="I577" s="114">
        <v>20.534444000000001</v>
      </c>
      <c r="J577" s="114">
        <v>-100.789777</v>
      </c>
      <c r="K577" s="113"/>
      <c r="L577" s="116" t="str">
        <f t="shared" si="27"/>
        <v>Ver en Google Maps</v>
      </c>
      <c r="M577" s="113">
        <v>1</v>
      </c>
      <c r="N577" s="129"/>
      <c r="O577" s="118"/>
      <c r="P577" s="118"/>
      <c r="Q577" s="118"/>
      <c r="R577" s="118"/>
      <c r="S577" s="118"/>
      <c r="T577" s="118"/>
      <c r="U577" s="118"/>
      <c r="V577" s="118"/>
      <c r="W577" s="118"/>
      <c r="X577" s="118"/>
      <c r="Y577" s="118"/>
      <c r="Z577" s="118"/>
      <c r="AA577" s="118"/>
      <c r="AB577" s="118"/>
      <c r="AC577" s="119"/>
      <c r="AD577" s="119"/>
      <c r="AE577" s="118"/>
      <c r="AF577" s="120"/>
    </row>
    <row r="578" spans="1:32" x14ac:dyDescent="0.2">
      <c r="A578" s="121">
        <v>288</v>
      </c>
      <c r="B578" s="122" t="s">
        <v>1204</v>
      </c>
      <c r="C578" s="123" t="s">
        <v>429</v>
      </c>
      <c r="D578" s="123" t="s">
        <v>16</v>
      </c>
      <c r="E578" s="124" t="s">
        <v>1526</v>
      </c>
      <c r="F578" s="124" t="s">
        <v>1527</v>
      </c>
      <c r="G578" s="124" t="s">
        <v>1862</v>
      </c>
      <c r="H578" s="122" t="s">
        <v>1428</v>
      </c>
      <c r="I578" s="123">
        <v>20.555185999999999</v>
      </c>
      <c r="J578" s="123">
        <v>-100.825086</v>
      </c>
      <c r="K578" s="122"/>
      <c r="L578" s="125" t="str">
        <f t="shared" si="27"/>
        <v>Ver en Google Maps</v>
      </c>
      <c r="M578" s="122">
        <v>2</v>
      </c>
      <c r="N578" s="130"/>
      <c r="O578" s="109"/>
      <c r="P578" s="109"/>
      <c r="Q578" s="109"/>
      <c r="R578" s="109"/>
      <c r="S578" s="109"/>
      <c r="T578" s="109"/>
      <c r="U578" s="109"/>
      <c r="V578" s="109"/>
      <c r="W578" s="109"/>
      <c r="X578" s="109"/>
      <c r="Y578" s="109"/>
      <c r="Z578" s="109"/>
      <c r="AA578" s="109"/>
      <c r="AB578" s="109"/>
      <c r="AC578" s="110"/>
      <c r="AD578" s="110"/>
      <c r="AE578" s="109"/>
      <c r="AF578" s="111"/>
    </row>
    <row r="579" spans="1:32" x14ac:dyDescent="0.2">
      <c r="A579" s="112">
        <v>292</v>
      </c>
      <c r="B579" s="113" t="s">
        <v>1204</v>
      </c>
      <c r="C579" s="114" t="s">
        <v>429</v>
      </c>
      <c r="D579" s="114" t="s">
        <v>16</v>
      </c>
      <c r="E579" s="115" t="s">
        <v>1528</v>
      </c>
      <c r="F579" s="115" t="s">
        <v>1529</v>
      </c>
      <c r="G579" s="115" t="s">
        <v>1842</v>
      </c>
      <c r="H579" s="113" t="s">
        <v>1428</v>
      </c>
      <c r="I579" s="114">
        <v>20.511023999999999</v>
      </c>
      <c r="J579" s="114">
        <v>-100.776309</v>
      </c>
      <c r="K579" s="113"/>
      <c r="L579" s="116" t="str">
        <f t="shared" si="27"/>
        <v>Ver en Google Maps</v>
      </c>
      <c r="M579" s="113">
        <v>1</v>
      </c>
      <c r="N579" s="129"/>
      <c r="O579" s="118"/>
      <c r="P579" s="118"/>
      <c r="Q579" s="118"/>
      <c r="R579" s="118"/>
      <c r="S579" s="118"/>
      <c r="T579" s="118"/>
      <c r="U579" s="118"/>
      <c r="V579" s="118"/>
      <c r="W579" s="118"/>
      <c r="X579" s="118"/>
      <c r="Y579" s="118"/>
      <c r="Z579" s="118"/>
      <c r="AA579" s="118"/>
      <c r="AB579" s="118"/>
      <c r="AC579" s="119"/>
      <c r="AD579" s="119"/>
      <c r="AE579" s="118"/>
      <c r="AF579" s="120"/>
    </row>
    <row r="580" spans="1:32" x14ac:dyDescent="0.2">
      <c r="A580" s="121">
        <v>293</v>
      </c>
      <c r="B580" s="122" t="s">
        <v>1204</v>
      </c>
      <c r="C580" s="123" t="s">
        <v>429</v>
      </c>
      <c r="D580" s="123" t="s">
        <v>16</v>
      </c>
      <c r="E580" s="124" t="s">
        <v>1530</v>
      </c>
      <c r="F580" s="124" t="s">
        <v>1531</v>
      </c>
      <c r="G580" s="124" t="s">
        <v>1863</v>
      </c>
      <c r="H580" s="122" t="s">
        <v>1428</v>
      </c>
      <c r="I580" s="123">
        <v>20.513998999999998</v>
      </c>
      <c r="J580" s="123">
        <v>-100.78750100000001</v>
      </c>
      <c r="K580" s="122"/>
      <c r="L580" s="125" t="str">
        <f t="shared" si="27"/>
        <v>Ver en Google Maps</v>
      </c>
      <c r="M580" s="122">
        <v>2</v>
      </c>
      <c r="N580" s="130"/>
      <c r="O580" s="109"/>
      <c r="P580" s="109"/>
      <c r="Q580" s="109"/>
      <c r="R580" s="109"/>
      <c r="S580" s="109"/>
      <c r="T580" s="109"/>
      <c r="U580" s="109"/>
      <c r="V580" s="109"/>
      <c r="W580" s="109"/>
      <c r="X580" s="109"/>
      <c r="Y580" s="109"/>
      <c r="Z580" s="109"/>
      <c r="AA580" s="109"/>
      <c r="AB580" s="109"/>
      <c r="AC580" s="110"/>
      <c r="AD580" s="110"/>
      <c r="AE580" s="109"/>
      <c r="AF580" s="111"/>
    </row>
    <row r="581" spans="1:32" x14ac:dyDescent="0.2">
      <c r="A581" s="112">
        <v>297</v>
      </c>
      <c r="B581" s="113" t="s">
        <v>1204</v>
      </c>
      <c r="C581" s="114" t="s">
        <v>429</v>
      </c>
      <c r="D581" s="114" t="s">
        <v>16</v>
      </c>
      <c r="E581" s="115" t="s">
        <v>1532</v>
      </c>
      <c r="F581" s="115" t="s">
        <v>1533</v>
      </c>
      <c r="G581" s="115" t="s">
        <v>1864</v>
      </c>
      <c r="H581" s="113" t="s">
        <v>1428</v>
      </c>
      <c r="I581" s="114">
        <v>20.510815000000001</v>
      </c>
      <c r="J581" s="114">
        <v>-100.79826199999999</v>
      </c>
      <c r="K581" s="113"/>
      <c r="L581" s="116" t="str">
        <f t="shared" si="27"/>
        <v>Ver en Google Maps</v>
      </c>
      <c r="M581" s="113">
        <v>1</v>
      </c>
      <c r="N581" s="129"/>
      <c r="O581" s="118"/>
      <c r="P581" s="118"/>
      <c r="Q581" s="118"/>
      <c r="R581" s="118"/>
      <c r="S581" s="118"/>
      <c r="T581" s="118"/>
      <c r="U581" s="118"/>
      <c r="V581" s="118"/>
      <c r="W581" s="118"/>
      <c r="X581" s="118"/>
      <c r="Y581" s="118"/>
      <c r="Z581" s="118"/>
      <c r="AA581" s="118"/>
      <c r="AB581" s="118"/>
      <c r="AC581" s="119"/>
      <c r="AD581" s="119"/>
      <c r="AE581" s="118"/>
      <c r="AF581" s="120"/>
    </row>
    <row r="582" spans="1:32" x14ac:dyDescent="0.2">
      <c r="A582" s="121">
        <v>309</v>
      </c>
      <c r="B582" s="122" t="s">
        <v>1204</v>
      </c>
      <c r="C582" s="123" t="s">
        <v>429</v>
      </c>
      <c r="D582" s="123" t="s">
        <v>16</v>
      </c>
      <c r="E582" s="124" t="s">
        <v>1534</v>
      </c>
      <c r="F582" s="124" t="s">
        <v>1535</v>
      </c>
      <c r="G582" s="124" t="s">
        <v>1865</v>
      </c>
      <c r="H582" s="122" t="s">
        <v>1428</v>
      </c>
      <c r="I582" s="123">
        <v>20.536619999999999</v>
      </c>
      <c r="J582" s="123">
        <v>-100.830218</v>
      </c>
      <c r="K582" s="122"/>
      <c r="L582" s="125" t="str">
        <f t="shared" si="27"/>
        <v>Ver en Google Maps</v>
      </c>
      <c r="M582" s="122">
        <v>2</v>
      </c>
      <c r="N582" s="130"/>
      <c r="O582" s="109"/>
      <c r="P582" s="109"/>
      <c r="Q582" s="109"/>
      <c r="R582" s="109"/>
      <c r="S582" s="109"/>
      <c r="T582" s="109"/>
      <c r="U582" s="109"/>
      <c r="V582" s="109"/>
      <c r="W582" s="109"/>
      <c r="X582" s="109"/>
      <c r="Y582" s="109"/>
      <c r="Z582" s="109"/>
      <c r="AA582" s="109"/>
      <c r="AB582" s="109"/>
      <c r="AC582" s="110"/>
      <c r="AD582" s="110"/>
      <c r="AE582" s="109"/>
      <c r="AF582" s="111"/>
    </row>
    <row r="583" spans="1:32" x14ac:dyDescent="0.2">
      <c r="A583" s="112">
        <v>317</v>
      </c>
      <c r="B583" s="113" t="s">
        <v>1204</v>
      </c>
      <c r="C583" s="114" t="s">
        <v>429</v>
      </c>
      <c r="D583" s="114" t="s">
        <v>16</v>
      </c>
      <c r="E583" s="115" t="s">
        <v>1536</v>
      </c>
      <c r="F583" s="115" t="s">
        <v>1537</v>
      </c>
      <c r="G583" s="115" t="s">
        <v>360</v>
      </c>
      <c r="H583" s="113" t="s">
        <v>1428</v>
      </c>
      <c r="I583" s="114">
        <v>20.511153</v>
      </c>
      <c r="J583" s="114">
        <v>-100.81482200000001</v>
      </c>
      <c r="K583" s="113"/>
      <c r="L583" s="116" t="str">
        <f t="shared" si="27"/>
        <v>Ver en Google Maps</v>
      </c>
      <c r="M583" s="113">
        <v>1</v>
      </c>
      <c r="N583" s="129"/>
      <c r="O583" s="118"/>
      <c r="P583" s="118"/>
      <c r="Q583" s="118"/>
      <c r="R583" s="118"/>
      <c r="S583" s="118"/>
      <c r="T583" s="118"/>
      <c r="U583" s="118"/>
      <c r="V583" s="118"/>
      <c r="W583" s="118"/>
      <c r="X583" s="118"/>
      <c r="Y583" s="118"/>
      <c r="Z583" s="118"/>
      <c r="AA583" s="118"/>
      <c r="AB583" s="118"/>
      <c r="AC583" s="119"/>
      <c r="AD583" s="119"/>
      <c r="AE583" s="118"/>
      <c r="AF583" s="120"/>
    </row>
    <row r="584" spans="1:32" x14ac:dyDescent="0.2">
      <c r="A584" s="121">
        <v>318</v>
      </c>
      <c r="B584" s="122" t="s">
        <v>1204</v>
      </c>
      <c r="C584" s="123" t="s">
        <v>429</v>
      </c>
      <c r="D584" s="123" t="s">
        <v>16</v>
      </c>
      <c r="E584" s="124" t="s">
        <v>1538</v>
      </c>
      <c r="F584" s="124" t="s">
        <v>1539</v>
      </c>
      <c r="G584" s="124" t="s">
        <v>360</v>
      </c>
      <c r="H584" s="122" t="s">
        <v>1428</v>
      </c>
      <c r="I584" s="123">
        <v>20.531189999999999</v>
      </c>
      <c r="J584" s="123">
        <v>-100.81816999999999</v>
      </c>
      <c r="K584" s="122"/>
      <c r="L584" s="125" t="str">
        <f t="shared" si="27"/>
        <v>Ver en Google Maps</v>
      </c>
      <c r="M584" s="122">
        <v>1</v>
      </c>
      <c r="N584" s="130"/>
      <c r="O584" s="109"/>
      <c r="P584" s="109"/>
      <c r="Q584" s="109"/>
      <c r="R584" s="109"/>
      <c r="S584" s="109"/>
      <c r="T584" s="109"/>
      <c r="U584" s="109"/>
      <c r="V584" s="109"/>
      <c r="W584" s="109"/>
      <c r="X584" s="109"/>
      <c r="Y584" s="109"/>
      <c r="Z584" s="109"/>
      <c r="AA584" s="109"/>
      <c r="AB584" s="109"/>
      <c r="AC584" s="110"/>
      <c r="AD584" s="110"/>
      <c r="AE584" s="109"/>
      <c r="AF584" s="111"/>
    </row>
    <row r="585" spans="1:32" x14ac:dyDescent="0.2">
      <c r="A585" s="112">
        <v>319</v>
      </c>
      <c r="B585" s="113" t="s">
        <v>1204</v>
      </c>
      <c r="C585" s="114" t="s">
        <v>429</v>
      </c>
      <c r="D585" s="114" t="s">
        <v>16</v>
      </c>
      <c r="E585" s="115" t="s">
        <v>1540</v>
      </c>
      <c r="F585" s="115" t="s">
        <v>1541</v>
      </c>
      <c r="G585" s="115" t="s">
        <v>979</v>
      </c>
      <c r="H585" s="113" t="s">
        <v>1428</v>
      </c>
      <c r="I585" s="114">
        <v>20.527830000000002</v>
      </c>
      <c r="J585" s="114">
        <v>-100.82491</v>
      </c>
      <c r="K585" s="113"/>
      <c r="L585" s="116" t="str">
        <f t="shared" si="27"/>
        <v>Ver en Google Maps</v>
      </c>
      <c r="M585" s="113">
        <v>2</v>
      </c>
      <c r="N585" s="129"/>
      <c r="O585" s="118"/>
      <c r="P585" s="118"/>
      <c r="Q585" s="118"/>
      <c r="R585" s="118"/>
      <c r="S585" s="118"/>
      <c r="T585" s="118"/>
      <c r="U585" s="118"/>
      <c r="V585" s="118"/>
      <c r="W585" s="118"/>
      <c r="X585" s="118"/>
      <c r="Y585" s="118"/>
      <c r="Z585" s="118"/>
      <c r="AA585" s="118"/>
      <c r="AB585" s="118"/>
      <c r="AC585" s="119"/>
      <c r="AD585" s="119"/>
      <c r="AE585" s="118"/>
      <c r="AF585" s="120"/>
    </row>
    <row r="586" spans="1:32" x14ac:dyDescent="0.2">
      <c r="A586" s="121">
        <v>320</v>
      </c>
      <c r="B586" s="122" t="s">
        <v>1204</v>
      </c>
      <c r="C586" s="123" t="s">
        <v>429</v>
      </c>
      <c r="D586" s="123" t="s">
        <v>16</v>
      </c>
      <c r="E586" s="124" t="s">
        <v>1542</v>
      </c>
      <c r="F586" s="124" t="s">
        <v>1543</v>
      </c>
      <c r="G586" s="124" t="s">
        <v>1866</v>
      </c>
      <c r="H586" s="122" t="s">
        <v>1428</v>
      </c>
      <c r="I586" s="123">
        <v>20.526806000000001</v>
      </c>
      <c r="J586" s="123">
        <v>-100.801147</v>
      </c>
      <c r="K586" s="122"/>
      <c r="L586" s="125" t="str">
        <f t="shared" ref="L586:L649" si="30">HYPERLINK("https://www.google.com/maps?q=" &amp; I586 &amp; "," &amp; J586, "Ver en Google Maps")</f>
        <v>Ver en Google Maps</v>
      </c>
      <c r="M586" s="122">
        <v>2</v>
      </c>
      <c r="N586" s="130"/>
      <c r="O586" s="109"/>
      <c r="P586" s="109"/>
      <c r="Q586" s="109"/>
      <c r="R586" s="109"/>
      <c r="S586" s="109"/>
      <c r="T586" s="109"/>
      <c r="U586" s="109"/>
      <c r="V586" s="109"/>
      <c r="W586" s="109"/>
      <c r="X586" s="109"/>
      <c r="Y586" s="109"/>
      <c r="Z586" s="109"/>
      <c r="AA586" s="109"/>
      <c r="AB586" s="109"/>
      <c r="AC586" s="110"/>
      <c r="AD586" s="110"/>
      <c r="AE586" s="109"/>
      <c r="AF586" s="111"/>
    </row>
    <row r="587" spans="1:32" x14ac:dyDescent="0.2">
      <c r="A587" s="112">
        <v>321</v>
      </c>
      <c r="B587" s="113" t="s">
        <v>1204</v>
      </c>
      <c r="C587" s="114" t="s">
        <v>429</v>
      </c>
      <c r="D587" s="114" t="s">
        <v>16</v>
      </c>
      <c r="E587" s="115" t="s">
        <v>1544</v>
      </c>
      <c r="F587" s="115" t="s">
        <v>1545</v>
      </c>
      <c r="G587" s="115" t="s">
        <v>1787</v>
      </c>
      <c r="H587" s="113" t="s">
        <v>1428</v>
      </c>
      <c r="I587" s="114">
        <v>20.522801999999999</v>
      </c>
      <c r="J587" s="114">
        <v>-100.79638799999999</v>
      </c>
      <c r="K587" s="113"/>
      <c r="L587" s="116" t="str">
        <f t="shared" si="30"/>
        <v>Ver en Google Maps</v>
      </c>
      <c r="M587" s="113">
        <v>2</v>
      </c>
      <c r="N587" s="129"/>
      <c r="O587" s="118"/>
      <c r="P587" s="118"/>
      <c r="Q587" s="118"/>
      <c r="R587" s="118"/>
      <c r="S587" s="118"/>
      <c r="T587" s="118"/>
      <c r="U587" s="118"/>
      <c r="V587" s="118"/>
      <c r="W587" s="118"/>
      <c r="X587" s="118"/>
      <c r="Y587" s="118"/>
      <c r="Z587" s="118"/>
      <c r="AA587" s="118"/>
      <c r="AB587" s="118"/>
      <c r="AC587" s="119"/>
      <c r="AD587" s="119"/>
      <c r="AE587" s="118"/>
      <c r="AF587" s="120"/>
    </row>
    <row r="588" spans="1:32" x14ac:dyDescent="0.2">
      <c r="A588" s="121">
        <v>336</v>
      </c>
      <c r="B588" s="122" t="s">
        <v>1204</v>
      </c>
      <c r="C588" s="123" t="s">
        <v>429</v>
      </c>
      <c r="D588" s="123" t="s">
        <v>16</v>
      </c>
      <c r="E588" s="124" t="s">
        <v>1546</v>
      </c>
      <c r="F588" s="124" t="s">
        <v>1547</v>
      </c>
      <c r="G588" s="124" t="s">
        <v>1834</v>
      </c>
      <c r="H588" s="122" t="s">
        <v>1428</v>
      </c>
      <c r="I588" s="123">
        <v>20.537787999999999</v>
      </c>
      <c r="J588" s="123">
        <v>-100.802311</v>
      </c>
      <c r="K588" s="122"/>
      <c r="L588" s="125" t="str">
        <f t="shared" si="30"/>
        <v>Ver en Google Maps</v>
      </c>
      <c r="M588" s="122">
        <v>2</v>
      </c>
      <c r="N588" s="130"/>
      <c r="O588" s="109"/>
      <c r="P588" s="109"/>
      <c r="Q588" s="109"/>
      <c r="R588" s="109"/>
      <c r="S588" s="109"/>
      <c r="T588" s="109"/>
      <c r="U588" s="109"/>
      <c r="V588" s="109"/>
      <c r="W588" s="109"/>
      <c r="X588" s="109"/>
      <c r="Y588" s="109"/>
      <c r="Z588" s="109"/>
      <c r="AA588" s="109"/>
      <c r="AB588" s="109"/>
      <c r="AC588" s="110"/>
      <c r="AD588" s="110"/>
      <c r="AE588" s="109"/>
      <c r="AF588" s="111"/>
    </row>
    <row r="589" spans="1:32" x14ac:dyDescent="0.2">
      <c r="A589" s="112">
        <v>341</v>
      </c>
      <c r="B589" s="113" t="s">
        <v>1204</v>
      </c>
      <c r="C589" s="114" t="s">
        <v>429</v>
      </c>
      <c r="D589" s="114" t="s">
        <v>16</v>
      </c>
      <c r="E589" s="115" t="s">
        <v>1548</v>
      </c>
      <c r="F589" s="115" t="s">
        <v>1549</v>
      </c>
      <c r="G589" s="115" t="s">
        <v>1867</v>
      </c>
      <c r="H589" s="113" t="s">
        <v>1428</v>
      </c>
      <c r="I589" s="114">
        <v>20.557200999999999</v>
      </c>
      <c r="J589" s="114">
        <v>-100.80486000000001</v>
      </c>
      <c r="K589" s="113"/>
      <c r="L589" s="116" t="str">
        <f t="shared" si="30"/>
        <v>Ver en Google Maps</v>
      </c>
      <c r="M589" s="113">
        <v>2</v>
      </c>
      <c r="N589" s="129"/>
      <c r="O589" s="118"/>
      <c r="P589" s="118"/>
      <c r="Q589" s="118"/>
      <c r="R589" s="118"/>
      <c r="S589" s="118"/>
      <c r="T589" s="118"/>
      <c r="U589" s="118"/>
      <c r="V589" s="118"/>
      <c r="W589" s="118"/>
      <c r="X589" s="118"/>
      <c r="Y589" s="118"/>
      <c r="Z589" s="118"/>
      <c r="AA589" s="118"/>
      <c r="AB589" s="118"/>
      <c r="AC589" s="119"/>
      <c r="AD589" s="119"/>
      <c r="AE589" s="118"/>
      <c r="AF589" s="120"/>
    </row>
    <row r="590" spans="1:32" x14ac:dyDescent="0.2">
      <c r="A590" s="121">
        <v>348</v>
      </c>
      <c r="B590" s="122" t="s">
        <v>1204</v>
      </c>
      <c r="C590" s="123" t="s">
        <v>429</v>
      </c>
      <c r="D590" s="123" t="s">
        <v>16</v>
      </c>
      <c r="E590" s="124" t="s">
        <v>1550</v>
      </c>
      <c r="F590" s="124" t="s">
        <v>1551</v>
      </c>
      <c r="G590" s="124" t="s">
        <v>1868</v>
      </c>
      <c r="H590" s="122" t="s">
        <v>1428</v>
      </c>
      <c r="I590" s="123">
        <v>20.525932999999998</v>
      </c>
      <c r="J590" s="123">
        <v>-100.79515600000001</v>
      </c>
      <c r="K590" s="122"/>
      <c r="L590" s="125" t="str">
        <f t="shared" si="30"/>
        <v>Ver en Google Maps</v>
      </c>
      <c r="M590" s="122">
        <v>2</v>
      </c>
      <c r="N590" s="130"/>
      <c r="O590" s="109"/>
      <c r="P590" s="109"/>
      <c r="Q590" s="109"/>
      <c r="R590" s="109"/>
      <c r="S590" s="109"/>
      <c r="T590" s="109"/>
      <c r="U590" s="109"/>
      <c r="V590" s="109"/>
      <c r="W590" s="109"/>
      <c r="X590" s="109"/>
      <c r="Y590" s="109"/>
      <c r="Z590" s="109"/>
      <c r="AA590" s="109"/>
      <c r="AB590" s="109"/>
      <c r="AC590" s="110"/>
      <c r="AD590" s="110"/>
      <c r="AE590" s="109"/>
      <c r="AF590" s="111"/>
    </row>
    <row r="591" spans="1:32" x14ac:dyDescent="0.2">
      <c r="A591" s="112">
        <v>349</v>
      </c>
      <c r="B591" s="113" t="s">
        <v>1204</v>
      </c>
      <c r="C591" s="114" t="s">
        <v>429</v>
      </c>
      <c r="D591" s="114" t="s">
        <v>16</v>
      </c>
      <c r="E591" s="115" t="s">
        <v>1552</v>
      </c>
      <c r="F591" s="115" t="s">
        <v>1553</v>
      </c>
      <c r="G591" s="115" t="s">
        <v>1869</v>
      </c>
      <c r="H591" s="113" t="s">
        <v>1428</v>
      </c>
      <c r="I591" s="114">
        <v>20.523529</v>
      </c>
      <c r="J591" s="114">
        <v>-100.80008100000001</v>
      </c>
      <c r="K591" s="113"/>
      <c r="L591" s="116" t="str">
        <f t="shared" si="30"/>
        <v>Ver en Google Maps</v>
      </c>
      <c r="M591" s="113">
        <v>2</v>
      </c>
      <c r="N591" s="129"/>
      <c r="O591" s="118"/>
      <c r="P591" s="118"/>
      <c r="Q591" s="118"/>
      <c r="R591" s="118"/>
      <c r="S591" s="118"/>
      <c r="T591" s="118"/>
      <c r="U591" s="118"/>
      <c r="V591" s="118"/>
      <c r="W591" s="118"/>
      <c r="X591" s="118"/>
      <c r="Y591" s="118"/>
      <c r="Z591" s="118"/>
      <c r="AA591" s="118"/>
      <c r="AB591" s="118"/>
      <c r="AC591" s="119"/>
      <c r="AD591" s="119"/>
      <c r="AE591" s="118"/>
      <c r="AF591" s="120"/>
    </row>
    <row r="592" spans="1:32" x14ac:dyDescent="0.2">
      <c r="A592" s="121">
        <v>351</v>
      </c>
      <c r="B592" s="122" t="s">
        <v>1204</v>
      </c>
      <c r="C592" s="123" t="s">
        <v>429</v>
      </c>
      <c r="D592" s="123" t="s">
        <v>16</v>
      </c>
      <c r="E592" s="124" t="s">
        <v>1554</v>
      </c>
      <c r="F592" s="124" t="s">
        <v>1555</v>
      </c>
      <c r="G592" s="124" t="s">
        <v>1870</v>
      </c>
      <c r="H592" s="122" t="s">
        <v>1428</v>
      </c>
      <c r="I592" s="123">
        <v>20.527750000000001</v>
      </c>
      <c r="J592" s="123">
        <v>-100.82378</v>
      </c>
      <c r="K592" s="122"/>
      <c r="L592" s="125" t="str">
        <f t="shared" si="30"/>
        <v>Ver en Google Maps</v>
      </c>
      <c r="M592" s="122">
        <v>2</v>
      </c>
      <c r="N592" s="130"/>
      <c r="O592" s="109"/>
      <c r="P592" s="109"/>
      <c r="Q592" s="109"/>
      <c r="R592" s="109"/>
      <c r="S592" s="109"/>
      <c r="T592" s="109"/>
      <c r="U592" s="109"/>
      <c r="V592" s="109"/>
      <c r="W592" s="109"/>
      <c r="X592" s="109"/>
      <c r="Y592" s="109"/>
      <c r="Z592" s="109"/>
      <c r="AA592" s="109"/>
      <c r="AB592" s="109"/>
      <c r="AC592" s="110"/>
      <c r="AD592" s="110"/>
      <c r="AE592" s="109"/>
      <c r="AF592" s="111"/>
    </row>
    <row r="593" spans="1:32" x14ac:dyDescent="0.2">
      <c r="A593" s="112">
        <v>356</v>
      </c>
      <c r="B593" s="113" t="s">
        <v>1204</v>
      </c>
      <c r="C593" s="114" t="s">
        <v>429</v>
      </c>
      <c r="D593" s="114" t="s">
        <v>16</v>
      </c>
      <c r="E593" s="115" t="s">
        <v>1556</v>
      </c>
      <c r="F593" s="115" t="s">
        <v>1557</v>
      </c>
      <c r="G593" s="115" t="s">
        <v>1871</v>
      </c>
      <c r="H593" s="113" t="s">
        <v>1428</v>
      </c>
      <c r="I593" s="114">
        <v>20.515152</v>
      </c>
      <c r="J593" s="114">
        <v>-100.77687400000001</v>
      </c>
      <c r="K593" s="113"/>
      <c r="L593" s="116" t="str">
        <f t="shared" si="30"/>
        <v>Ver en Google Maps</v>
      </c>
      <c r="M593" s="113">
        <v>1</v>
      </c>
      <c r="N593" s="129"/>
      <c r="O593" s="118"/>
      <c r="P593" s="118"/>
      <c r="Q593" s="118"/>
      <c r="R593" s="118"/>
      <c r="S593" s="118"/>
      <c r="T593" s="118"/>
      <c r="U593" s="118"/>
      <c r="V593" s="118"/>
      <c r="W593" s="118"/>
      <c r="X593" s="118"/>
      <c r="Y593" s="118"/>
      <c r="Z593" s="118"/>
      <c r="AA593" s="118"/>
      <c r="AB593" s="118"/>
      <c r="AC593" s="119"/>
      <c r="AD593" s="119"/>
      <c r="AE593" s="118"/>
      <c r="AF593" s="120"/>
    </row>
    <row r="594" spans="1:32" x14ac:dyDescent="0.2">
      <c r="A594" s="121">
        <v>367</v>
      </c>
      <c r="B594" s="122" t="s">
        <v>1204</v>
      </c>
      <c r="C594" s="123" t="s">
        <v>429</v>
      </c>
      <c r="D594" s="123" t="s">
        <v>16</v>
      </c>
      <c r="E594" s="124" t="s">
        <v>1558</v>
      </c>
      <c r="F594" s="124" t="s">
        <v>1559</v>
      </c>
      <c r="G594" s="124" t="s">
        <v>1835</v>
      </c>
      <c r="H594" s="122" t="s">
        <v>1428</v>
      </c>
      <c r="I594" s="123">
        <v>20.486560000000001</v>
      </c>
      <c r="J594" s="123">
        <v>-100.80961000000001</v>
      </c>
      <c r="K594" s="122"/>
      <c r="L594" s="125" t="str">
        <f t="shared" si="30"/>
        <v>Ver en Google Maps</v>
      </c>
      <c r="M594" s="122">
        <v>1</v>
      </c>
      <c r="N594" s="130"/>
      <c r="O594" s="109"/>
      <c r="P594" s="109"/>
      <c r="Q594" s="109"/>
      <c r="R594" s="109"/>
      <c r="S594" s="109"/>
      <c r="T594" s="109"/>
      <c r="U594" s="109"/>
      <c r="V594" s="109"/>
      <c r="W594" s="109"/>
      <c r="X594" s="109"/>
      <c r="Y594" s="109"/>
      <c r="Z594" s="109"/>
      <c r="AA594" s="109"/>
      <c r="AB594" s="109"/>
      <c r="AC594" s="110"/>
      <c r="AD594" s="110"/>
      <c r="AE594" s="109"/>
      <c r="AF594" s="111"/>
    </row>
    <row r="595" spans="1:32" x14ac:dyDescent="0.2">
      <c r="A595" s="112">
        <v>368</v>
      </c>
      <c r="B595" s="113" t="s">
        <v>1204</v>
      </c>
      <c r="C595" s="114" t="s">
        <v>429</v>
      </c>
      <c r="D595" s="114" t="s">
        <v>16</v>
      </c>
      <c r="E595" s="115" t="s">
        <v>1560</v>
      </c>
      <c r="F595" s="115" t="s">
        <v>1561</v>
      </c>
      <c r="G595" s="115" t="s">
        <v>1114</v>
      </c>
      <c r="H595" s="113" t="s">
        <v>1428</v>
      </c>
      <c r="I595" s="114">
        <v>20.526579999999999</v>
      </c>
      <c r="J595" s="114">
        <v>-100.82971999999999</v>
      </c>
      <c r="K595" s="113"/>
      <c r="L595" s="116" t="str">
        <f t="shared" si="30"/>
        <v>Ver en Google Maps</v>
      </c>
      <c r="M595" s="113">
        <v>2</v>
      </c>
      <c r="N595" s="129"/>
      <c r="O595" s="118"/>
      <c r="P595" s="118"/>
      <c r="Q595" s="118"/>
      <c r="R595" s="118"/>
      <c r="S595" s="118"/>
      <c r="T595" s="118"/>
      <c r="U595" s="118"/>
      <c r="V595" s="118"/>
      <c r="W595" s="118"/>
      <c r="X595" s="118"/>
      <c r="Y595" s="118"/>
      <c r="Z595" s="118"/>
      <c r="AA595" s="118"/>
      <c r="AB595" s="118"/>
      <c r="AC595" s="119"/>
      <c r="AD595" s="119"/>
      <c r="AE595" s="118"/>
      <c r="AF595" s="120"/>
    </row>
    <row r="596" spans="1:32" x14ac:dyDescent="0.2">
      <c r="A596" s="121">
        <v>370</v>
      </c>
      <c r="B596" s="122" t="s">
        <v>1204</v>
      </c>
      <c r="C596" s="123" t="s">
        <v>429</v>
      </c>
      <c r="D596" s="123" t="s">
        <v>16</v>
      </c>
      <c r="E596" s="124" t="s">
        <v>1562</v>
      </c>
      <c r="F596" s="124" t="s">
        <v>1563</v>
      </c>
      <c r="G596" s="124" t="s">
        <v>1837</v>
      </c>
      <c r="H596" s="122" t="s">
        <v>1428</v>
      </c>
      <c r="I596" s="123">
        <v>20.502493999999999</v>
      </c>
      <c r="J596" s="123">
        <v>-100.81331400000001</v>
      </c>
      <c r="K596" s="122"/>
      <c r="L596" s="125" t="str">
        <f t="shared" si="30"/>
        <v>Ver en Google Maps</v>
      </c>
      <c r="M596" s="122">
        <v>1</v>
      </c>
      <c r="N596" s="130"/>
      <c r="O596" s="109"/>
      <c r="P596" s="109"/>
      <c r="Q596" s="109"/>
      <c r="R596" s="109"/>
      <c r="S596" s="109"/>
      <c r="T596" s="109"/>
      <c r="U596" s="109"/>
      <c r="V596" s="109"/>
      <c r="W596" s="109"/>
      <c r="X596" s="109"/>
      <c r="Y596" s="109"/>
      <c r="Z596" s="109"/>
      <c r="AA596" s="109"/>
      <c r="AB596" s="109"/>
      <c r="AC596" s="110"/>
      <c r="AD596" s="110"/>
      <c r="AE596" s="109"/>
      <c r="AF596" s="111"/>
    </row>
    <row r="597" spans="1:32" x14ac:dyDescent="0.2">
      <c r="A597" s="112">
        <v>390</v>
      </c>
      <c r="B597" s="113" t="s">
        <v>1204</v>
      </c>
      <c r="C597" s="114" t="s">
        <v>429</v>
      </c>
      <c r="D597" s="114" t="s">
        <v>16</v>
      </c>
      <c r="E597" s="115" t="s">
        <v>1564</v>
      </c>
      <c r="F597" s="115" t="s">
        <v>1565</v>
      </c>
      <c r="G597" s="115" t="s">
        <v>1872</v>
      </c>
      <c r="H597" s="113" t="s">
        <v>1428</v>
      </c>
      <c r="I597" s="114">
        <v>20.508765</v>
      </c>
      <c r="J597" s="114">
        <v>-100.80407700000001</v>
      </c>
      <c r="K597" s="113"/>
      <c r="L597" s="116" t="str">
        <f t="shared" si="30"/>
        <v>Ver en Google Maps</v>
      </c>
      <c r="M597" s="113">
        <v>1</v>
      </c>
      <c r="N597" s="129"/>
      <c r="O597" s="118"/>
      <c r="P597" s="118"/>
      <c r="Q597" s="118"/>
      <c r="R597" s="118"/>
      <c r="S597" s="118"/>
      <c r="T597" s="118"/>
      <c r="U597" s="118"/>
      <c r="V597" s="118"/>
      <c r="W597" s="118"/>
      <c r="X597" s="118"/>
      <c r="Y597" s="118"/>
      <c r="Z597" s="118"/>
      <c r="AA597" s="118"/>
      <c r="AB597" s="118"/>
      <c r="AC597" s="119"/>
      <c r="AD597" s="119"/>
      <c r="AE597" s="118"/>
      <c r="AF597" s="120"/>
    </row>
    <row r="598" spans="1:32" x14ac:dyDescent="0.2">
      <c r="A598" s="121">
        <v>391</v>
      </c>
      <c r="B598" s="122" t="s">
        <v>1204</v>
      </c>
      <c r="C598" s="123" t="s">
        <v>429</v>
      </c>
      <c r="D598" s="123" t="s">
        <v>16</v>
      </c>
      <c r="E598" s="124" t="s">
        <v>1566</v>
      </c>
      <c r="F598" s="124" t="s">
        <v>1567</v>
      </c>
      <c r="G598" s="124" t="s">
        <v>1873</v>
      </c>
      <c r="H598" s="122" t="s">
        <v>1428</v>
      </c>
      <c r="I598" s="123">
        <v>20.517022000000001</v>
      </c>
      <c r="J598" s="123">
        <v>-100.809935</v>
      </c>
      <c r="K598" s="122"/>
      <c r="L598" s="125" t="str">
        <f t="shared" si="30"/>
        <v>Ver en Google Maps</v>
      </c>
      <c r="M598" s="122">
        <v>2</v>
      </c>
      <c r="N598" s="130"/>
      <c r="O598" s="109"/>
      <c r="P598" s="109"/>
      <c r="Q598" s="109"/>
      <c r="R598" s="109"/>
      <c r="S598" s="109"/>
      <c r="T598" s="109"/>
      <c r="U598" s="109"/>
      <c r="V598" s="109"/>
      <c r="W598" s="109"/>
      <c r="X598" s="109"/>
      <c r="Y598" s="109"/>
      <c r="Z598" s="109"/>
      <c r="AA598" s="109"/>
      <c r="AB598" s="109"/>
      <c r="AC598" s="110"/>
      <c r="AD598" s="110"/>
      <c r="AE598" s="109"/>
      <c r="AF598" s="111"/>
    </row>
    <row r="599" spans="1:32" x14ac:dyDescent="0.2">
      <c r="A599" s="112">
        <v>394</v>
      </c>
      <c r="B599" s="113" t="s">
        <v>1204</v>
      </c>
      <c r="C599" s="114" t="s">
        <v>429</v>
      </c>
      <c r="D599" s="114" t="s">
        <v>16</v>
      </c>
      <c r="E599" s="115" t="s">
        <v>1568</v>
      </c>
      <c r="F599" s="115" t="s">
        <v>1569</v>
      </c>
      <c r="G599" s="115" t="s">
        <v>1874</v>
      </c>
      <c r="H599" s="113" t="s">
        <v>1428</v>
      </c>
      <c r="I599" s="114">
        <v>20.513059999999999</v>
      </c>
      <c r="J599" s="114">
        <v>-100.82191</v>
      </c>
      <c r="K599" s="113" t="s">
        <v>139</v>
      </c>
      <c r="L599" s="116" t="str">
        <f t="shared" si="30"/>
        <v>Ver en Google Maps</v>
      </c>
      <c r="M599" s="113">
        <v>1</v>
      </c>
      <c r="N599" s="117">
        <v>45962</v>
      </c>
      <c r="O599" s="118">
        <f>DAY('BD2'!$N599)</f>
        <v>1</v>
      </c>
      <c r="P599" s="118">
        <f>MONTH('BD2'!$N599)</f>
        <v>11</v>
      </c>
      <c r="Q599" s="118">
        <f>YEAR('BD2'!$N599)</f>
        <v>2025</v>
      </c>
      <c r="R599" s="118">
        <v>2</v>
      </c>
      <c r="S599" s="118" t="s">
        <v>138</v>
      </c>
      <c r="T599" s="118" t="s">
        <v>934</v>
      </c>
      <c r="U599" s="118" t="s">
        <v>138</v>
      </c>
      <c r="V599" s="118" t="s">
        <v>138</v>
      </c>
      <c r="W599" s="118" t="s">
        <v>138</v>
      </c>
      <c r="X599" s="118" t="s">
        <v>934</v>
      </c>
      <c r="Y599" s="118" t="s">
        <v>138</v>
      </c>
      <c r="Z599" s="118" t="str">
        <f>IF('BD2'!$AA599 &lt; 14, "no", "si")</f>
        <v>no</v>
      </c>
      <c r="AA599" s="118">
        <v>0</v>
      </c>
      <c r="AB599" s="118">
        <v>0</v>
      </c>
      <c r="AC599" s="119" t="s">
        <v>3134</v>
      </c>
      <c r="AD599" s="119" t="s">
        <v>1403</v>
      </c>
      <c r="AE599" s="118">
        <f t="shared" ref="AE599:AE618" si="31">COUNTIF(S599:Z599, "si")</f>
        <v>5</v>
      </c>
      <c r="AF599" s="120" t="str">
        <f t="shared" ref="AF580:AF643" si="32">IF(AE599=8,"Estable",(IF(AE599=7,"Funcional con observaciones", (IF(AE599=6,"Funcional con observaciones",(IF(AE599=5,"Rendimiento bajo",(IF(AE599=4,"Parcialmente funcional",(IF(AE599=3,"Parcialmente funcional",(IF(AE599=2,"Inoperativo",(IF(AE599=1,"Inoperativo","Crítico")))))))))))))))</f>
        <v>Rendimiento bajo</v>
      </c>
    </row>
    <row r="600" spans="1:32" x14ac:dyDescent="0.2">
      <c r="A600" s="121">
        <v>404</v>
      </c>
      <c r="B600" s="122" t="s">
        <v>1204</v>
      </c>
      <c r="C600" s="123" t="s">
        <v>429</v>
      </c>
      <c r="D600" s="123" t="s">
        <v>16</v>
      </c>
      <c r="E600" s="124" t="s">
        <v>1570</v>
      </c>
      <c r="F600" s="124" t="s">
        <v>1571</v>
      </c>
      <c r="G600" s="124" t="s">
        <v>1875</v>
      </c>
      <c r="H600" s="122" t="s">
        <v>1428</v>
      </c>
      <c r="I600" s="123">
        <v>20.540389999999999</v>
      </c>
      <c r="J600" s="123">
        <v>-100.82198</v>
      </c>
      <c r="K600" s="122"/>
      <c r="L600" s="125" t="str">
        <f t="shared" si="30"/>
        <v>Ver en Google Maps</v>
      </c>
      <c r="M600" s="122">
        <v>1</v>
      </c>
      <c r="N600" s="130"/>
      <c r="O600" s="109"/>
      <c r="P600" s="109"/>
      <c r="Q600" s="109"/>
      <c r="R600" s="109"/>
      <c r="S600" s="109"/>
      <c r="T600" s="109"/>
      <c r="U600" s="109"/>
      <c r="V600" s="109"/>
      <c r="W600" s="109"/>
      <c r="X600" s="109"/>
      <c r="Y600" s="109"/>
      <c r="Z600" s="109"/>
      <c r="AA600" s="109"/>
      <c r="AB600" s="109"/>
      <c r="AC600" s="110"/>
      <c r="AD600" s="110"/>
      <c r="AE600" s="109"/>
      <c r="AF600" s="111"/>
    </row>
    <row r="601" spans="1:32" x14ac:dyDescent="0.2">
      <c r="A601" s="112">
        <v>407</v>
      </c>
      <c r="B601" s="113" t="s">
        <v>1204</v>
      </c>
      <c r="C601" s="114" t="s">
        <v>429</v>
      </c>
      <c r="D601" s="114" t="s">
        <v>16</v>
      </c>
      <c r="E601" s="115" t="s">
        <v>1572</v>
      </c>
      <c r="F601" s="115" t="s">
        <v>1573</v>
      </c>
      <c r="G601" s="115" t="s">
        <v>1011</v>
      </c>
      <c r="H601" s="113" t="s">
        <v>1428</v>
      </c>
      <c r="I601" s="114">
        <v>20.516742000000001</v>
      </c>
      <c r="J601" s="114">
        <v>-100.82550999999999</v>
      </c>
      <c r="K601" s="113"/>
      <c r="L601" s="116" t="str">
        <f t="shared" si="30"/>
        <v>Ver en Google Maps</v>
      </c>
      <c r="M601" s="113">
        <v>1</v>
      </c>
      <c r="N601" s="129"/>
      <c r="O601" s="118"/>
      <c r="P601" s="118"/>
      <c r="Q601" s="118"/>
      <c r="R601" s="118"/>
      <c r="S601" s="118"/>
      <c r="T601" s="118"/>
      <c r="U601" s="118"/>
      <c r="V601" s="118"/>
      <c r="W601" s="118"/>
      <c r="X601" s="118"/>
      <c r="Y601" s="118"/>
      <c r="Z601" s="118"/>
      <c r="AA601" s="118"/>
      <c r="AB601" s="118"/>
      <c r="AC601" s="119"/>
      <c r="AD601" s="119"/>
      <c r="AE601" s="118"/>
      <c r="AF601" s="120"/>
    </row>
    <row r="602" spans="1:32" x14ac:dyDescent="0.2">
      <c r="A602" s="121">
        <v>408</v>
      </c>
      <c r="B602" s="122" t="s">
        <v>1204</v>
      </c>
      <c r="C602" s="123" t="s">
        <v>429</v>
      </c>
      <c r="D602" s="123" t="s">
        <v>16</v>
      </c>
      <c r="E602" s="124" t="s">
        <v>1574</v>
      </c>
      <c r="F602" s="124" t="s">
        <v>1575</v>
      </c>
      <c r="G602" s="124" t="s">
        <v>1876</v>
      </c>
      <c r="H602" s="122" t="s">
        <v>1428</v>
      </c>
      <c r="I602" s="123">
        <v>20.527190000000001</v>
      </c>
      <c r="J602" s="123">
        <v>-100.83698</v>
      </c>
      <c r="K602" s="122"/>
      <c r="L602" s="125" t="str">
        <f t="shared" si="30"/>
        <v>Ver en Google Maps</v>
      </c>
      <c r="M602" s="122">
        <v>2</v>
      </c>
      <c r="N602" s="130"/>
      <c r="O602" s="109"/>
      <c r="P602" s="109"/>
      <c r="Q602" s="109"/>
      <c r="R602" s="109"/>
      <c r="S602" s="109"/>
      <c r="T602" s="109"/>
      <c r="U602" s="109"/>
      <c r="V602" s="109"/>
      <c r="W602" s="109"/>
      <c r="X602" s="109"/>
      <c r="Y602" s="109"/>
      <c r="Z602" s="109"/>
      <c r="AA602" s="109"/>
      <c r="AB602" s="109"/>
      <c r="AC602" s="110"/>
      <c r="AD602" s="110"/>
      <c r="AE602" s="109"/>
      <c r="AF602" s="111"/>
    </row>
    <row r="603" spans="1:32" x14ac:dyDescent="0.2">
      <c r="A603" s="112">
        <v>410</v>
      </c>
      <c r="B603" s="113" t="s">
        <v>1204</v>
      </c>
      <c r="C603" s="114" t="s">
        <v>429</v>
      </c>
      <c r="D603" s="114" t="s">
        <v>16</v>
      </c>
      <c r="E603" s="115" t="s">
        <v>1576</v>
      </c>
      <c r="F603" s="115" t="s">
        <v>1577</v>
      </c>
      <c r="G603" s="115" t="s">
        <v>1877</v>
      </c>
      <c r="H603" s="113" t="s">
        <v>1428</v>
      </c>
      <c r="I603" s="114">
        <v>20.54393</v>
      </c>
      <c r="J603" s="114">
        <v>-100.829408</v>
      </c>
      <c r="K603" s="113"/>
      <c r="L603" s="116" t="str">
        <f t="shared" si="30"/>
        <v>Ver en Google Maps</v>
      </c>
      <c r="M603" s="113">
        <v>1</v>
      </c>
      <c r="N603" s="129"/>
      <c r="O603" s="118"/>
      <c r="P603" s="118"/>
      <c r="Q603" s="118"/>
      <c r="R603" s="118"/>
      <c r="S603" s="118"/>
      <c r="T603" s="118"/>
      <c r="U603" s="118"/>
      <c r="V603" s="118"/>
      <c r="W603" s="118"/>
      <c r="X603" s="118"/>
      <c r="Y603" s="118"/>
      <c r="Z603" s="118"/>
      <c r="AA603" s="118"/>
      <c r="AB603" s="118"/>
      <c r="AC603" s="119"/>
      <c r="AD603" s="119"/>
      <c r="AE603" s="118"/>
      <c r="AF603" s="120"/>
    </row>
    <row r="604" spans="1:32" x14ac:dyDescent="0.2">
      <c r="A604" s="121">
        <v>417</v>
      </c>
      <c r="B604" s="122" t="s">
        <v>1204</v>
      </c>
      <c r="C604" s="123" t="s">
        <v>429</v>
      </c>
      <c r="D604" s="123" t="s">
        <v>16</v>
      </c>
      <c r="E604" s="124" t="s">
        <v>1578</v>
      </c>
      <c r="F604" s="124" t="s">
        <v>1579</v>
      </c>
      <c r="G604" s="124" t="s">
        <v>1878</v>
      </c>
      <c r="H604" s="122" t="s">
        <v>1428</v>
      </c>
      <c r="I604" s="123">
        <v>20.545231000000001</v>
      </c>
      <c r="J604" s="123">
        <v>-100.798068</v>
      </c>
      <c r="K604" s="122"/>
      <c r="L604" s="125" t="str">
        <f t="shared" si="30"/>
        <v>Ver en Google Maps</v>
      </c>
      <c r="M604" s="122">
        <v>1</v>
      </c>
      <c r="N604" s="130"/>
      <c r="O604" s="109"/>
      <c r="P604" s="109"/>
      <c r="Q604" s="109"/>
      <c r="R604" s="109"/>
      <c r="S604" s="109"/>
      <c r="T604" s="109"/>
      <c r="U604" s="109"/>
      <c r="V604" s="109"/>
      <c r="W604" s="109"/>
      <c r="X604" s="109"/>
      <c r="Y604" s="109"/>
      <c r="Z604" s="109"/>
      <c r="AA604" s="109"/>
      <c r="AB604" s="109"/>
      <c r="AC604" s="110"/>
      <c r="AD604" s="110"/>
      <c r="AE604" s="109"/>
      <c r="AF604" s="111"/>
    </row>
    <row r="605" spans="1:32" x14ac:dyDescent="0.2">
      <c r="A605" s="112">
        <v>418</v>
      </c>
      <c r="B605" s="113" t="s">
        <v>1204</v>
      </c>
      <c r="C605" s="114" t="s">
        <v>429</v>
      </c>
      <c r="D605" s="114" t="s">
        <v>16</v>
      </c>
      <c r="E605" s="115" t="s">
        <v>1580</v>
      </c>
      <c r="F605" s="115" t="s">
        <v>1581</v>
      </c>
      <c r="G605" s="115" t="s">
        <v>1879</v>
      </c>
      <c r="H605" s="113" t="s">
        <v>1428</v>
      </c>
      <c r="I605" s="114">
        <v>20.499359999999999</v>
      </c>
      <c r="J605" s="114">
        <v>-100.81528</v>
      </c>
      <c r="K605" s="113"/>
      <c r="L605" s="116" t="str">
        <f t="shared" si="30"/>
        <v>Ver en Google Maps</v>
      </c>
      <c r="M605" s="113">
        <v>1</v>
      </c>
      <c r="N605" s="129"/>
      <c r="O605" s="118"/>
      <c r="P605" s="118"/>
      <c r="Q605" s="118"/>
      <c r="R605" s="118"/>
      <c r="S605" s="118"/>
      <c r="T605" s="118"/>
      <c r="U605" s="118"/>
      <c r="V605" s="118"/>
      <c r="W605" s="118"/>
      <c r="X605" s="118"/>
      <c r="Y605" s="118"/>
      <c r="Z605" s="118"/>
      <c r="AA605" s="118"/>
      <c r="AB605" s="118"/>
      <c r="AC605" s="119"/>
      <c r="AD605" s="119"/>
      <c r="AE605" s="118"/>
      <c r="AF605" s="120"/>
    </row>
    <row r="606" spans="1:32" x14ac:dyDescent="0.2">
      <c r="A606" s="121">
        <v>423</v>
      </c>
      <c r="B606" s="122" t="s">
        <v>1204</v>
      </c>
      <c r="C606" s="123" t="s">
        <v>429</v>
      </c>
      <c r="D606" s="123" t="s">
        <v>16</v>
      </c>
      <c r="E606" s="124" t="s">
        <v>1582</v>
      </c>
      <c r="F606" s="124" t="s">
        <v>1583</v>
      </c>
      <c r="G606" s="124" t="s">
        <v>1880</v>
      </c>
      <c r="H606" s="122" t="s">
        <v>1428</v>
      </c>
      <c r="I606" s="123">
        <v>20.504256999999999</v>
      </c>
      <c r="J606" s="123">
        <v>-100.79757600000001</v>
      </c>
      <c r="K606" s="122"/>
      <c r="L606" s="125" t="str">
        <f t="shared" si="30"/>
        <v>Ver en Google Maps</v>
      </c>
      <c r="M606" s="122">
        <v>1</v>
      </c>
      <c r="N606" s="130"/>
      <c r="O606" s="109"/>
      <c r="P606" s="109"/>
      <c r="Q606" s="109"/>
      <c r="R606" s="109"/>
      <c r="S606" s="109"/>
      <c r="T606" s="109"/>
      <c r="U606" s="109"/>
      <c r="V606" s="109"/>
      <c r="W606" s="109"/>
      <c r="X606" s="109"/>
      <c r="Y606" s="109"/>
      <c r="Z606" s="109"/>
      <c r="AA606" s="109"/>
      <c r="AB606" s="109"/>
      <c r="AC606" s="110"/>
      <c r="AD606" s="110"/>
      <c r="AE606" s="109"/>
      <c r="AF606" s="111"/>
    </row>
    <row r="607" spans="1:32" x14ac:dyDescent="0.2">
      <c r="A607" s="112">
        <v>430</v>
      </c>
      <c r="B607" s="113" t="s">
        <v>1204</v>
      </c>
      <c r="C607" s="114" t="s">
        <v>429</v>
      </c>
      <c r="D607" s="114" t="s">
        <v>16</v>
      </c>
      <c r="E607" s="115" t="s">
        <v>1584</v>
      </c>
      <c r="F607" s="115" t="s">
        <v>1585</v>
      </c>
      <c r="G607" s="115" t="s">
        <v>1836</v>
      </c>
      <c r="H607" s="113" t="s">
        <v>1428</v>
      </c>
      <c r="I607" s="114">
        <v>20.542776</v>
      </c>
      <c r="J607" s="114">
        <v>-100.81675799999999</v>
      </c>
      <c r="K607" s="113"/>
      <c r="L607" s="116" t="str">
        <f t="shared" si="30"/>
        <v>Ver en Google Maps</v>
      </c>
      <c r="M607" s="113">
        <v>2</v>
      </c>
      <c r="N607" s="129"/>
      <c r="O607" s="118"/>
      <c r="P607" s="118"/>
      <c r="Q607" s="118"/>
      <c r="R607" s="118"/>
      <c r="S607" s="118"/>
      <c r="T607" s="118"/>
      <c r="U607" s="118"/>
      <c r="V607" s="118"/>
      <c r="W607" s="118"/>
      <c r="X607" s="118"/>
      <c r="Y607" s="118"/>
      <c r="Z607" s="118"/>
      <c r="AA607" s="118"/>
      <c r="AB607" s="118"/>
      <c r="AC607" s="119"/>
      <c r="AD607" s="119"/>
      <c r="AE607" s="118"/>
      <c r="AF607" s="120"/>
    </row>
    <row r="608" spans="1:32" x14ac:dyDescent="0.2">
      <c r="A608" s="121">
        <v>434</v>
      </c>
      <c r="B608" s="122" t="s">
        <v>1204</v>
      </c>
      <c r="C608" s="123" t="s">
        <v>429</v>
      </c>
      <c r="D608" s="123" t="s">
        <v>16</v>
      </c>
      <c r="E608" s="124" t="s">
        <v>1586</v>
      </c>
      <c r="F608" s="124" t="s">
        <v>1587</v>
      </c>
      <c r="G608" s="124" t="s">
        <v>1833</v>
      </c>
      <c r="H608" s="122" t="s">
        <v>1428</v>
      </c>
      <c r="I608" s="123">
        <v>20.542956</v>
      </c>
      <c r="J608" s="123">
        <v>-100.8344</v>
      </c>
      <c r="K608" s="122"/>
      <c r="L608" s="125" t="str">
        <f t="shared" si="30"/>
        <v>Ver en Google Maps</v>
      </c>
      <c r="M608" s="122">
        <v>1</v>
      </c>
      <c r="N608" s="130"/>
      <c r="O608" s="109"/>
      <c r="P608" s="109"/>
      <c r="Q608" s="109"/>
      <c r="R608" s="109"/>
      <c r="S608" s="109"/>
      <c r="T608" s="109"/>
      <c r="U608" s="109"/>
      <c r="V608" s="109"/>
      <c r="W608" s="109"/>
      <c r="X608" s="109"/>
      <c r="Y608" s="109"/>
      <c r="Z608" s="109"/>
      <c r="AA608" s="109"/>
      <c r="AB608" s="109"/>
      <c r="AC608" s="110"/>
      <c r="AD608" s="110"/>
      <c r="AE608" s="109"/>
      <c r="AF608" s="111"/>
    </row>
    <row r="609" spans="1:32" x14ac:dyDescent="0.2">
      <c r="A609" s="112">
        <v>451</v>
      </c>
      <c r="B609" s="113" t="s">
        <v>1204</v>
      </c>
      <c r="C609" s="114" t="s">
        <v>429</v>
      </c>
      <c r="D609" s="114" t="s">
        <v>16</v>
      </c>
      <c r="E609" s="115" t="s">
        <v>1588</v>
      </c>
      <c r="F609" s="115" t="s">
        <v>1589</v>
      </c>
      <c r="G609" s="115" t="s">
        <v>1852</v>
      </c>
      <c r="H609" s="113" t="s">
        <v>1428</v>
      </c>
      <c r="I609" s="114">
        <v>20.53856</v>
      </c>
      <c r="J609" s="114">
        <v>-100.83822000000001</v>
      </c>
      <c r="K609" s="113"/>
      <c r="L609" s="116" t="str">
        <f t="shared" si="30"/>
        <v>Ver en Google Maps</v>
      </c>
      <c r="M609" s="113">
        <v>2</v>
      </c>
      <c r="N609" s="129"/>
      <c r="O609" s="118"/>
      <c r="P609" s="118"/>
      <c r="Q609" s="118"/>
      <c r="R609" s="118"/>
      <c r="S609" s="118"/>
      <c r="T609" s="118"/>
      <c r="U609" s="118"/>
      <c r="V609" s="118"/>
      <c r="W609" s="118"/>
      <c r="X609" s="118"/>
      <c r="Y609" s="118"/>
      <c r="Z609" s="118"/>
      <c r="AA609" s="118"/>
      <c r="AB609" s="118"/>
      <c r="AC609" s="119"/>
      <c r="AD609" s="119"/>
      <c r="AE609" s="118"/>
      <c r="AF609" s="120"/>
    </row>
    <row r="610" spans="1:32" x14ac:dyDescent="0.2">
      <c r="A610" s="121">
        <v>454</v>
      </c>
      <c r="B610" s="122" t="s">
        <v>1204</v>
      </c>
      <c r="C610" s="123" t="s">
        <v>429</v>
      </c>
      <c r="D610" s="123" t="s">
        <v>16</v>
      </c>
      <c r="E610" s="124" t="s">
        <v>1590</v>
      </c>
      <c r="F610" s="124" t="s">
        <v>1591</v>
      </c>
      <c r="G610" s="124" t="s">
        <v>1881</v>
      </c>
      <c r="H610" s="122" t="s">
        <v>1428</v>
      </c>
      <c r="I610" s="123">
        <v>20.504950999999998</v>
      </c>
      <c r="J610" s="123">
        <v>-100.82057500000001</v>
      </c>
      <c r="K610" s="122"/>
      <c r="L610" s="125" t="str">
        <f t="shared" si="30"/>
        <v>Ver en Google Maps</v>
      </c>
      <c r="M610" s="122">
        <v>1</v>
      </c>
      <c r="N610" s="130"/>
      <c r="O610" s="109"/>
      <c r="P610" s="109"/>
      <c r="Q610" s="109"/>
      <c r="R610" s="109"/>
      <c r="S610" s="109"/>
      <c r="T610" s="109"/>
      <c r="U610" s="109"/>
      <c r="V610" s="109"/>
      <c r="W610" s="109"/>
      <c r="X610" s="109"/>
      <c r="Y610" s="109"/>
      <c r="Z610" s="109"/>
      <c r="AA610" s="109"/>
      <c r="AB610" s="109"/>
      <c r="AC610" s="110"/>
      <c r="AD610" s="110"/>
      <c r="AE610" s="109"/>
      <c r="AF610" s="111"/>
    </row>
    <row r="611" spans="1:32" x14ac:dyDescent="0.2">
      <c r="A611" s="112">
        <v>462</v>
      </c>
      <c r="B611" s="113" t="s">
        <v>1204</v>
      </c>
      <c r="C611" s="114" t="s">
        <v>429</v>
      </c>
      <c r="D611" s="114" t="s">
        <v>16</v>
      </c>
      <c r="E611" s="115" t="s">
        <v>1592</v>
      </c>
      <c r="F611" s="115" t="s">
        <v>1593</v>
      </c>
      <c r="G611" s="115" t="s">
        <v>1882</v>
      </c>
      <c r="H611" s="113" t="s">
        <v>1428</v>
      </c>
      <c r="I611" s="114">
        <v>20.509067000000002</v>
      </c>
      <c r="J611" s="114">
        <v>-100.834378</v>
      </c>
      <c r="K611" s="113"/>
      <c r="L611" s="116" t="str">
        <f t="shared" si="30"/>
        <v>Ver en Google Maps</v>
      </c>
      <c r="M611" s="113">
        <v>2</v>
      </c>
      <c r="N611" s="129"/>
      <c r="O611" s="118"/>
      <c r="P611" s="118"/>
      <c r="Q611" s="118"/>
      <c r="R611" s="118"/>
      <c r="S611" s="118"/>
      <c r="T611" s="118"/>
      <c r="U611" s="118"/>
      <c r="V611" s="118"/>
      <c r="W611" s="118"/>
      <c r="X611" s="118"/>
      <c r="Y611" s="118"/>
      <c r="Z611" s="118"/>
      <c r="AA611" s="118"/>
      <c r="AB611" s="118"/>
      <c r="AC611" s="119"/>
      <c r="AD611" s="119"/>
      <c r="AE611" s="118"/>
      <c r="AF611" s="120"/>
    </row>
    <row r="612" spans="1:32" x14ac:dyDescent="0.2">
      <c r="A612" s="121">
        <v>470</v>
      </c>
      <c r="B612" s="122" t="s">
        <v>1204</v>
      </c>
      <c r="C612" s="123" t="s">
        <v>429</v>
      </c>
      <c r="D612" s="123" t="s">
        <v>16</v>
      </c>
      <c r="E612" s="124" t="s">
        <v>1594</v>
      </c>
      <c r="F612" s="124" t="s">
        <v>1595</v>
      </c>
      <c r="G612" s="124" t="s">
        <v>1143</v>
      </c>
      <c r="H612" s="122" t="s">
        <v>1428</v>
      </c>
      <c r="I612" s="123">
        <v>20.540189999999999</v>
      </c>
      <c r="J612" s="123">
        <v>-100.84114</v>
      </c>
      <c r="K612" s="122"/>
      <c r="L612" s="125" t="str">
        <f t="shared" si="30"/>
        <v>Ver en Google Maps</v>
      </c>
      <c r="M612" s="122">
        <v>1</v>
      </c>
      <c r="N612" s="130"/>
      <c r="O612" s="109"/>
      <c r="P612" s="109"/>
      <c r="Q612" s="109"/>
      <c r="R612" s="109"/>
      <c r="S612" s="109"/>
      <c r="T612" s="109"/>
      <c r="U612" s="109"/>
      <c r="V612" s="109"/>
      <c r="W612" s="109"/>
      <c r="X612" s="109"/>
      <c r="Y612" s="109"/>
      <c r="Z612" s="109"/>
      <c r="AA612" s="109"/>
      <c r="AB612" s="109"/>
      <c r="AC612" s="110"/>
      <c r="AD612" s="110"/>
      <c r="AE612" s="109"/>
      <c r="AF612" s="111"/>
    </row>
    <row r="613" spans="1:32" x14ac:dyDescent="0.2">
      <c r="A613" s="112">
        <v>472</v>
      </c>
      <c r="B613" s="113" t="s">
        <v>1204</v>
      </c>
      <c r="C613" s="114" t="s">
        <v>429</v>
      </c>
      <c r="D613" s="114" t="s">
        <v>16</v>
      </c>
      <c r="E613" s="115" t="s">
        <v>1596</v>
      </c>
      <c r="F613" s="115" t="s">
        <v>1597</v>
      </c>
      <c r="G613" s="115" t="s">
        <v>1883</v>
      </c>
      <c r="H613" s="113" t="s">
        <v>1428</v>
      </c>
      <c r="I613" s="114">
        <v>20.556912000000001</v>
      </c>
      <c r="J613" s="114">
        <v>-100.826193</v>
      </c>
      <c r="K613" s="113"/>
      <c r="L613" s="116" t="str">
        <f t="shared" si="30"/>
        <v>Ver en Google Maps</v>
      </c>
      <c r="M613" s="113">
        <v>1</v>
      </c>
      <c r="N613" s="129"/>
      <c r="O613" s="118"/>
      <c r="P613" s="118"/>
      <c r="Q613" s="118"/>
      <c r="R613" s="118"/>
      <c r="S613" s="118"/>
      <c r="T613" s="118"/>
      <c r="U613" s="118"/>
      <c r="V613" s="118"/>
      <c r="W613" s="118"/>
      <c r="X613" s="118"/>
      <c r="Y613" s="118"/>
      <c r="Z613" s="118"/>
      <c r="AA613" s="118"/>
      <c r="AB613" s="118"/>
      <c r="AC613" s="119"/>
      <c r="AD613" s="119"/>
      <c r="AE613" s="118"/>
      <c r="AF613" s="120"/>
    </row>
    <row r="614" spans="1:32" x14ac:dyDescent="0.2">
      <c r="A614" s="121">
        <v>480</v>
      </c>
      <c r="B614" s="122" t="s">
        <v>1204</v>
      </c>
      <c r="C614" s="123" t="s">
        <v>429</v>
      </c>
      <c r="D614" s="123" t="s">
        <v>16</v>
      </c>
      <c r="E614" s="124" t="s">
        <v>1598</v>
      </c>
      <c r="F614" s="124" t="s">
        <v>1599</v>
      </c>
      <c r="G614" s="124" t="s">
        <v>1884</v>
      </c>
      <c r="H614" s="122" t="s">
        <v>1428</v>
      </c>
      <c r="I614" s="123">
        <v>20.546206000000002</v>
      </c>
      <c r="J614" s="123">
        <v>-100.806814</v>
      </c>
      <c r="K614" s="122"/>
      <c r="L614" s="125" t="str">
        <f t="shared" si="30"/>
        <v>Ver en Google Maps</v>
      </c>
      <c r="M614" s="122">
        <v>1</v>
      </c>
      <c r="N614" s="130"/>
      <c r="O614" s="109"/>
      <c r="P614" s="109"/>
      <c r="Q614" s="109"/>
      <c r="R614" s="109"/>
      <c r="S614" s="109"/>
      <c r="T614" s="109"/>
      <c r="U614" s="109"/>
      <c r="V614" s="109"/>
      <c r="W614" s="109"/>
      <c r="X614" s="109"/>
      <c r="Y614" s="109"/>
      <c r="Z614" s="109"/>
      <c r="AA614" s="109"/>
      <c r="AB614" s="109"/>
      <c r="AC614" s="110"/>
      <c r="AD614" s="110"/>
      <c r="AE614" s="109"/>
      <c r="AF614" s="111"/>
    </row>
    <row r="615" spans="1:32" x14ac:dyDescent="0.2">
      <c r="A615" s="112">
        <v>481</v>
      </c>
      <c r="B615" s="113" t="s">
        <v>1204</v>
      </c>
      <c r="C615" s="114" t="s">
        <v>429</v>
      </c>
      <c r="D615" s="114" t="s">
        <v>16</v>
      </c>
      <c r="E615" s="115" t="s">
        <v>1600</v>
      </c>
      <c r="F615" s="115" t="s">
        <v>1601</v>
      </c>
      <c r="G615" s="115" t="s">
        <v>1885</v>
      </c>
      <c r="H615" s="113" t="s">
        <v>1428</v>
      </c>
      <c r="I615" s="114">
        <v>20.494382000000002</v>
      </c>
      <c r="J615" s="114">
        <v>-100.80501599999999</v>
      </c>
      <c r="K615" s="113"/>
      <c r="L615" s="116" t="str">
        <f t="shared" si="30"/>
        <v>Ver en Google Maps</v>
      </c>
      <c r="M615" s="113">
        <v>2</v>
      </c>
      <c r="N615" s="129"/>
      <c r="O615" s="118"/>
      <c r="P615" s="118"/>
      <c r="Q615" s="118"/>
      <c r="R615" s="118"/>
      <c r="S615" s="118"/>
      <c r="T615" s="118"/>
      <c r="U615" s="118"/>
      <c r="V615" s="118"/>
      <c r="W615" s="118"/>
      <c r="X615" s="118"/>
      <c r="Y615" s="118"/>
      <c r="Z615" s="118"/>
      <c r="AA615" s="118"/>
      <c r="AB615" s="118"/>
      <c r="AC615" s="119"/>
      <c r="AD615" s="119"/>
      <c r="AE615" s="118"/>
      <c r="AF615" s="120"/>
    </row>
    <row r="616" spans="1:32" x14ac:dyDescent="0.2">
      <c r="A616" s="121">
        <v>498</v>
      </c>
      <c r="B616" s="122" t="s">
        <v>1204</v>
      </c>
      <c r="C616" s="123" t="s">
        <v>429</v>
      </c>
      <c r="D616" s="123" t="s">
        <v>16</v>
      </c>
      <c r="E616" s="124" t="s">
        <v>1602</v>
      </c>
      <c r="F616" s="124" t="s">
        <v>1603</v>
      </c>
      <c r="G616" s="124" t="s">
        <v>1886</v>
      </c>
      <c r="H616" s="122" t="s">
        <v>1428</v>
      </c>
      <c r="I616" s="123">
        <v>20.505223000000001</v>
      </c>
      <c r="J616" s="123">
        <v>-100.789995</v>
      </c>
      <c r="K616" s="122"/>
      <c r="L616" s="125" t="str">
        <f t="shared" si="30"/>
        <v>Ver en Google Maps</v>
      </c>
      <c r="M616" s="122">
        <v>1</v>
      </c>
      <c r="N616" s="130"/>
      <c r="O616" s="109"/>
      <c r="P616" s="109"/>
      <c r="Q616" s="109"/>
      <c r="R616" s="109"/>
      <c r="S616" s="109"/>
      <c r="T616" s="109"/>
      <c r="U616" s="109"/>
      <c r="V616" s="109"/>
      <c r="W616" s="109"/>
      <c r="X616" s="109"/>
      <c r="Y616" s="109"/>
      <c r="Z616" s="109"/>
      <c r="AA616" s="109"/>
      <c r="AB616" s="109"/>
      <c r="AC616" s="110"/>
      <c r="AD616" s="110"/>
      <c r="AE616" s="109"/>
      <c r="AF616" s="111"/>
    </row>
    <row r="617" spans="1:32" x14ac:dyDescent="0.2">
      <c r="A617" s="112">
        <v>503</v>
      </c>
      <c r="B617" s="113" t="s">
        <v>1204</v>
      </c>
      <c r="C617" s="114" t="s">
        <v>429</v>
      </c>
      <c r="D617" s="114" t="s">
        <v>15</v>
      </c>
      <c r="E617" s="115" t="s">
        <v>1604</v>
      </c>
      <c r="F617" s="115" t="s">
        <v>1605</v>
      </c>
      <c r="G617" s="115" t="s">
        <v>1852</v>
      </c>
      <c r="H617" s="113" t="s">
        <v>1428</v>
      </c>
      <c r="I617" s="114">
        <v>20.541250000000002</v>
      </c>
      <c r="J617" s="114">
        <v>-100.83741000000001</v>
      </c>
      <c r="K617" s="113"/>
      <c r="L617" s="116" t="str">
        <f t="shared" si="30"/>
        <v>Ver en Google Maps</v>
      </c>
      <c r="M617" s="113">
        <v>2</v>
      </c>
      <c r="N617" s="129"/>
      <c r="O617" s="118"/>
      <c r="P617" s="118"/>
      <c r="Q617" s="118"/>
      <c r="R617" s="118"/>
      <c r="S617" s="118"/>
      <c r="T617" s="118"/>
      <c r="U617" s="118"/>
      <c r="V617" s="118"/>
      <c r="W617" s="118"/>
      <c r="X617" s="118"/>
      <c r="Y617" s="118"/>
      <c r="Z617" s="118"/>
      <c r="AA617" s="118"/>
      <c r="AB617" s="118"/>
      <c r="AC617" s="119"/>
      <c r="AD617" s="119"/>
      <c r="AE617" s="118"/>
      <c r="AF617" s="120"/>
    </row>
    <row r="618" spans="1:32" x14ac:dyDescent="0.2">
      <c r="A618" s="121">
        <v>505</v>
      </c>
      <c r="B618" s="122" t="s">
        <v>1204</v>
      </c>
      <c r="C618" s="123" t="s">
        <v>429</v>
      </c>
      <c r="D618" s="123" t="s">
        <v>15</v>
      </c>
      <c r="E618" s="124" t="s">
        <v>1606</v>
      </c>
      <c r="F618" s="124" t="s">
        <v>1607</v>
      </c>
      <c r="G618" s="124" t="s">
        <v>1887</v>
      </c>
      <c r="H618" s="122" t="s">
        <v>1428</v>
      </c>
      <c r="I618" s="123">
        <v>20.534524999999999</v>
      </c>
      <c r="J618" s="123">
        <v>-100.814942</v>
      </c>
      <c r="K618" s="122" t="s">
        <v>139</v>
      </c>
      <c r="L618" s="125" t="str">
        <f t="shared" si="30"/>
        <v>Ver en Google Maps</v>
      </c>
      <c r="M618" s="122">
        <v>2</v>
      </c>
      <c r="N618" s="108">
        <v>45962</v>
      </c>
      <c r="O618" s="109">
        <f>DAY('BD2'!$N618)</f>
        <v>1</v>
      </c>
      <c r="P618" s="109">
        <f>MONTH('BD2'!$N618)</f>
        <v>11</v>
      </c>
      <c r="Q618" s="109">
        <f>YEAR('BD2'!$N618)</f>
        <v>2025</v>
      </c>
      <c r="R618" s="109">
        <v>2</v>
      </c>
      <c r="S618" s="109" t="s">
        <v>934</v>
      </c>
      <c r="T618" s="109" t="s">
        <v>934</v>
      </c>
      <c r="U618" s="109" t="s">
        <v>934</v>
      </c>
      <c r="V618" s="109" t="s">
        <v>934</v>
      </c>
      <c r="W618" s="109" t="s">
        <v>934</v>
      </c>
      <c r="X618" s="109" t="s">
        <v>934</v>
      </c>
      <c r="Y618" s="109" t="s">
        <v>934</v>
      </c>
      <c r="Z618" s="109" t="s">
        <v>934</v>
      </c>
      <c r="AA618" s="109">
        <v>0</v>
      </c>
      <c r="AB618" s="109">
        <v>0</v>
      </c>
      <c r="AC618" s="110" t="s">
        <v>2418</v>
      </c>
      <c r="AD618" s="110" t="s">
        <v>1403</v>
      </c>
      <c r="AE618" s="109">
        <f t="shared" si="31"/>
        <v>0</v>
      </c>
      <c r="AF618" s="111" t="str">
        <f t="shared" si="32"/>
        <v>Crítico</v>
      </c>
    </row>
    <row r="619" spans="1:32" x14ac:dyDescent="0.2">
      <c r="A619" s="112">
        <v>513</v>
      </c>
      <c r="B619" s="113" t="s">
        <v>1204</v>
      </c>
      <c r="C619" s="114" t="s">
        <v>429</v>
      </c>
      <c r="D619" s="114" t="s">
        <v>15</v>
      </c>
      <c r="E619" s="115" t="s">
        <v>1608</v>
      </c>
      <c r="F619" s="115" t="s">
        <v>1609</v>
      </c>
      <c r="G619" s="115" t="s">
        <v>1888</v>
      </c>
      <c r="H619" s="113" t="s">
        <v>1428</v>
      </c>
      <c r="I619" s="114">
        <v>20.550232999999999</v>
      </c>
      <c r="J619" s="114">
        <v>-100.814272</v>
      </c>
      <c r="K619" s="113"/>
      <c r="L619" s="116" t="str">
        <f t="shared" si="30"/>
        <v>Ver en Google Maps</v>
      </c>
      <c r="M619" s="113">
        <v>2</v>
      </c>
      <c r="N619" s="129"/>
      <c r="O619" s="118"/>
      <c r="P619" s="118"/>
      <c r="Q619" s="118"/>
      <c r="R619" s="118"/>
      <c r="S619" s="118"/>
      <c r="T619" s="118"/>
      <c r="U619" s="118"/>
      <c r="V619" s="118"/>
      <c r="W619" s="118"/>
      <c r="X619" s="118"/>
      <c r="Y619" s="118"/>
      <c r="Z619" s="118"/>
      <c r="AA619" s="118"/>
      <c r="AB619" s="118"/>
      <c r="AC619" s="119"/>
      <c r="AD619" s="119"/>
      <c r="AE619" s="118"/>
      <c r="AF619" s="120"/>
    </row>
    <row r="620" spans="1:32" x14ac:dyDescent="0.2">
      <c r="A620" s="121">
        <v>517</v>
      </c>
      <c r="B620" s="122" t="s">
        <v>1204</v>
      </c>
      <c r="C620" s="123" t="s">
        <v>429</v>
      </c>
      <c r="D620" s="123" t="s">
        <v>15</v>
      </c>
      <c r="E620" s="124" t="s">
        <v>1610</v>
      </c>
      <c r="F620" s="124" t="s">
        <v>1611</v>
      </c>
      <c r="G620" s="124" t="s">
        <v>1835</v>
      </c>
      <c r="H620" s="122" t="s">
        <v>1428</v>
      </c>
      <c r="I620" s="123">
        <v>20.49239</v>
      </c>
      <c r="J620" s="123">
        <v>-100.81382000000001</v>
      </c>
      <c r="K620" s="122"/>
      <c r="L620" s="125" t="str">
        <f t="shared" si="30"/>
        <v>Ver en Google Maps</v>
      </c>
      <c r="M620" s="122">
        <v>2</v>
      </c>
      <c r="N620" s="130"/>
      <c r="O620" s="109"/>
      <c r="P620" s="109"/>
      <c r="Q620" s="109"/>
      <c r="R620" s="109"/>
      <c r="S620" s="109"/>
      <c r="T620" s="109"/>
      <c r="U620" s="109"/>
      <c r="V620" s="109"/>
      <c r="W620" s="109"/>
      <c r="X620" s="109"/>
      <c r="Y620" s="109"/>
      <c r="Z620" s="109"/>
      <c r="AA620" s="109"/>
      <c r="AB620" s="109"/>
      <c r="AC620" s="110"/>
      <c r="AD620" s="110"/>
      <c r="AE620" s="109"/>
      <c r="AF620" s="111"/>
    </row>
    <row r="621" spans="1:32" x14ac:dyDescent="0.2">
      <c r="A621" s="112">
        <v>527</v>
      </c>
      <c r="B621" s="113" t="s">
        <v>1204</v>
      </c>
      <c r="C621" s="114" t="s">
        <v>429</v>
      </c>
      <c r="D621" s="114" t="s">
        <v>15</v>
      </c>
      <c r="E621" s="115" t="s">
        <v>1612</v>
      </c>
      <c r="F621" s="115" t="s">
        <v>1613</v>
      </c>
      <c r="G621" s="115" t="s">
        <v>1114</v>
      </c>
      <c r="H621" s="113" t="s">
        <v>1428</v>
      </c>
      <c r="I621" s="114">
        <v>20.525390000000002</v>
      </c>
      <c r="J621" s="114">
        <v>-100.82872</v>
      </c>
      <c r="K621" s="113"/>
      <c r="L621" s="116" t="str">
        <f t="shared" si="30"/>
        <v>Ver en Google Maps</v>
      </c>
      <c r="M621" s="113">
        <v>2</v>
      </c>
      <c r="N621" s="129"/>
      <c r="O621" s="118"/>
      <c r="P621" s="118"/>
      <c r="Q621" s="118"/>
      <c r="R621" s="118"/>
      <c r="S621" s="118"/>
      <c r="T621" s="118"/>
      <c r="U621" s="118"/>
      <c r="V621" s="118"/>
      <c r="W621" s="118"/>
      <c r="X621" s="118"/>
      <c r="Y621" s="118"/>
      <c r="Z621" s="118"/>
      <c r="AA621" s="118"/>
      <c r="AB621" s="118"/>
      <c r="AC621" s="119"/>
      <c r="AD621" s="119"/>
      <c r="AE621" s="118"/>
      <c r="AF621" s="120"/>
    </row>
    <row r="622" spans="1:32" x14ac:dyDescent="0.2">
      <c r="A622" s="121">
        <v>531</v>
      </c>
      <c r="B622" s="122" t="s">
        <v>1204</v>
      </c>
      <c r="C622" s="123" t="s">
        <v>429</v>
      </c>
      <c r="D622" s="123" t="s">
        <v>17</v>
      </c>
      <c r="E622" s="124" t="s">
        <v>1614</v>
      </c>
      <c r="F622" s="124" t="s">
        <v>1615</v>
      </c>
      <c r="G622" s="124" t="s">
        <v>1835</v>
      </c>
      <c r="H622" s="122" t="s">
        <v>1428</v>
      </c>
      <c r="I622" s="123">
        <v>20.488340000000001</v>
      </c>
      <c r="J622" s="123">
        <v>-100.80071</v>
      </c>
      <c r="K622" s="122"/>
      <c r="L622" s="125" t="str">
        <f t="shared" si="30"/>
        <v>Ver en Google Maps</v>
      </c>
      <c r="M622" s="122">
        <v>1</v>
      </c>
      <c r="N622" s="130"/>
      <c r="O622" s="109"/>
      <c r="P622" s="109"/>
      <c r="Q622" s="109"/>
      <c r="R622" s="109"/>
      <c r="S622" s="109"/>
      <c r="T622" s="109"/>
      <c r="U622" s="109"/>
      <c r="V622" s="109"/>
      <c r="W622" s="109"/>
      <c r="X622" s="109"/>
      <c r="Y622" s="109"/>
      <c r="Z622" s="109"/>
      <c r="AA622" s="109"/>
      <c r="AB622" s="109"/>
      <c r="AC622" s="110"/>
      <c r="AD622" s="110"/>
      <c r="AE622" s="109"/>
      <c r="AF622" s="111"/>
    </row>
    <row r="623" spans="1:32" x14ac:dyDescent="0.2">
      <c r="A623" s="112">
        <v>554</v>
      </c>
      <c r="B623" s="113" t="s">
        <v>1204</v>
      </c>
      <c r="C623" s="114" t="s">
        <v>429</v>
      </c>
      <c r="D623" s="114" t="s">
        <v>17</v>
      </c>
      <c r="E623" s="115" t="s">
        <v>1616</v>
      </c>
      <c r="F623" s="115" t="s">
        <v>1617</v>
      </c>
      <c r="G623" s="115" t="s">
        <v>1889</v>
      </c>
      <c r="H623" s="113" t="s">
        <v>1428</v>
      </c>
      <c r="I623" s="114">
        <v>20.523530000000001</v>
      </c>
      <c r="J623" s="114">
        <v>-100.83311</v>
      </c>
      <c r="K623" s="113"/>
      <c r="L623" s="116" t="str">
        <f t="shared" si="30"/>
        <v>Ver en Google Maps</v>
      </c>
      <c r="M623" s="113">
        <v>1</v>
      </c>
      <c r="N623" s="129"/>
      <c r="O623" s="118"/>
      <c r="P623" s="118"/>
      <c r="Q623" s="118"/>
      <c r="R623" s="118"/>
      <c r="S623" s="118"/>
      <c r="T623" s="118"/>
      <c r="U623" s="118"/>
      <c r="V623" s="118"/>
      <c r="W623" s="118"/>
      <c r="X623" s="118"/>
      <c r="Y623" s="118"/>
      <c r="Z623" s="118"/>
      <c r="AA623" s="118"/>
      <c r="AB623" s="118"/>
      <c r="AC623" s="119"/>
      <c r="AD623" s="119"/>
      <c r="AE623" s="118"/>
      <c r="AF623" s="120"/>
    </row>
    <row r="624" spans="1:32" x14ac:dyDescent="0.2">
      <c r="A624" s="121">
        <v>555</v>
      </c>
      <c r="B624" s="122" t="s">
        <v>1204</v>
      </c>
      <c r="C624" s="123" t="s">
        <v>429</v>
      </c>
      <c r="D624" s="123" t="s">
        <v>17</v>
      </c>
      <c r="E624" s="124" t="s">
        <v>1618</v>
      </c>
      <c r="F624" s="124" t="s">
        <v>1619</v>
      </c>
      <c r="G624" s="124" t="s">
        <v>1832</v>
      </c>
      <c r="H624" s="122" t="s">
        <v>1428</v>
      </c>
      <c r="I624" s="123">
        <v>20.508979</v>
      </c>
      <c r="J624" s="123">
        <v>-100.831266</v>
      </c>
      <c r="K624" s="122"/>
      <c r="L624" s="125" t="str">
        <f t="shared" si="30"/>
        <v>Ver en Google Maps</v>
      </c>
      <c r="M624" s="122">
        <v>1</v>
      </c>
      <c r="N624" s="130"/>
      <c r="O624" s="109"/>
      <c r="P624" s="109"/>
      <c r="Q624" s="109"/>
      <c r="R624" s="109"/>
      <c r="S624" s="109"/>
      <c r="T624" s="109"/>
      <c r="U624" s="109"/>
      <c r="V624" s="109"/>
      <c r="W624" s="109"/>
      <c r="X624" s="109"/>
      <c r="Y624" s="109"/>
      <c r="Z624" s="109"/>
      <c r="AA624" s="109"/>
      <c r="AB624" s="109"/>
      <c r="AC624" s="110"/>
      <c r="AD624" s="110"/>
      <c r="AE624" s="109"/>
      <c r="AF624" s="111"/>
    </row>
    <row r="625" spans="1:32" x14ac:dyDescent="0.2">
      <c r="A625" s="112">
        <v>561</v>
      </c>
      <c r="B625" s="113" t="s">
        <v>1204</v>
      </c>
      <c r="C625" s="114" t="s">
        <v>429</v>
      </c>
      <c r="D625" s="114" t="s">
        <v>17</v>
      </c>
      <c r="E625" s="115" t="s">
        <v>1620</v>
      </c>
      <c r="F625" s="115" t="s">
        <v>1621</v>
      </c>
      <c r="G625" s="115" t="s">
        <v>1890</v>
      </c>
      <c r="H625" s="113" t="s">
        <v>1428</v>
      </c>
      <c r="I625" s="114">
        <v>20.54935</v>
      </c>
      <c r="J625" s="114">
        <v>-100.825569</v>
      </c>
      <c r="K625" s="113"/>
      <c r="L625" s="116" t="str">
        <f t="shared" si="30"/>
        <v>Ver en Google Maps</v>
      </c>
      <c r="M625" s="113">
        <v>1</v>
      </c>
      <c r="N625" s="129"/>
      <c r="O625" s="118"/>
      <c r="P625" s="118"/>
      <c r="Q625" s="118"/>
      <c r="R625" s="118"/>
      <c r="S625" s="118"/>
      <c r="T625" s="118"/>
      <c r="U625" s="118"/>
      <c r="V625" s="118"/>
      <c r="W625" s="118"/>
      <c r="X625" s="118"/>
      <c r="Y625" s="118"/>
      <c r="Z625" s="118"/>
      <c r="AA625" s="118"/>
      <c r="AB625" s="118"/>
      <c r="AC625" s="119"/>
      <c r="AD625" s="119"/>
      <c r="AE625" s="118"/>
      <c r="AF625" s="120"/>
    </row>
    <row r="626" spans="1:32" x14ac:dyDescent="0.2">
      <c r="A626" s="121">
        <v>568</v>
      </c>
      <c r="B626" s="122" t="s">
        <v>1204</v>
      </c>
      <c r="C626" s="123" t="s">
        <v>429</v>
      </c>
      <c r="D626" s="123" t="s">
        <v>17</v>
      </c>
      <c r="E626" s="124" t="s">
        <v>1622</v>
      </c>
      <c r="F626" s="124" t="s">
        <v>1623</v>
      </c>
      <c r="G626" s="124" t="s">
        <v>1891</v>
      </c>
      <c r="H626" s="122" t="s">
        <v>1428</v>
      </c>
      <c r="I626" s="123">
        <v>20.53378</v>
      </c>
      <c r="J626" s="123">
        <v>-100.82328</v>
      </c>
      <c r="K626" s="122"/>
      <c r="L626" s="125" t="str">
        <f t="shared" si="30"/>
        <v>Ver en Google Maps</v>
      </c>
      <c r="M626" s="122">
        <v>1</v>
      </c>
      <c r="N626" s="130"/>
      <c r="O626" s="109"/>
      <c r="P626" s="109"/>
      <c r="Q626" s="109"/>
      <c r="R626" s="109"/>
      <c r="S626" s="109"/>
      <c r="T626" s="109"/>
      <c r="U626" s="109"/>
      <c r="V626" s="109"/>
      <c r="W626" s="109"/>
      <c r="X626" s="109"/>
      <c r="Y626" s="109"/>
      <c r="Z626" s="109"/>
      <c r="AA626" s="109"/>
      <c r="AB626" s="109"/>
      <c r="AC626" s="110"/>
      <c r="AD626" s="110"/>
      <c r="AE626" s="109"/>
      <c r="AF626" s="111"/>
    </row>
    <row r="627" spans="1:32" x14ac:dyDescent="0.2">
      <c r="A627" s="112">
        <v>571</v>
      </c>
      <c r="B627" s="113" t="s">
        <v>1204</v>
      </c>
      <c r="C627" s="114" t="s">
        <v>429</v>
      </c>
      <c r="D627" s="114" t="s">
        <v>17</v>
      </c>
      <c r="E627" s="115" t="s">
        <v>1624</v>
      </c>
      <c r="F627" s="115" t="s">
        <v>1625</v>
      </c>
      <c r="G627" s="115" t="s">
        <v>1068</v>
      </c>
      <c r="H627" s="113" t="s">
        <v>1428</v>
      </c>
      <c r="I627" s="114">
        <v>20.548769</v>
      </c>
      <c r="J627" s="114">
        <v>-100.790707</v>
      </c>
      <c r="K627" s="113"/>
      <c r="L627" s="116" t="str">
        <f t="shared" si="30"/>
        <v>Ver en Google Maps</v>
      </c>
      <c r="M627" s="113">
        <v>1</v>
      </c>
      <c r="N627" s="129"/>
      <c r="O627" s="118"/>
      <c r="P627" s="118"/>
      <c r="Q627" s="118"/>
      <c r="R627" s="118"/>
      <c r="S627" s="118"/>
      <c r="T627" s="118"/>
      <c r="U627" s="118"/>
      <c r="V627" s="118"/>
      <c r="W627" s="118"/>
      <c r="X627" s="118"/>
      <c r="Y627" s="118"/>
      <c r="Z627" s="118"/>
      <c r="AA627" s="118"/>
      <c r="AB627" s="118"/>
      <c r="AC627" s="119"/>
      <c r="AD627" s="119"/>
      <c r="AE627" s="118"/>
      <c r="AF627" s="120"/>
    </row>
    <row r="628" spans="1:32" x14ac:dyDescent="0.2">
      <c r="A628" s="121">
        <v>572</v>
      </c>
      <c r="B628" s="122" t="s">
        <v>1204</v>
      </c>
      <c r="C628" s="123" t="s">
        <v>429</v>
      </c>
      <c r="D628" s="123" t="s">
        <v>17</v>
      </c>
      <c r="E628" s="124" t="s">
        <v>1626</v>
      </c>
      <c r="F628" s="124" t="s">
        <v>1627</v>
      </c>
      <c r="G628" s="124" t="s">
        <v>1892</v>
      </c>
      <c r="H628" s="122" t="s">
        <v>1428</v>
      </c>
      <c r="I628" s="123">
        <v>20.504110000000001</v>
      </c>
      <c r="J628" s="123">
        <v>-100.792704</v>
      </c>
      <c r="K628" s="122"/>
      <c r="L628" s="125" t="str">
        <f t="shared" si="30"/>
        <v>Ver en Google Maps</v>
      </c>
      <c r="M628" s="122">
        <v>2</v>
      </c>
      <c r="N628" s="130"/>
      <c r="O628" s="109"/>
      <c r="P628" s="109"/>
      <c r="Q628" s="109"/>
      <c r="R628" s="109"/>
      <c r="S628" s="109"/>
      <c r="T628" s="109"/>
      <c r="U628" s="109"/>
      <c r="V628" s="109"/>
      <c r="W628" s="109"/>
      <c r="X628" s="109"/>
      <c r="Y628" s="109"/>
      <c r="Z628" s="109"/>
      <c r="AA628" s="109"/>
      <c r="AB628" s="109"/>
      <c r="AC628" s="110"/>
      <c r="AD628" s="110"/>
      <c r="AE628" s="109"/>
      <c r="AF628" s="111"/>
    </row>
    <row r="629" spans="1:32" x14ac:dyDescent="0.2">
      <c r="A629" s="112">
        <v>580</v>
      </c>
      <c r="B629" s="113" t="s">
        <v>1204</v>
      </c>
      <c r="C629" s="114" t="s">
        <v>429</v>
      </c>
      <c r="D629" s="114" t="s">
        <v>15</v>
      </c>
      <c r="E629" s="115" t="s">
        <v>1628</v>
      </c>
      <c r="F629" s="115" t="s">
        <v>1629</v>
      </c>
      <c r="G629" s="115" t="s">
        <v>1893</v>
      </c>
      <c r="H629" s="113" t="s">
        <v>1428</v>
      </c>
      <c r="I629" s="114">
        <v>20.555527000000001</v>
      </c>
      <c r="J629" s="114">
        <v>-100.854726</v>
      </c>
      <c r="K629" s="113"/>
      <c r="L629" s="116" t="str">
        <f t="shared" si="30"/>
        <v>Ver en Google Maps</v>
      </c>
      <c r="M629" s="113">
        <v>1</v>
      </c>
      <c r="N629" s="129"/>
      <c r="O629" s="118"/>
      <c r="P629" s="118"/>
      <c r="Q629" s="118"/>
      <c r="R629" s="118"/>
      <c r="S629" s="118"/>
      <c r="T629" s="118"/>
      <c r="U629" s="118"/>
      <c r="V629" s="118"/>
      <c r="W629" s="118"/>
      <c r="X629" s="118"/>
      <c r="Y629" s="118"/>
      <c r="Z629" s="118"/>
      <c r="AA629" s="118"/>
      <c r="AB629" s="118"/>
      <c r="AC629" s="119"/>
      <c r="AD629" s="119"/>
      <c r="AE629" s="118"/>
      <c r="AF629" s="120"/>
    </row>
    <row r="630" spans="1:32" x14ac:dyDescent="0.2">
      <c r="A630" s="121">
        <v>587</v>
      </c>
      <c r="B630" s="122" t="s">
        <v>1204</v>
      </c>
      <c r="C630" s="123" t="s">
        <v>429</v>
      </c>
      <c r="D630" s="123" t="s">
        <v>17</v>
      </c>
      <c r="E630" s="124" t="s">
        <v>1630</v>
      </c>
      <c r="F630" s="124" t="s">
        <v>1631</v>
      </c>
      <c r="G630" s="124" t="s">
        <v>1302</v>
      </c>
      <c r="H630" s="122" t="s">
        <v>1428</v>
      </c>
      <c r="I630" s="123">
        <v>20.491199999999999</v>
      </c>
      <c r="J630" s="123">
        <v>-100.812276</v>
      </c>
      <c r="K630" s="122"/>
      <c r="L630" s="125" t="str">
        <f t="shared" si="30"/>
        <v>Ver en Google Maps</v>
      </c>
      <c r="M630" s="122">
        <v>1</v>
      </c>
      <c r="N630" s="130"/>
      <c r="O630" s="109"/>
      <c r="P630" s="109"/>
      <c r="Q630" s="109"/>
      <c r="R630" s="109"/>
      <c r="S630" s="109"/>
      <c r="T630" s="109"/>
      <c r="U630" s="109"/>
      <c r="V630" s="109"/>
      <c r="W630" s="109"/>
      <c r="X630" s="109"/>
      <c r="Y630" s="109"/>
      <c r="Z630" s="109"/>
      <c r="AA630" s="109"/>
      <c r="AB630" s="109"/>
      <c r="AC630" s="110"/>
      <c r="AD630" s="110"/>
      <c r="AE630" s="109"/>
      <c r="AF630" s="111"/>
    </row>
    <row r="631" spans="1:32" x14ac:dyDescent="0.2">
      <c r="A631" s="112">
        <v>593</v>
      </c>
      <c r="B631" s="113" t="s">
        <v>1204</v>
      </c>
      <c r="C631" s="114" t="s">
        <v>429</v>
      </c>
      <c r="D631" s="114" t="s">
        <v>17</v>
      </c>
      <c r="E631" s="115" t="s">
        <v>1632</v>
      </c>
      <c r="F631" s="115" t="s">
        <v>1633</v>
      </c>
      <c r="G631" s="115" t="s">
        <v>1143</v>
      </c>
      <c r="H631" s="113" t="s">
        <v>1428</v>
      </c>
      <c r="I631" s="114">
        <v>20.53931</v>
      </c>
      <c r="J631" s="114">
        <v>-100.84130999999999</v>
      </c>
      <c r="K631" s="113"/>
      <c r="L631" s="116" t="str">
        <f t="shared" si="30"/>
        <v>Ver en Google Maps</v>
      </c>
      <c r="M631" s="113">
        <v>1</v>
      </c>
      <c r="N631" s="129"/>
      <c r="O631" s="118"/>
      <c r="P631" s="118"/>
      <c r="Q631" s="118"/>
      <c r="R631" s="118"/>
      <c r="S631" s="118"/>
      <c r="T631" s="118"/>
      <c r="U631" s="118"/>
      <c r="V631" s="118"/>
      <c r="W631" s="118"/>
      <c r="X631" s="118"/>
      <c r="Y631" s="118"/>
      <c r="Z631" s="118"/>
      <c r="AA631" s="118"/>
      <c r="AB631" s="118"/>
      <c r="AC631" s="119"/>
      <c r="AD631" s="119"/>
      <c r="AE631" s="118"/>
      <c r="AF631" s="120"/>
    </row>
    <row r="632" spans="1:32" x14ac:dyDescent="0.2">
      <c r="A632" s="121">
        <v>594</v>
      </c>
      <c r="B632" s="122" t="s">
        <v>1204</v>
      </c>
      <c r="C632" s="123" t="s">
        <v>429</v>
      </c>
      <c r="D632" s="123" t="s">
        <v>17</v>
      </c>
      <c r="E632" s="124" t="s">
        <v>1634</v>
      </c>
      <c r="F632" s="124" t="s">
        <v>1635</v>
      </c>
      <c r="G632" s="124" t="s">
        <v>1894</v>
      </c>
      <c r="H632" s="122" t="s">
        <v>1428</v>
      </c>
      <c r="I632" s="123">
        <v>20.557670000000002</v>
      </c>
      <c r="J632" s="123">
        <v>-100.826088</v>
      </c>
      <c r="K632" s="122"/>
      <c r="L632" s="125" t="str">
        <f t="shared" si="30"/>
        <v>Ver en Google Maps</v>
      </c>
      <c r="M632" s="122">
        <v>1</v>
      </c>
      <c r="N632" s="130"/>
      <c r="O632" s="109"/>
      <c r="P632" s="109"/>
      <c r="Q632" s="109"/>
      <c r="R632" s="109"/>
      <c r="S632" s="109"/>
      <c r="T632" s="109"/>
      <c r="U632" s="109"/>
      <c r="V632" s="109"/>
      <c r="W632" s="109"/>
      <c r="X632" s="109"/>
      <c r="Y632" s="109"/>
      <c r="Z632" s="109"/>
      <c r="AA632" s="109"/>
      <c r="AB632" s="109"/>
      <c r="AC632" s="110"/>
      <c r="AD632" s="110"/>
      <c r="AE632" s="109"/>
      <c r="AF632" s="111"/>
    </row>
    <row r="633" spans="1:32" x14ac:dyDescent="0.2">
      <c r="A633" s="112">
        <v>595</v>
      </c>
      <c r="B633" s="113" t="s">
        <v>1204</v>
      </c>
      <c r="C633" s="114" t="s">
        <v>429</v>
      </c>
      <c r="D633" s="114" t="s">
        <v>17</v>
      </c>
      <c r="E633" s="115" t="s">
        <v>1636</v>
      </c>
      <c r="F633" s="115" t="s">
        <v>1637</v>
      </c>
      <c r="G633" s="115" t="s">
        <v>1895</v>
      </c>
      <c r="H633" s="113" t="s">
        <v>1428</v>
      </c>
      <c r="I633" s="114">
        <v>20.533536000000002</v>
      </c>
      <c r="J633" s="114">
        <v>-100.792436</v>
      </c>
      <c r="K633" s="113"/>
      <c r="L633" s="116" t="str">
        <f t="shared" si="30"/>
        <v>Ver en Google Maps</v>
      </c>
      <c r="M633" s="113">
        <v>1</v>
      </c>
      <c r="N633" s="129"/>
      <c r="O633" s="118"/>
      <c r="P633" s="118"/>
      <c r="Q633" s="118"/>
      <c r="R633" s="118"/>
      <c r="S633" s="118"/>
      <c r="T633" s="118"/>
      <c r="U633" s="118"/>
      <c r="V633" s="118"/>
      <c r="W633" s="118"/>
      <c r="X633" s="118"/>
      <c r="Y633" s="118"/>
      <c r="Z633" s="118"/>
      <c r="AA633" s="118"/>
      <c r="AB633" s="118"/>
      <c r="AC633" s="119"/>
      <c r="AD633" s="119"/>
      <c r="AE633" s="118"/>
      <c r="AF633" s="120"/>
    </row>
    <row r="634" spans="1:32" x14ac:dyDescent="0.2">
      <c r="A634" s="121">
        <v>604</v>
      </c>
      <c r="B634" s="122" t="s">
        <v>1204</v>
      </c>
      <c r="C634" s="123" t="s">
        <v>429</v>
      </c>
      <c r="D634" s="123" t="s">
        <v>17</v>
      </c>
      <c r="E634" s="124" t="s">
        <v>1638</v>
      </c>
      <c r="F634" s="124" t="s">
        <v>1639</v>
      </c>
      <c r="G634" s="124" t="s">
        <v>1896</v>
      </c>
      <c r="H634" s="122" t="s">
        <v>1428</v>
      </c>
      <c r="I634" s="123">
        <v>20.526949999999999</v>
      </c>
      <c r="J634" s="123">
        <v>-100.85305</v>
      </c>
      <c r="K634" s="122"/>
      <c r="L634" s="125" t="str">
        <f t="shared" si="30"/>
        <v>Ver en Google Maps</v>
      </c>
      <c r="M634" s="122">
        <v>1</v>
      </c>
      <c r="N634" s="130"/>
      <c r="O634" s="109"/>
      <c r="P634" s="109"/>
      <c r="Q634" s="109"/>
      <c r="R634" s="109"/>
      <c r="S634" s="109"/>
      <c r="T634" s="109"/>
      <c r="U634" s="109"/>
      <c r="V634" s="109"/>
      <c r="W634" s="109"/>
      <c r="X634" s="109"/>
      <c r="Y634" s="109"/>
      <c r="Z634" s="109"/>
      <c r="AA634" s="109"/>
      <c r="AB634" s="109"/>
      <c r="AC634" s="110"/>
      <c r="AD634" s="110"/>
      <c r="AE634" s="109"/>
      <c r="AF634" s="111"/>
    </row>
    <row r="635" spans="1:32" x14ac:dyDescent="0.2">
      <c r="A635" s="112">
        <v>610</v>
      </c>
      <c r="B635" s="113" t="s">
        <v>1204</v>
      </c>
      <c r="C635" s="114" t="s">
        <v>429</v>
      </c>
      <c r="D635" s="114" t="s">
        <v>16</v>
      </c>
      <c r="E635" s="115" t="s">
        <v>1640</v>
      </c>
      <c r="F635" s="115" t="s">
        <v>1641</v>
      </c>
      <c r="G635" s="115" t="s">
        <v>360</v>
      </c>
      <c r="H635" s="113" t="s">
        <v>1428</v>
      </c>
      <c r="I635" s="114">
        <v>20.523334999999999</v>
      </c>
      <c r="J635" s="114">
        <v>-100.819716</v>
      </c>
      <c r="K635" s="113"/>
      <c r="L635" s="116" t="str">
        <f t="shared" si="30"/>
        <v>Ver en Google Maps</v>
      </c>
      <c r="M635" s="113">
        <v>2</v>
      </c>
      <c r="N635" s="129"/>
      <c r="O635" s="118"/>
      <c r="P635" s="118"/>
      <c r="Q635" s="118"/>
      <c r="R635" s="118"/>
      <c r="S635" s="118"/>
      <c r="T635" s="118"/>
      <c r="U635" s="118"/>
      <c r="V635" s="118"/>
      <c r="W635" s="118"/>
      <c r="X635" s="118"/>
      <c r="Y635" s="118"/>
      <c r="Z635" s="118"/>
      <c r="AA635" s="118"/>
      <c r="AB635" s="118"/>
      <c r="AC635" s="119"/>
      <c r="AD635" s="119"/>
      <c r="AE635" s="118"/>
      <c r="AF635" s="120"/>
    </row>
    <row r="636" spans="1:32" x14ac:dyDescent="0.2">
      <c r="A636" s="121">
        <v>611</v>
      </c>
      <c r="B636" s="122" t="s">
        <v>1204</v>
      </c>
      <c r="C636" s="123" t="s">
        <v>429</v>
      </c>
      <c r="D636" s="123" t="s">
        <v>16</v>
      </c>
      <c r="E636" s="124" t="s">
        <v>1642</v>
      </c>
      <c r="F636" s="124" t="s">
        <v>1643</v>
      </c>
      <c r="G636" s="124" t="s">
        <v>1897</v>
      </c>
      <c r="H636" s="122" t="s">
        <v>1428</v>
      </c>
      <c r="I636" s="123">
        <v>20.518174999999999</v>
      </c>
      <c r="J636" s="123">
        <v>-100.820408</v>
      </c>
      <c r="K636" s="122"/>
      <c r="L636" s="125" t="str">
        <f t="shared" si="30"/>
        <v>Ver en Google Maps</v>
      </c>
      <c r="M636" s="122">
        <v>1</v>
      </c>
      <c r="N636" s="130"/>
      <c r="O636" s="109"/>
      <c r="P636" s="109"/>
      <c r="Q636" s="109"/>
      <c r="R636" s="109"/>
      <c r="S636" s="109"/>
      <c r="T636" s="109"/>
      <c r="U636" s="109"/>
      <c r="V636" s="109"/>
      <c r="W636" s="109"/>
      <c r="X636" s="109"/>
      <c r="Y636" s="109"/>
      <c r="Z636" s="109"/>
      <c r="AA636" s="109"/>
      <c r="AB636" s="109"/>
      <c r="AC636" s="110"/>
      <c r="AD636" s="110"/>
      <c r="AE636" s="109"/>
      <c r="AF636" s="111"/>
    </row>
    <row r="637" spans="1:32" x14ac:dyDescent="0.2">
      <c r="A637" s="112">
        <v>612</v>
      </c>
      <c r="B637" s="113" t="s">
        <v>1204</v>
      </c>
      <c r="C637" s="114" t="s">
        <v>429</v>
      </c>
      <c r="D637" s="114" t="s">
        <v>16</v>
      </c>
      <c r="E637" s="115" t="s">
        <v>1644</v>
      </c>
      <c r="F637" s="115" t="s">
        <v>1645</v>
      </c>
      <c r="G637" s="115" t="s">
        <v>360</v>
      </c>
      <c r="H637" s="113" t="s">
        <v>1428</v>
      </c>
      <c r="I637" s="114">
        <v>20.523617000000002</v>
      </c>
      <c r="J637" s="114">
        <v>-100.813748</v>
      </c>
      <c r="K637" s="113"/>
      <c r="L637" s="116" t="str">
        <f t="shared" si="30"/>
        <v>Ver en Google Maps</v>
      </c>
      <c r="M637" s="113">
        <v>2</v>
      </c>
      <c r="N637" s="129"/>
      <c r="O637" s="118"/>
      <c r="P637" s="118"/>
      <c r="Q637" s="118"/>
      <c r="R637" s="118"/>
      <c r="S637" s="118"/>
      <c r="T637" s="118"/>
      <c r="U637" s="118"/>
      <c r="V637" s="118"/>
      <c r="W637" s="118"/>
      <c r="X637" s="118"/>
      <c r="Y637" s="118"/>
      <c r="Z637" s="118"/>
      <c r="AA637" s="118"/>
      <c r="AB637" s="118"/>
      <c r="AC637" s="119"/>
      <c r="AD637" s="119"/>
      <c r="AE637" s="118"/>
      <c r="AF637" s="120"/>
    </row>
    <row r="638" spans="1:32" x14ac:dyDescent="0.2">
      <c r="A638" s="121">
        <v>613</v>
      </c>
      <c r="B638" s="122" t="s">
        <v>1204</v>
      </c>
      <c r="C638" s="123" t="s">
        <v>429</v>
      </c>
      <c r="D638" s="123" t="s">
        <v>16</v>
      </c>
      <c r="E638" s="124" t="s">
        <v>1646</v>
      </c>
      <c r="F638" s="124" t="s">
        <v>1647</v>
      </c>
      <c r="G638" s="124" t="s">
        <v>1837</v>
      </c>
      <c r="H638" s="122" t="s">
        <v>1428</v>
      </c>
      <c r="I638" s="123">
        <v>20.504902999999999</v>
      </c>
      <c r="J638" s="123">
        <v>-100.817272</v>
      </c>
      <c r="K638" s="122"/>
      <c r="L638" s="125" t="str">
        <f t="shared" si="30"/>
        <v>Ver en Google Maps</v>
      </c>
      <c r="M638" s="122">
        <v>1</v>
      </c>
      <c r="N638" s="130"/>
      <c r="O638" s="109"/>
      <c r="P638" s="109"/>
      <c r="Q638" s="109"/>
      <c r="R638" s="109"/>
      <c r="S638" s="109"/>
      <c r="T638" s="109"/>
      <c r="U638" s="109"/>
      <c r="V638" s="109"/>
      <c r="W638" s="109"/>
      <c r="X638" s="109"/>
      <c r="Y638" s="109"/>
      <c r="Z638" s="109"/>
      <c r="AA638" s="109"/>
      <c r="AB638" s="109"/>
      <c r="AC638" s="110"/>
      <c r="AD638" s="110"/>
      <c r="AE638" s="109"/>
      <c r="AF638" s="111"/>
    </row>
    <row r="639" spans="1:32" x14ac:dyDescent="0.2">
      <c r="A639" s="112">
        <v>655</v>
      </c>
      <c r="B639" s="113" t="s">
        <v>1204</v>
      </c>
      <c r="C639" s="114" t="s">
        <v>429</v>
      </c>
      <c r="D639" s="114" t="s">
        <v>16</v>
      </c>
      <c r="E639" s="115" t="s">
        <v>1648</v>
      </c>
      <c r="F639" s="115" t="s">
        <v>1649</v>
      </c>
      <c r="G639" s="115" t="s">
        <v>1898</v>
      </c>
      <c r="H639" s="113" t="s">
        <v>1428</v>
      </c>
      <c r="I639" s="114">
        <v>20.529306999999999</v>
      </c>
      <c r="J639" s="114">
        <v>-100.814348</v>
      </c>
      <c r="K639" s="113"/>
      <c r="L639" s="116" t="str">
        <f t="shared" si="30"/>
        <v>Ver en Google Maps</v>
      </c>
      <c r="M639" s="113">
        <v>2</v>
      </c>
      <c r="N639" s="129"/>
      <c r="O639" s="118"/>
      <c r="P639" s="118"/>
      <c r="Q639" s="118"/>
      <c r="R639" s="118"/>
      <c r="S639" s="118"/>
      <c r="T639" s="118"/>
      <c r="U639" s="118"/>
      <c r="V639" s="118"/>
      <c r="W639" s="118"/>
      <c r="X639" s="118"/>
      <c r="Y639" s="118"/>
      <c r="Z639" s="118"/>
      <c r="AA639" s="118"/>
      <c r="AB639" s="118"/>
      <c r="AC639" s="119"/>
      <c r="AD639" s="119"/>
      <c r="AE639" s="118"/>
      <c r="AF639" s="120"/>
    </row>
    <row r="640" spans="1:32" x14ac:dyDescent="0.2">
      <c r="A640" s="121">
        <v>656</v>
      </c>
      <c r="B640" s="122" t="s">
        <v>1204</v>
      </c>
      <c r="C640" s="123" t="s">
        <v>429</v>
      </c>
      <c r="D640" s="123" t="s">
        <v>16</v>
      </c>
      <c r="E640" s="124" t="s">
        <v>1650</v>
      </c>
      <c r="F640" s="124" t="s">
        <v>1651</v>
      </c>
      <c r="G640" s="124" t="s">
        <v>360</v>
      </c>
      <c r="H640" s="122" t="s">
        <v>1428</v>
      </c>
      <c r="I640" s="123">
        <v>20.521619000000001</v>
      </c>
      <c r="J640" s="123">
        <v>-100.817571</v>
      </c>
      <c r="K640" s="122"/>
      <c r="L640" s="125" t="str">
        <f t="shared" si="30"/>
        <v>Ver en Google Maps</v>
      </c>
      <c r="M640" s="122">
        <v>1</v>
      </c>
      <c r="N640" s="130"/>
      <c r="O640" s="109"/>
      <c r="P640" s="109"/>
      <c r="Q640" s="109"/>
      <c r="R640" s="109"/>
      <c r="S640" s="109"/>
      <c r="T640" s="109"/>
      <c r="U640" s="109"/>
      <c r="V640" s="109"/>
      <c r="W640" s="109"/>
      <c r="X640" s="109"/>
      <c r="Y640" s="109"/>
      <c r="Z640" s="109"/>
      <c r="AA640" s="109"/>
      <c r="AB640" s="109"/>
      <c r="AC640" s="110"/>
      <c r="AD640" s="110"/>
      <c r="AE640" s="109"/>
      <c r="AF640" s="111"/>
    </row>
    <row r="641" spans="1:32" x14ac:dyDescent="0.2">
      <c r="A641" s="112">
        <v>658</v>
      </c>
      <c r="B641" s="113" t="s">
        <v>1204</v>
      </c>
      <c r="C641" s="114" t="s">
        <v>429</v>
      </c>
      <c r="D641" s="114" t="s">
        <v>16</v>
      </c>
      <c r="E641" s="115" t="s">
        <v>1652</v>
      </c>
      <c r="F641" s="115" t="s">
        <v>1653</v>
      </c>
      <c r="G641" s="115" t="s">
        <v>1899</v>
      </c>
      <c r="H641" s="113" t="s">
        <v>1428</v>
      </c>
      <c r="I641" s="114">
        <v>20.521338</v>
      </c>
      <c r="J641" s="114">
        <v>-100.820408</v>
      </c>
      <c r="K641" s="113"/>
      <c r="L641" s="116" t="str">
        <f t="shared" si="30"/>
        <v>Ver en Google Maps</v>
      </c>
      <c r="M641" s="113">
        <v>2</v>
      </c>
      <c r="N641" s="129"/>
      <c r="O641" s="118"/>
      <c r="P641" s="118"/>
      <c r="Q641" s="118"/>
      <c r="R641" s="118"/>
      <c r="S641" s="118"/>
      <c r="T641" s="118"/>
      <c r="U641" s="118"/>
      <c r="V641" s="118"/>
      <c r="W641" s="118"/>
      <c r="X641" s="118"/>
      <c r="Y641" s="118"/>
      <c r="Z641" s="118"/>
      <c r="AA641" s="118"/>
      <c r="AB641" s="118"/>
      <c r="AC641" s="119"/>
      <c r="AD641" s="119"/>
      <c r="AE641" s="118"/>
      <c r="AF641" s="120"/>
    </row>
    <row r="642" spans="1:32" x14ac:dyDescent="0.2">
      <c r="A642" s="121">
        <v>664</v>
      </c>
      <c r="B642" s="122" t="s">
        <v>1204</v>
      </c>
      <c r="C642" s="123" t="s">
        <v>429</v>
      </c>
      <c r="D642" s="123" t="s">
        <v>16</v>
      </c>
      <c r="E642" s="124" t="s">
        <v>1654</v>
      </c>
      <c r="F642" s="124" t="s">
        <v>1655</v>
      </c>
      <c r="G642" s="124" t="s">
        <v>1105</v>
      </c>
      <c r="H642" s="122" t="s">
        <v>1428</v>
      </c>
      <c r="I642" s="123">
        <v>20.523828999999999</v>
      </c>
      <c r="J642" s="123">
        <v>-100.814459</v>
      </c>
      <c r="K642" s="122"/>
      <c r="L642" s="125" t="str">
        <f t="shared" si="30"/>
        <v>Ver en Google Maps</v>
      </c>
      <c r="M642" s="122">
        <v>2</v>
      </c>
      <c r="N642" s="130"/>
      <c r="O642" s="109"/>
      <c r="P642" s="109"/>
      <c r="Q642" s="109"/>
      <c r="R642" s="109"/>
      <c r="S642" s="109"/>
      <c r="T642" s="109"/>
      <c r="U642" s="109"/>
      <c r="V642" s="109"/>
      <c r="W642" s="109"/>
      <c r="X642" s="109"/>
      <c r="Y642" s="109"/>
      <c r="Z642" s="109"/>
      <c r="AA642" s="109"/>
      <c r="AB642" s="109"/>
      <c r="AC642" s="110"/>
      <c r="AD642" s="110"/>
      <c r="AE642" s="109"/>
      <c r="AF642" s="111"/>
    </row>
    <row r="643" spans="1:32" x14ac:dyDescent="0.2">
      <c r="A643" s="112">
        <v>672</v>
      </c>
      <c r="B643" s="113" t="s">
        <v>1204</v>
      </c>
      <c r="C643" s="114" t="s">
        <v>429</v>
      </c>
      <c r="D643" s="114" t="s">
        <v>16</v>
      </c>
      <c r="E643" s="115" t="s">
        <v>1656</v>
      </c>
      <c r="F643" s="115" t="s">
        <v>1657</v>
      </c>
      <c r="G643" s="115" t="s">
        <v>1857</v>
      </c>
      <c r="H643" s="113" t="s">
        <v>1428</v>
      </c>
      <c r="I643" s="114">
        <v>20.508400000000002</v>
      </c>
      <c r="J643" s="114">
        <v>-100.82380000000001</v>
      </c>
      <c r="K643" s="113"/>
      <c r="L643" s="116" t="str">
        <f t="shared" si="30"/>
        <v>Ver en Google Maps</v>
      </c>
      <c r="M643" s="113">
        <v>2</v>
      </c>
      <c r="N643" s="129"/>
      <c r="O643" s="118"/>
      <c r="P643" s="118"/>
      <c r="Q643" s="118"/>
      <c r="R643" s="118"/>
      <c r="S643" s="118"/>
      <c r="T643" s="118"/>
      <c r="U643" s="118"/>
      <c r="V643" s="118"/>
      <c r="W643" s="118"/>
      <c r="X643" s="118"/>
      <c r="Y643" s="118"/>
      <c r="Z643" s="118"/>
      <c r="AA643" s="118"/>
      <c r="AB643" s="118"/>
      <c r="AC643" s="119"/>
      <c r="AD643" s="119"/>
      <c r="AE643" s="118"/>
      <c r="AF643" s="120"/>
    </row>
    <row r="644" spans="1:32" x14ac:dyDescent="0.2">
      <c r="A644" s="121">
        <v>673</v>
      </c>
      <c r="B644" s="122" t="s">
        <v>1204</v>
      </c>
      <c r="C644" s="123" t="s">
        <v>429</v>
      </c>
      <c r="D644" s="123" t="s">
        <v>16</v>
      </c>
      <c r="E644" s="124" t="s">
        <v>1658</v>
      </c>
      <c r="F644" s="124" t="s">
        <v>1659</v>
      </c>
      <c r="G644" s="124" t="s">
        <v>1302</v>
      </c>
      <c r="H644" s="122" t="s">
        <v>1428</v>
      </c>
      <c r="I644" s="123">
        <v>20.49128</v>
      </c>
      <c r="J644" s="123">
        <v>-100.812</v>
      </c>
      <c r="K644" s="122"/>
      <c r="L644" s="125" t="str">
        <f t="shared" si="30"/>
        <v>Ver en Google Maps</v>
      </c>
      <c r="M644" s="122">
        <v>1</v>
      </c>
      <c r="N644" s="130"/>
      <c r="O644" s="109"/>
      <c r="P644" s="109"/>
      <c r="Q644" s="109"/>
      <c r="R644" s="109"/>
      <c r="S644" s="109"/>
      <c r="T644" s="109"/>
      <c r="U644" s="109"/>
      <c r="V644" s="109"/>
      <c r="W644" s="109"/>
      <c r="X644" s="109"/>
      <c r="Y644" s="109"/>
      <c r="Z644" s="109"/>
      <c r="AA644" s="109"/>
      <c r="AB644" s="109"/>
      <c r="AC644" s="110"/>
      <c r="AD644" s="110"/>
      <c r="AE644" s="109"/>
      <c r="AF644" s="111"/>
    </row>
    <row r="645" spans="1:32" x14ac:dyDescent="0.2">
      <c r="A645" s="112">
        <v>689</v>
      </c>
      <c r="B645" s="113" t="s">
        <v>1204</v>
      </c>
      <c r="C645" s="114" t="s">
        <v>429</v>
      </c>
      <c r="D645" s="114" t="s">
        <v>16</v>
      </c>
      <c r="E645" s="115" t="s">
        <v>1660</v>
      </c>
      <c r="F645" s="115" t="s">
        <v>1661</v>
      </c>
      <c r="G645" s="115" t="s">
        <v>1900</v>
      </c>
      <c r="H645" s="113" t="s">
        <v>1428</v>
      </c>
      <c r="I645" s="114">
        <v>20.535539</v>
      </c>
      <c r="J645" s="114">
        <v>-100.786736</v>
      </c>
      <c r="K645" s="113"/>
      <c r="L645" s="116" t="str">
        <f t="shared" si="30"/>
        <v>Ver en Google Maps</v>
      </c>
      <c r="M645" s="113">
        <v>2</v>
      </c>
      <c r="N645" s="129"/>
      <c r="O645" s="118"/>
      <c r="P645" s="118"/>
      <c r="Q645" s="118"/>
      <c r="R645" s="118"/>
      <c r="S645" s="118"/>
      <c r="T645" s="118"/>
      <c r="U645" s="118"/>
      <c r="V645" s="118"/>
      <c r="W645" s="118"/>
      <c r="X645" s="118"/>
      <c r="Y645" s="118"/>
      <c r="Z645" s="118"/>
      <c r="AA645" s="118"/>
      <c r="AB645" s="118"/>
      <c r="AC645" s="119"/>
      <c r="AD645" s="119"/>
      <c r="AE645" s="118"/>
      <c r="AF645" s="120"/>
    </row>
    <row r="646" spans="1:32" x14ac:dyDescent="0.2">
      <c r="A646" s="121">
        <v>690</v>
      </c>
      <c r="B646" s="122" t="s">
        <v>1204</v>
      </c>
      <c r="C646" s="123" t="s">
        <v>429</v>
      </c>
      <c r="D646" s="123" t="s">
        <v>16</v>
      </c>
      <c r="E646" s="124" t="s">
        <v>1662</v>
      </c>
      <c r="F646" s="124" t="s">
        <v>1663</v>
      </c>
      <c r="G646" s="124" t="s">
        <v>1834</v>
      </c>
      <c r="H646" s="122" t="s">
        <v>1428</v>
      </c>
      <c r="I646" s="123">
        <v>20.544322000000001</v>
      </c>
      <c r="J646" s="123">
        <v>-100.80377</v>
      </c>
      <c r="K646" s="122"/>
      <c r="L646" s="125" t="str">
        <f t="shared" si="30"/>
        <v>Ver en Google Maps</v>
      </c>
      <c r="M646" s="122">
        <v>2</v>
      </c>
      <c r="N646" s="130"/>
      <c r="O646" s="109"/>
      <c r="P646" s="109"/>
      <c r="Q646" s="109"/>
      <c r="R646" s="109"/>
      <c r="S646" s="109"/>
      <c r="T646" s="109"/>
      <c r="U646" s="109"/>
      <c r="V646" s="109"/>
      <c r="W646" s="109"/>
      <c r="X646" s="109"/>
      <c r="Y646" s="109"/>
      <c r="Z646" s="109"/>
      <c r="AA646" s="109"/>
      <c r="AB646" s="109"/>
      <c r="AC646" s="110"/>
      <c r="AD646" s="110"/>
      <c r="AE646" s="109"/>
      <c r="AF646" s="111"/>
    </row>
    <row r="647" spans="1:32" x14ac:dyDescent="0.2">
      <c r="A647" s="112">
        <v>699</v>
      </c>
      <c r="B647" s="113" t="s">
        <v>1204</v>
      </c>
      <c r="C647" s="114" t="s">
        <v>429</v>
      </c>
      <c r="D647" s="114" t="s">
        <v>16</v>
      </c>
      <c r="E647" s="115" t="s">
        <v>1664</v>
      </c>
      <c r="F647" s="115" t="s">
        <v>1665</v>
      </c>
      <c r="G647" s="115" t="s">
        <v>1901</v>
      </c>
      <c r="H647" s="113" t="s">
        <v>1428</v>
      </c>
      <c r="I647" s="114">
        <v>20.527419999999999</v>
      </c>
      <c r="J647" s="114">
        <v>-100.85314</v>
      </c>
      <c r="K647" s="113"/>
      <c r="L647" s="116" t="str">
        <f t="shared" si="30"/>
        <v>Ver en Google Maps</v>
      </c>
      <c r="M647" s="113">
        <v>2</v>
      </c>
      <c r="N647" s="129"/>
      <c r="O647" s="118"/>
      <c r="P647" s="118"/>
      <c r="Q647" s="118"/>
      <c r="R647" s="118"/>
      <c r="S647" s="118"/>
      <c r="T647" s="118"/>
      <c r="U647" s="118"/>
      <c r="V647" s="118"/>
      <c r="W647" s="118"/>
      <c r="X647" s="118"/>
      <c r="Y647" s="118"/>
      <c r="Z647" s="118"/>
      <c r="AA647" s="118"/>
      <c r="AB647" s="118"/>
      <c r="AC647" s="119"/>
      <c r="AD647" s="119"/>
      <c r="AE647" s="118"/>
      <c r="AF647" s="120"/>
    </row>
    <row r="648" spans="1:32" x14ac:dyDescent="0.2">
      <c r="A648" s="121">
        <v>719</v>
      </c>
      <c r="B648" s="122" t="s">
        <v>1204</v>
      </c>
      <c r="C648" s="123" t="s">
        <v>429</v>
      </c>
      <c r="D648" s="123" t="s">
        <v>15</v>
      </c>
      <c r="E648" s="124" t="s">
        <v>1666</v>
      </c>
      <c r="F648" s="124" t="s">
        <v>1667</v>
      </c>
      <c r="G648" s="124" t="s">
        <v>1902</v>
      </c>
      <c r="H648" s="122" t="s">
        <v>1428</v>
      </c>
      <c r="I648" s="123">
        <v>20.506969999999999</v>
      </c>
      <c r="J648" s="123">
        <v>-100.81905</v>
      </c>
      <c r="K648" s="122"/>
      <c r="L648" s="125" t="str">
        <f t="shared" si="30"/>
        <v>Ver en Google Maps</v>
      </c>
      <c r="M648" s="122">
        <v>2</v>
      </c>
      <c r="N648" s="130"/>
      <c r="O648" s="109"/>
      <c r="P648" s="109"/>
      <c r="Q648" s="109"/>
      <c r="R648" s="109"/>
      <c r="S648" s="109"/>
      <c r="T648" s="109"/>
      <c r="U648" s="109"/>
      <c r="V648" s="109"/>
      <c r="W648" s="109"/>
      <c r="X648" s="109"/>
      <c r="Y648" s="109"/>
      <c r="Z648" s="109"/>
      <c r="AA648" s="109"/>
      <c r="AB648" s="109"/>
      <c r="AC648" s="110"/>
      <c r="AD648" s="110"/>
      <c r="AE648" s="109"/>
      <c r="AF648" s="111"/>
    </row>
    <row r="649" spans="1:32" x14ac:dyDescent="0.2">
      <c r="A649" s="112">
        <v>720</v>
      </c>
      <c r="B649" s="113" t="s">
        <v>1204</v>
      </c>
      <c r="C649" s="114" t="s">
        <v>429</v>
      </c>
      <c r="D649" s="114" t="s">
        <v>15</v>
      </c>
      <c r="E649" s="115" t="s">
        <v>1668</v>
      </c>
      <c r="F649" s="115" t="s">
        <v>1669</v>
      </c>
      <c r="G649" s="115" t="s">
        <v>1892</v>
      </c>
      <c r="H649" s="113" t="s">
        <v>1428</v>
      </c>
      <c r="I649" s="114">
        <v>20.503654000000001</v>
      </c>
      <c r="J649" s="114">
        <v>-100.79801999999999</v>
      </c>
      <c r="K649" s="113"/>
      <c r="L649" s="116" t="str">
        <f t="shared" si="30"/>
        <v>Ver en Google Maps</v>
      </c>
      <c r="M649" s="113">
        <v>2</v>
      </c>
      <c r="N649" s="129"/>
      <c r="O649" s="118"/>
      <c r="P649" s="118"/>
      <c r="Q649" s="118"/>
      <c r="R649" s="118"/>
      <c r="S649" s="118"/>
      <c r="T649" s="118"/>
      <c r="U649" s="118"/>
      <c r="V649" s="118"/>
      <c r="W649" s="118"/>
      <c r="X649" s="118"/>
      <c r="Y649" s="118"/>
      <c r="Z649" s="118"/>
      <c r="AA649" s="118"/>
      <c r="AB649" s="118"/>
      <c r="AC649" s="119"/>
      <c r="AD649" s="119"/>
      <c r="AE649" s="118"/>
      <c r="AF649" s="120"/>
    </row>
    <row r="650" spans="1:32" x14ac:dyDescent="0.2">
      <c r="A650" s="121">
        <v>724</v>
      </c>
      <c r="B650" s="122" t="s">
        <v>1204</v>
      </c>
      <c r="C650" s="123" t="s">
        <v>429</v>
      </c>
      <c r="D650" s="123" t="s">
        <v>15</v>
      </c>
      <c r="E650" s="124" t="s">
        <v>1670</v>
      </c>
      <c r="F650" s="124" t="s">
        <v>1671</v>
      </c>
      <c r="G650" s="124" t="s">
        <v>1068</v>
      </c>
      <c r="H650" s="122" t="s">
        <v>1428</v>
      </c>
      <c r="I650" s="123">
        <v>20.547903000000002</v>
      </c>
      <c r="J650" s="123">
        <v>-100.787249</v>
      </c>
      <c r="K650" s="122"/>
      <c r="L650" s="125" t="str">
        <f t="shared" ref="L650:L713" si="33">HYPERLINK("https://www.google.com/maps?q=" &amp; I650 &amp; "," &amp; J650, "Ver en Google Maps")</f>
        <v>Ver en Google Maps</v>
      </c>
      <c r="M650" s="122">
        <v>2</v>
      </c>
      <c r="N650" s="130"/>
      <c r="O650" s="109"/>
      <c r="P650" s="109"/>
      <c r="Q650" s="109"/>
      <c r="R650" s="109"/>
      <c r="S650" s="109"/>
      <c r="T650" s="109"/>
      <c r="U650" s="109"/>
      <c r="V650" s="109"/>
      <c r="W650" s="109"/>
      <c r="X650" s="109"/>
      <c r="Y650" s="109"/>
      <c r="Z650" s="109"/>
      <c r="AA650" s="109"/>
      <c r="AB650" s="109"/>
      <c r="AC650" s="110"/>
      <c r="AD650" s="110"/>
      <c r="AE650" s="109"/>
      <c r="AF650" s="111"/>
    </row>
    <row r="651" spans="1:32" x14ac:dyDescent="0.2">
      <c r="A651" s="112">
        <v>738</v>
      </c>
      <c r="B651" s="113" t="s">
        <v>1204</v>
      </c>
      <c r="C651" s="114" t="s">
        <v>429</v>
      </c>
      <c r="D651" s="114" t="s">
        <v>15</v>
      </c>
      <c r="E651" s="115" t="s">
        <v>1672</v>
      </c>
      <c r="F651" s="115" t="s">
        <v>1673</v>
      </c>
      <c r="G651" s="115" t="s">
        <v>1860</v>
      </c>
      <c r="H651" s="113" t="s">
        <v>1428</v>
      </c>
      <c r="I651" s="114">
        <v>20.546787999999999</v>
      </c>
      <c r="J651" s="114">
        <v>-100.80663199999999</v>
      </c>
      <c r="K651" s="113" t="s">
        <v>139</v>
      </c>
      <c r="L651" s="116" t="str">
        <f t="shared" si="33"/>
        <v>Ver en Google Maps</v>
      </c>
      <c r="M651" s="113">
        <v>2</v>
      </c>
      <c r="N651" s="117">
        <v>45962</v>
      </c>
      <c r="O651" s="118">
        <f>DAY('BD2'!$N651)</f>
        <v>1</v>
      </c>
      <c r="P651" s="118">
        <f>MONTH('BD2'!$N651)</f>
        <v>11</v>
      </c>
      <c r="Q651" s="118">
        <f>YEAR('BD2'!$N651)</f>
        <v>2025</v>
      </c>
      <c r="R651" s="118">
        <v>2</v>
      </c>
      <c r="S651" s="118" t="s">
        <v>138</v>
      </c>
      <c r="T651" s="118" t="s">
        <v>138</v>
      </c>
      <c r="U651" s="118" t="s">
        <v>138</v>
      </c>
      <c r="V651" s="118" t="s">
        <v>138</v>
      </c>
      <c r="W651" s="118" t="s">
        <v>138</v>
      </c>
      <c r="X651" s="118" t="s">
        <v>138</v>
      </c>
      <c r="Y651" s="118" t="s">
        <v>138</v>
      </c>
      <c r="Z651" s="118" t="str">
        <f>IF('BD2'!$AA651 &lt; 14, "no", "si")</f>
        <v>si</v>
      </c>
      <c r="AA651" s="118">
        <v>63.4</v>
      </c>
      <c r="AB651" s="118">
        <v>120</v>
      </c>
      <c r="AC651" s="119" t="s">
        <v>2427</v>
      </c>
      <c r="AD651" s="119"/>
      <c r="AE651" s="118">
        <f t="shared" ref="AE651:AE709" si="34">COUNTIF(S651:Z651, "si")</f>
        <v>8</v>
      </c>
      <c r="AF651" s="120" t="str">
        <f t="shared" ref="AF644:AF707" si="35">IF(AE651=8,"Estable",(IF(AE651=7,"Funcional con observaciones", (IF(AE651=6,"Funcional con observaciones",(IF(AE651=5,"Rendimiento bajo",(IF(AE651=4,"Parcialmente funcional",(IF(AE651=3,"Parcialmente funcional",(IF(AE651=2,"Inoperativo",(IF(AE651=1,"Inoperativo","Crítico")))))))))))))))</f>
        <v>Estable</v>
      </c>
    </row>
    <row r="652" spans="1:32" x14ac:dyDescent="0.2">
      <c r="A652" s="121">
        <v>740</v>
      </c>
      <c r="B652" s="122" t="s">
        <v>1204</v>
      </c>
      <c r="C652" s="123" t="s">
        <v>429</v>
      </c>
      <c r="D652" s="123" t="s">
        <v>15</v>
      </c>
      <c r="E652" s="124" t="s">
        <v>1674</v>
      </c>
      <c r="F652" s="124" t="s">
        <v>1675</v>
      </c>
      <c r="G652" s="124" t="s">
        <v>1842</v>
      </c>
      <c r="H652" s="122" t="s">
        <v>1428</v>
      </c>
      <c r="I652" s="123">
        <v>20.512150999999999</v>
      </c>
      <c r="J652" s="123">
        <v>-100.775481</v>
      </c>
      <c r="K652" s="122"/>
      <c r="L652" s="125" t="str">
        <f t="shared" si="33"/>
        <v>Ver en Google Maps</v>
      </c>
      <c r="M652" s="122">
        <v>2</v>
      </c>
      <c r="N652" s="130"/>
      <c r="O652" s="109"/>
      <c r="P652" s="109"/>
      <c r="Q652" s="109"/>
      <c r="R652" s="109"/>
      <c r="S652" s="109"/>
      <c r="T652" s="109"/>
      <c r="U652" s="109"/>
      <c r="V652" s="109"/>
      <c r="W652" s="109"/>
      <c r="X652" s="109"/>
      <c r="Y652" s="109"/>
      <c r="Z652" s="109"/>
      <c r="AA652" s="109"/>
      <c r="AB652" s="109"/>
      <c r="AC652" s="110"/>
      <c r="AD652" s="110"/>
      <c r="AE652" s="109"/>
      <c r="AF652" s="111"/>
    </row>
    <row r="653" spans="1:32" x14ac:dyDescent="0.2">
      <c r="A653" s="112">
        <v>743</v>
      </c>
      <c r="B653" s="113" t="s">
        <v>1204</v>
      </c>
      <c r="C653" s="114" t="s">
        <v>429</v>
      </c>
      <c r="D653" s="114" t="s">
        <v>17</v>
      </c>
      <c r="E653" s="115" t="s">
        <v>1676</v>
      </c>
      <c r="F653" s="115" t="s">
        <v>1677</v>
      </c>
      <c r="G653" s="115" t="s">
        <v>1903</v>
      </c>
      <c r="H653" s="113" t="s">
        <v>1428</v>
      </c>
      <c r="I653" s="114">
        <v>20.547705000000001</v>
      </c>
      <c r="J653" s="114">
        <v>-100.834135</v>
      </c>
      <c r="K653" s="113"/>
      <c r="L653" s="116" t="str">
        <f t="shared" si="33"/>
        <v>Ver en Google Maps</v>
      </c>
      <c r="M653" s="113">
        <v>1</v>
      </c>
      <c r="N653" s="129"/>
      <c r="O653" s="118"/>
      <c r="P653" s="118"/>
      <c r="Q653" s="118"/>
      <c r="R653" s="118"/>
      <c r="S653" s="118"/>
      <c r="T653" s="118"/>
      <c r="U653" s="118"/>
      <c r="V653" s="118"/>
      <c r="W653" s="118"/>
      <c r="X653" s="118"/>
      <c r="Y653" s="118"/>
      <c r="Z653" s="118"/>
      <c r="AA653" s="118"/>
      <c r="AB653" s="118"/>
      <c r="AC653" s="119"/>
      <c r="AD653" s="119"/>
      <c r="AE653" s="118"/>
      <c r="AF653" s="120"/>
    </row>
    <row r="654" spans="1:32" x14ac:dyDescent="0.2">
      <c r="A654" s="121">
        <v>744</v>
      </c>
      <c r="B654" s="122" t="s">
        <v>1204</v>
      </c>
      <c r="C654" s="123" t="s">
        <v>429</v>
      </c>
      <c r="D654" s="123" t="s">
        <v>17</v>
      </c>
      <c r="E654" s="124" t="s">
        <v>1678</v>
      </c>
      <c r="F654" s="124" t="s">
        <v>1679</v>
      </c>
      <c r="G654" s="124" t="s">
        <v>1904</v>
      </c>
      <c r="H654" s="122" t="s">
        <v>1428</v>
      </c>
      <c r="I654" s="123">
        <v>20.497934999999998</v>
      </c>
      <c r="J654" s="123">
        <v>-100.837228</v>
      </c>
      <c r="K654" s="122"/>
      <c r="L654" s="125" t="str">
        <f t="shared" si="33"/>
        <v>Ver en Google Maps</v>
      </c>
      <c r="M654" s="122">
        <v>1</v>
      </c>
      <c r="N654" s="130"/>
      <c r="O654" s="109"/>
      <c r="P654" s="109"/>
      <c r="Q654" s="109"/>
      <c r="R654" s="109"/>
      <c r="S654" s="109"/>
      <c r="T654" s="109"/>
      <c r="U654" s="109"/>
      <c r="V654" s="109"/>
      <c r="W654" s="109"/>
      <c r="X654" s="109"/>
      <c r="Y654" s="109"/>
      <c r="Z654" s="109"/>
      <c r="AA654" s="109"/>
      <c r="AB654" s="109"/>
      <c r="AC654" s="110"/>
      <c r="AD654" s="110"/>
      <c r="AE654" s="109"/>
      <c r="AF654" s="111"/>
    </row>
    <row r="655" spans="1:32" x14ac:dyDescent="0.2">
      <c r="A655" s="112">
        <v>773</v>
      </c>
      <c r="B655" s="113" t="s">
        <v>1204</v>
      </c>
      <c r="C655" s="114" t="s">
        <v>429</v>
      </c>
      <c r="D655" s="114" t="s">
        <v>15</v>
      </c>
      <c r="E655" s="115" t="s">
        <v>1680</v>
      </c>
      <c r="F655" s="115" t="s">
        <v>1681</v>
      </c>
      <c r="G655" s="115" t="s">
        <v>1905</v>
      </c>
      <c r="H655" s="113" t="s">
        <v>1428</v>
      </c>
      <c r="I655" s="114">
        <v>20.534832999999999</v>
      </c>
      <c r="J655" s="114">
        <v>-100.847345</v>
      </c>
      <c r="K655" s="113"/>
      <c r="L655" s="116" t="str">
        <f t="shared" si="33"/>
        <v>Ver en Google Maps</v>
      </c>
      <c r="M655" s="113">
        <v>2</v>
      </c>
      <c r="N655" s="129"/>
      <c r="O655" s="118"/>
      <c r="P655" s="118"/>
      <c r="Q655" s="118"/>
      <c r="R655" s="118"/>
      <c r="S655" s="118"/>
      <c r="T655" s="118"/>
      <c r="U655" s="118"/>
      <c r="V655" s="118"/>
      <c r="W655" s="118"/>
      <c r="X655" s="118"/>
      <c r="Y655" s="118"/>
      <c r="Z655" s="118"/>
      <c r="AA655" s="118"/>
      <c r="AB655" s="118"/>
      <c r="AC655" s="119"/>
      <c r="AD655" s="119"/>
      <c r="AE655" s="118"/>
      <c r="AF655" s="120"/>
    </row>
    <row r="656" spans="1:32" x14ac:dyDescent="0.2">
      <c r="A656" s="121">
        <v>785</v>
      </c>
      <c r="B656" s="122" t="s">
        <v>1204</v>
      </c>
      <c r="C656" s="123" t="s">
        <v>429</v>
      </c>
      <c r="D656" s="123" t="s">
        <v>16</v>
      </c>
      <c r="E656" s="124" t="s">
        <v>1682</v>
      </c>
      <c r="F656" s="124" t="s">
        <v>1683</v>
      </c>
      <c r="G656" s="124" t="s">
        <v>1906</v>
      </c>
      <c r="H656" s="122" t="s">
        <v>1428</v>
      </c>
      <c r="I656" s="123">
        <v>20.549662000000001</v>
      </c>
      <c r="J656" s="123">
        <v>-100.787655</v>
      </c>
      <c r="K656" s="122"/>
      <c r="L656" s="125" t="str">
        <f t="shared" si="33"/>
        <v>Ver en Google Maps</v>
      </c>
      <c r="M656" s="122">
        <v>1</v>
      </c>
      <c r="N656" s="130"/>
      <c r="O656" s="109"/>
      <c r="P656" s="109"/>
      <c r="Q656" s="109"/>
      <c r="R656" s="109"/>
      <c r="S656" s="109"/>
      <c r="T656" s="109"/>
      <c r="U656" s="109"/>
      <c r="V656" s="109"/>
      <c r="W656" s="109"/>
      <c r="X656" s="109"/>
      <c r="Y656" s="109"/>
      <c r="Z656" s="109"/>
      <c r="AA656" s="109"/>
      <c r="AB656" s="109"/>
      <c r="AC656" s="110"/>
      <c r="AD656" s="110"/>
      <c r="AE656" s="109"/>
      <c r="AF656" s="111"/>
    </row>
    <row r="657" spans="1:32" x14ac:dyDescent="0.2">
      <c r="A657" s="112">
        <v>790</v>
      </c>
      <c r="B657" s="113" t="s">
        <v>1204</v>
      </c>
      <c r="C657" s="114" t="s">
        <v>429</v>
      </c>
      <c r="D657" s="114" t="s">
        <v>15</v>
      </c>
      <c r="E657" s="115" t="s">
        <v>1684</v>
      </c>
      <c r="F657" s="115" t="s">
        <v>1685</v>
      </c>
      <c r="G657" s="115" t="s">
        <v>1868</v>
      </c>
      <c r="H657" s="113" t="s">
        <v>1428</v>
      </c>
      <c r="I657" s="114">
        <v>20.526958</v>
      </c>
      <c r="J657" s="114">
        <v>-100.795163</v>
      </c>
      <c r="K657" s="113"/>
      <c r="L657" s="116" t="str">
        <f t="shared" si="33"/>
        <v>Ver en Google Maps</v>
      </c>
      <c r="M657" s="113">
        <v>2</v>
      </c>
      <c r="N657" s="129"/>
      <c r="O657" s="118"/>
      <c r="P657" s="118"/>
      <c r="Q657" s="118"/>
      <c r="R657" s="118"/>
      <c r="S657" s="118"/>
      <c r="T657" s="118"/>
      <c r="U657" s="118"/>
      <c r="V657" s="118"/>
      <c r="W657" s="118"/>
      <c r="X657" s="118"/>
      <c r="Y657" s="118"/>
      <c r="Z657" s="118"/>
      <c r="AA657" s="118"/>
      <c r="AB657" s="118"/>
      <c r="AC657" s="119"/>
      <c r="AD657" s="119"/>
      <c r="AE657" s="118"/>
      <c r="AF657" s="120"/>
    </row>
    <row r="658" spans="1:32" x14ac:dyDescent="0.2">
      <c r="A658" s="121">
        <v>793</v>
      </c>
      <c r="B658" s="122" t="s">
        <v>1204</v>
      </c>
      <c r="C658" s="123" t="s">
        <v>429</v>
      </c>
      <c r="D658" s="123" t="s">
        <v>132</v>
      </c>
      <c r="E658" s="124" t="s">
        <v>1686</v>
      </c>
      <c r="F658" s="124" t="s">
        <v>1687</v>
      </c>
      <c r="G658" s="124" t="s">
        <v>1907</v>
      </c>
      <c r="H658" s="122" t="s">
        <v>1428</v>
      </c>
      <c r="I658" s="123">
        <v>20.501415000000001</v>
      </c>
      <c r="J658" s="123">
        <v>-100.82653999999999</v>
      </c>
      <c r="K658" s="122"/>
      <c r="L658" s="125" t="str">
        <f t="shared" si="33"/>
        <v>Ver en Google Maps</v>
      </c>
      <c r="M658" s="122">
        <v>2</v>
      </c>
      <c r="N658" s="130"/>
      <c r="O658" s="109"/>
      <c r="P658" s="109"/>
      <c r="Q658" s="109"/>
      <c r="R658" s="109"/>
      <c r="S658" s="109"/>
      <c r="T658" s="109"/>
      <c r="U658" s="109"/>
      <c r="V658" s="109"/>
      <c r="W658" s="109"/>
      <c r="X658" s="109"/>
      <c r="Y658" s="109"/>
      <c r="Z658" s="109"/>
      <c r="AA658" s="109"/>
      <c r="AB658" s="109"/>
      <c r="AC658" s="110"/>
      <c r="AD658" s="110"/>
      <c r="AE658" s="109"/>
      <c r="AF658" s="111"/>
    </row>
    <row r="659" spans="1:32" x14ac:dyDescent="0.2">
      <c r="A659" s="112">
        <v>795</v>
      </c>
      <c r="B659" s="113" t="s">
        <v>1204</v>
      </c>
      <c r="C659" s="114" t="s">
        <v>429</v>
      </c>
      <c r="D659" s="114" t="s">
        <v>16</v>
      </c>
      <c r="E659" s="115" t="s">
        <v>1688</v>
      </c>
      <c r="F659" s="115" t="s">
        <v>1689</v>
      </c>
      <c r="G659" s="115" t="s">
        <v>1105</v>
      </c>
      <c r="H659" s="113" t="s">
        <v>1428</v>
      </c>
      <c r="I659" s="114">
        <v>20.522959</v>
      </c>
      <c r="J659" s="114">
        <v>-100.808241</v>
      </c>
      <c r="K659" s="113" t="s">
        <v>139</v>
      </c>
      <c r="L659" s="116" t="str">
        <f t="shared" si="33"/>
        <v>Ver en Google Maps</v>
      </c>
      <c r="M659" s="113">
        <v>1</v>
      </c>
      <c r="N659" s="117">
        <v>45962</v>
      </c>
      <c r="O659" s="118">
        <f>DAY('BD2'!$N659)</f>
        <v>1</v>
      </c>
      <c r="P659" s="118">
        <f>MONTH('BD2'!$N659)</f>
        <v>11</v>
      </c>
      <c r="Q659" s="118">
        <f>YEAR('BD2'!$N659)</f>
        <v>2025</v>
      </c>
      <c r="R659" s="118">
        <v>2</v>
      </c>
      <c r="S659" s="118" t="s">
        <v>138</v>
      </c>
      <c r="T659" s="118" t="s">
        <v>934</v>
      </c>
      <c r="U659" s="118" t="s">
        <v>934</v>
      </c>
      <c r="V659" s="118" t="s">
        <v>934</v>
      </c>
      <c r="W659" s="118" t="s">
        <v>934</v>
      </c>
      <c r="X659" s="118" t="s">
        <v>934</v>
      </c>
      <c r="Y659" s="118" t="s">
        <v>934</v>
      </c>
      <c r="Z659" s="118" t="str">
        <f>IF('BD2'!$AA659 &lt; 14, "no", "si")</f>
        <v>no</v>
      </c>
      <c r="AA659" s="118">
        <v>0</v>
      </c>
      <c r="AB659" s="118">
        <v>0</v>
      </c>
      <c r="AC659" s="119" t="s">
        <v>3133</v>
      </c>
      <c r="AD659" s="119" t="s">
        <v>1403</v>
      </c>
      <c r="AE659" s="118">
        <f t="shared" si="34"/>
        <v>1</v>
      </c>
      <c r="AF659" s="120" t="str">
        <f t="shared" si="35"/>
        <v>Inoperativo</v>
      </c>
    </row>
    <row r="660" spans="1:32" x14ac:dyDescent="0.2">
      <c r="A660" s="121">
        <v>797</v>
      </c>
      <c r="B660" s="122" t="s">
        <v>1204</v>
      </c>
      <c r="C660" s="123" t="s">
        <v>429</v>
      </c>
      <c r="D660" s="123" t="s">
        <v>16</v>
      </c>
      <c r="E660" s="124" t="s">
        <v>1690</v>
      </c>
      <c r="F660" s="124" t="s">
        <v>1691</v>
      </c>
      <c r="G660" s="124" t="s">
        <v>1908</v>
      </c>
      <c r="H660" s="122" t="s">
        <v>1428</v>
      </c>
      <c r="I660" s="123">
        <v>20.550128999999998</v>
      </c>
      <c r="J660" s="123">
        <v>-100.781238</v>
      </c>
      <c r="K660" s="122"/>
      <c r="L660" s="125" t="str">
        <f t="shared" si="33"/>
        <v>Ver en Google Maps</v>
      </c>
      <c r="M660" s="122">
        <v>1</v>
      </c>
      <c r="N660" s="130"/>
      <c r="O660" s="109"/>
      <c r="P660" s="109"/>
      <c r="Q660" s="109"/>
      <c r="R660" s="109"/>
      <c r="S660" s="109"/>
      <c r="T660" s="109"/>
      <c r="U660" s="109"/>
      <c r="V660" s="109"/>
      <c r="W660" s="109"/>
      <c r="X660" s="109"/>
      <c r="Y660" s="109"/>
      <c r="Z660" s="109"/>
      <c r="AA660" s="109"/>
      <c r="AB660" s="109"/>
      <c r="AC660" s="110"/>
      <c r="AD660" s="110"/>
      <c r="AE660" s="109"/>
      <c r="AF660" s="111"/>
    </row>
    <row r="661" spans="1:32" x14ac:dyDescent="0.2">
      <c r="A661" s="112">
        <v>823</v>
      </c>
      <c r="B661" s="113" t="s">
        <v>1204</v>
      </c>
      <c r="C661" s="114" t="s">
        <v>429</v>
      </c>
      <c r="D661" s="114" t="s">
        <v>16</v>
      </c>
      <c r="E661" s="115" t="s">
        <v>1692</v>
      </c>
      <c r="F661" s="115" t="s">
        <v>1693</v>
      </c>
      <c r="G661" s="115" t="s">
        <v>1790</v>
      </c>
      <c r="H661" s="113" t="s">
        <v>1428</v>
      </c>
      <c r="I661" s="114">
        <v>20.563037999999999</v>
      </c>
      <c r="J661" s="114">
        <v>-100.801464</v>
      </c>
      <c r="K661" s="113"/>
      <c r="L661" s="116" t="str">
        <f t="shared" si="33"/>
        <v>Ver en Google Maps</v>
      </c>
      <c r="M661" s="113">
        <v>1</v>
      </c>
      <c r="N661" s="129"/>
      <c r="O661" s="118"/>
      <c r="P661" s="118"/>
      <c r="Q661" s="118"/>
      <c r="R661" s="118"/>
      <c r="S661" s="118"/>
      <c r="T661" s="118"/>
      <c r="U661" s="118"/>
      <c r="V661" s="118"/>
      <c r="W661" s="118"/>
      <c r="X661" s="118"/>
      <c r="Y661" s="118"/>
      <c r="Z661" s="118"/>
      <c r="AA661" s="118"/>
      <c r="AB661" s="118"/>
      <c r="AC661" s="119"/>
      <c r="AD661" s="119"/>
      <c r="AE661" s="118"/>
      <c r="AF661" s="120"/>
    </row>
    <row r="662" spans="1:32" x14ac:dyDescent="0.2">
      <c r="A662" s="121">
        <v>827</v>
      </c>
      <c r="B662" s="122" t="s">
        <v>1204</v>
      </c>
      <c r="C662" s="123" t="s">
        <v>14</v>
      </c>
      <c r="D662" s="123" t="s">
        <v>404</v>
      </c>
      <c r="E662" s="124" t="s">
        <v>1694</v>
      </c>
      <c r="F662" s="124" t="s">
        <v>1695</v>
      </c>
      <c r="G662" s="124" t="s">
        <v>1896</v>
      </c>
      <c r="H662" s="122" t="s">
        <v>1428</v>
      </c>
      <c r="I662" s="123">
        <v>20.523942000000002</v>
      </c>
      <c r="J662" s="123">
        <v>-100.849571</v>
      </c>
      <c r="K662" s="122"/>
      <c r="L662" s="125" t="str">
        <f t="shared" si="33"/>
        <v>Ver en Google Maps</v>
      </c>
      <c r="M662" s="122">
        <v>1</v>
      </c>
      <c r="N662" s="130"/>
      <c r="O662" s="109"/>
      <c r="P662" s="109"/>
      <c r="Q662" s="109"/>
      <c r="R662" s="109"/>
      <c r="S662" s="109"/>
      <c r="T662" s="109"/>
      <c r="U662" s="109"/>
      <c r="V662" s="109"/>
      <c r="W662" s="109"/>
      <c r="X662" s="109"/>
      <c r="Y662" s="109"/>
      <c r="Z662" s="109"/>
      <c r="AA662" s="109"/>
      <c r="AB662" s="109"/>
      <c r="AC662" s="110"/>
      <c r="AD662" s="110"/>
      <c r="AE662" s="109"/>
      <c r="AF662" s="111"/>
    </row>
    <row r="663" spans="1:32" x14ac:dyDescent="0.2">
      <c r="A663" s="112">
        <v>850</v>
      </c>
      <c r="B663" s="113" t="s">
        <v>1204</v>
      </c>
      <c r="C663" s="114" t="s">
        <v>14</v>
      </c>
      <c r="D663" s="114" t="s">
        <v>404</v>
      </c>
      <c r="E663" s="115" t="s">
        <v>1696</v>
      </c>
      <c r="F663" s="115" t="s">
        <v>1697</v>
      </c>
      <c r="G663" s="115" t="s">
        <v>1909</v>
      </c>
      <c r="H663" s="113" t="s">
        <v>1428</v>
      </c>
      <c r="I663" s="114">
        <v>20.504519999999999</v>
      </c>
      <c r="J663" s="114">
        <v>-100.80603000000001</v>
      </c>
      <c r="K663" s="113"/>
      <c r="L663" s="116" t="str">
        <f t="shared" si="33"/>
        <v>Ver en Google Maps</v>
      </c>
      <c r="M663" s="113">
        <v>1</v>
      </c>
      <c r="N663" s="129"/>
      <c r="O663" s="118"/>
      <c r="P663" s="118"/>
      <c r="Q663" s="118"/>
      <c r="R663" s="118"/>
      <c r="S663" s="118"/>
      <c r="T663" s="118"/>
      <c r="U663" s="118"/>
      <c r="V663" s="118"/>
      <c r="W663" s="118"/>
      <c r="X663" s="118"/>
      <c r="Y663" s="118"/>
      <c r="Z663" s="118"/>
      <c r="AA663" s="118"/>
      <c r="AB663" s="118"/>
      <c r="AC663" s="119"/>
      <c r="AD663" s="119"/>
      <c r="AE663" s="118"/>
      <c r="AF663" s="120"/>
    </row>
    <row r="664" spans="1:32" x14ac:dyDescent="0.2">
      <c r="A664" s="121">
        <v>862</v>
      </c>
      <c r="B664" s="122" t="s">
        <v>1204</v>
      </c>
      <c r="C664" s="123" t="s">
        <v>14</v>
      </c>
      <c r="D664" s="123" t="s">
        <v>404</v>
      </c>
      <c r="E664" s="124" t="s">
        <v>1698</v>
      </c>
      <c r="F664" s="124" t="s">
        <v>1699</v>
      </c>
      <c r="G664" s="124" t="s">
        <v>360</v>
      </c>
      <c r="H664" s="122" t="s">
        <v>1428</v>
      </c>
      <c r="I664" s="123">
        <v>20.518111000000001</v>
      </c>
      <c r="J664" s="123">
        <v>-100.81632399999999</v>
      </c>
      <c r="K664" s="122" t="s">
        <v>139</v>
      </c>
      <c r="L664" s="125" t="str">
        <f t="shared" si="33"/>
        <v>Ver en Google Maps</v>
      </c>
      <c r="M664" s="122">
        <v>1</v>
      </c>
      <c r="N664" s="108">
        <v>45962</v>
      </c>
      <c r="O664" s="109">
        <f>DAY('BD2'!$N664)</f>
        <v>1</v>
      </c>
      <c r="P664" s="109">
        <f>MONTH('BD2'!$N664)</f>
        <v>11</v>
      </c>
      <c r="Q664" s="109">
        <f>YEAR('BD2'!$N664)</f>
        <v>2025</v>
      </c>
      <c r="R664" s="109">
        <v>2</v>
      </c>
      <c r="S664" s="109" t="s">
        <v>138</v>
      </c>
      <c r="T664" s="109" t="s">
        <v>138</v>
      </c>
      <c r="U664" s="109" t="s">
        <v>138</v>
      </c>
      <c r="V664" s="109" t="s">
        <v>138</v>
      </c>
      <c r="W664" s="109" t="s">
        <v>138</v>
      </c>
      <c r="X664" s="109" t="s">
        <v>138</v>
      </c>
      <c r="Y664" s="109" t="s">
        <v>138</v>
      </c>
      <c r="Z664" s="109" t="str">
        <f>IF('BD2'!$AA664 &lt; 14, "no", "si")</f>
        <v>si</v>
      </c>
      <c r="AA664" s="109">
        <v>90.6</v>
      </c>
      <c r="AB664" s="109">
        <v>93.4</v>
      </c>
      <c r="AC664" s="110" t="s">
        <v>1412</v>
      </c>
      <c r="AD664" s="110" t="s">
        <v>1403</v>
      </c>
      <c r="AE664" s="109">
        <f t="shared" si="34"/>
        <v>8</v>
      </c>
      <c r="AF664" s="111" t="str">
        <f t="shared" si="35"/>
        <v>Estable</v>
      </c>
    </row>
    <row r="665" spans="1:32" x14ac:dyDescent="0.2">
      <c r="A665" s="112">
        <v>864</v>
      </c>
      <c r="B665" s="113" t="s">
        <v>1204</v>
      </c>
      <c r="C665" s="114" t="s">
        <v>14</v>
      </c>
      <c r="D665" s="114" t="s">
        <v>735</v>
      </c>
      <c r="E665" s="115" t="s">
        <v>1700</v>
      </c>
      <c r="F665" s="115" t="s">
        <v>1701</v>
      </c>
      <c r="G665" s="115" t="s">
        <v>1910</v>
      </c>
      <c r="H665" s="113" t="s">
        <v>1428</v>
      </c>
      <c r="I665" s="114">
        <v>20.496112</v>
      </c>
      <c r="J665" s="114">
        <v>-100.80414500000001</v>
      </c>
      <c r="K665" s="113"/>
      <c r="L665" s="116" t="str">
        <f t="shared" si="33"/>
        <v>Ver en Google Maps</v>
      </c>
      <c r="M665" s="113">
        <v>2</v>
      </c>
      <c r="N665" s="129"/>
      <c r="O665" s="118"/>
      <c r="P665" s="118"/>
      <c r="Q665" s="118"/>
      <c r="R665" s="118"/>
      <c r="S665" s="118"/>
      <c r="T665" s="118"/>
      <c r="U665" s="118"/>
      <c r="V665" s="118"/>
      <c r="W665" s="118"/>
      <c r="X665" s="118"/>
      <c r="Y665" s="118"/>
      <c r="Z665" s="118"/>
      <c r="AA665" s="118"/>
      <c r="AB665" s="118"/>
      <c r="AC665" s="119"/>
      <c r="AD665" s="119"/>
      <c r="AE665" s="118"/>
      <c r="AF665" s="120"/>
    </row>
    <row r="666" spans="1:32" x14ac:dyDescent="0.2">
      <c r="A666" s="121">
        <v>873</v>
      </c>
      <c r="B666" s="122" t="s">
        <v>1204</v>
      </c>
      <c r="C666" s="123" t="s">
        <v>14</v>
      </c>
      <c r="D666" s="123" t="s">
        <v>735</v>
      </c>
      <c r="E666" s="124" t="s">
        <v>1702</v>
      </c>
      <c r="F666" s="124" t="s">
        <v>1703</v>
      </c>
      <c r="G666" s="124" t="s">
        <v>1791</v>
      </c>
      <c r="H666" s="122" t="s">
        <v>1428</v>
      </c>
      <c r="I666" s="123">
        <v>20.507636000000002</v>
      </c>
      <c r="J666" s="123">
        <v>-100.828693</v>
      </c>
      <c r="K666" s="122"/>
      <c r="L666" s="125" t="str">
        <f t="shared" si="33"/>
        <v>Ver en Google Maps</v>
      </c>
      <c r="M666" s="122">
        <v>2</v>
      </c>
      <c r="N666" s="130"/>
      <c r="O666" s="109"/>
      <c r="P666" s="109"/>
      <c r="Q666" s="109"/>
      <c r="R666" s="109"/>
      <c r="S666" s="109"/>
      <c r="T666" s="109"/>
      <c r="U666" s="109"/>
      <c r="V666" s="109"/>
      <c r="W666" s="109"/>
      <c r="X666" s="109"/>
      <c r="Y666" s="109"/>
      <c r="Z666" s="109"/>
      <c r="AA666" s="109"/>
      <c r="AB666" s="109"/>
      <c r="AC666" s="110"/>
      <c r="AD666" s="110"/>
      <c r="AE666" s="109"/>
      <c r="AF666" s="111"/>
    </row>
    <row r="667" spans="1:32" x14ac:dyDescent="0.2">
      <c r="A667" s="112">
        <v>876</v>
      </c>
      <c r="B667" s="113" t="s">
        <v>1204</v>
      </c>
      <c r="C667" s="114" t="s">
        <v>14</v>
      </c>
      <c r="D667" s="114" t="s">
        <v>404</v>
      </c>
      <c r="E667" s="115" t="s">
        <v>1704</v>
      </c>
      <c r="F667" s="115" t="s">
        <v>1705</v>
      </c>
      <c r="G667" s="115" t="s">
        <v>360</v>
      </c>
      <c r="H667" s="113" t="s">
        <v>1428</v>
      </c>
      <c r="I667" s="114">
        <v>20.518196</v>
      </c>
      <c r="J667" s="114">
        <v>-100.81640299999999</v>
      </c>
      <c r="K667" s="113" t="s">
        <v>139</v>
      </c>
      <c r="L667" s="116" t="str">
        <f t="shared" si="33"/>
        <v>Ver en Google Maps</v>
      </c>
      <c r="M667" s="113">
        <v>1</v>
      </c>
      <c r="N667" s="117">
        <v>45962</v>
      </c>
      <c r="O667" s="118">
        <f>DAY('BD2'!$N667)</f>
        <v>1</v>
      </c>
      <c r="P667" s="118">
        <f>MONTH('BD2'!$N667)</f>
        <v>11</v>
      </c>
      <c r="Q667" s="118">
        <f>YEAR('BD2'!$N667)</f>
        <v>2025</v>
      </c>
      <c r="R667" s="118">
        <v>2</v>
      </c>
      <c r="S667" s="118" t="s">
        <v>138</v>
      </c>
      <c r="T667" s="118" t="s">
        <v>138</v>
      </c>
      <c r="U667" s="118" t="s">
        <v>138</v>
      </c>
      <c r="V667" s="118" t="s">
        <v>138</v>
      </c>
      <c r="W667" s="118" t="s">
        <v>138</v>
      </c>
      <c r="X667" s="118" t="s">
        <v>138</v>
      </c>
      <c r="Y667" s="118" t="s">
        <v>138</v>
      </c>
      <c r="Z667" s="118" t="str">
        <f>IF('BD2'!$AA667 &lt; 14, "no", "si")</f>
        <v>si</v>
      </c>
      <c r="AA667" s="118">
        <v>86.1</v>
      </c>
      <c r="AB667" s="118">
        <v>93.6</v>
      </c>
      <c r="AC667" s="119" t="s">
        <v>967</v>
      </c>
      <c r="AD667" s="119" t="s">
        <v>1403</v>
      </c>
      <c r="AE667" s="118">
        <f t="shared" si="34"/>
        <v>8</v>
      </c>
      <c r="AF667" s="120" t="str">
        <f t="shared" si="35"/>
        <v>Estable</v>
      </c>
    </row>
    <row r="668" spans="1:32" x14ac:dyDescent="0.2">
      <c r="A668" s="121">
        <v>880</v>
      </c>
      <c r="B668" s="122" t="s">
        <v>1204</v>
      </c>
      <c r="C668" s="123" t="s">
        <v>14</v>
      </c>
      <c r="D668" s="123" t="s">
        <v>404</v>
      </c>
      <c r="E668" s="124" t="s">
        <v>1706</v>
      </c>
      <c r="F668" s="124" t="s">
        <v>1707</v>
      </c>
      <c r="G668" s="124" t="s">
        <v>1114</v>
      </c>
      <c r="H668" s="122" t="s">
        <v>1428</v>
      </c>
      <c r="I668" s="123">
        <v>20.5214</v>
      </c>
      <c r="J668" s="123">
        <v>-100.8314</v>
      </c>
      <c r="K668" s="122"/>
      <c r="L668" s="125" t="str">
        <f t="shared" si="33"/>
        <v>Ver en Google Maps</v>
      </c>
      <c r="M668" s="122">
        <v>2</v>
      </c>
      <c r="N668" s="130"/>
      <c r="O668" s="109"/>
      <c r="P668" s="109"/>
      <c r="Q668" s="109"/>
      <c r="R668" s="109"/>
      <c r="S668" s="109"/>
      <c r="T668" s="109"/>
      <c r="U668" s="109"/>
      <c r="V668" s="109"/>
      <c r="W668" s="109"/>
      <c r="X668" s="109"/>
      <c r="Y668" s="109"/>
      <c r="Z668" s="109"/>
      <c r="AA668" s="109"/>
      <c r="AB668" s="109"/>
      <c r="AC668" s="110"/>
      <c r="AD668" s="110"/>
      <c r="AE668" s="109"/>
      <c r="AF668" s="111"/>
    </row>
    <row r="669" spans="1:32" x14ac:dyDescent="0.2">
      <c r="A669" s="112">
        <v>885</v>
      </c>
      <c r="B669" s="113" t="s">
        <v>1204</v>
      </c>
      <c r="C669" s="114" t="s">
        <v>18</v>
      </c>
      <c r="D669" s="114" t="s">
        <v>404</v>
      </c>
      <c r="E669" s="115" t="s">
        <v>1708</v>
      </c>
      <c r="F669" s="115" t="s">
        <v>1709</v>
      </c>
      <c r="G669" s="115" t="s">
        <v>1911</v>
      </c>
      <c r="H669" s="113" t="s">
        <v>1428</v>
      </c>
      <c r="I669" s="114">
        <v>20.518380000000001</v>
      </c>
      <c r="J669" s="114">
        <v>-100.83014</v>
      </c>
      <c r="K669" s="113"/>
      <c r="L669" s="116" t="str">
        <f t="shared" si="33"/>
        <v>Ver en Google Maps</v>
      </c>
      <c r="M669" s="113">
        <v>1</v>
      </c>
      <c r="N669" s="117"/>
      <c r="O669" s="118"/>
      <c r="P669" s="118"/>
      <c r="Q669" s="118"/>
      <c r="R669" s="118"/>
      <c r="S669" s="118"/>
      <c r="T669" s="118"/>
      <c r="U669" s="118"/>
      <c r="V669" s="118"/>
      <c r="W669" s="118"/>
      <c r="X669" s="118"/>
      <c r="Y669" s="118"/>
      <c r="Z669" s="118"/>
      <c r="AA669" s="118"/>
      <c r="AB669" s="118"/>
      <c r="AC669" s="119"/>
      <c r="AD669" s="119"/>
      <c r="AE669" s="118"/>
      <c r="AF669" s="120"/>
    </row>
    <row r="670" spans="1:32" x14ac:dyDescent="0.2">
      <c r="A670" s="121">
        <v>889</v>
      </c>
      <c r="B670" s="122" t="s">
        <v>1204</v>
      </c>
      <c r="C670" s="123" t="s">
        <v>14</v>
      </c>
      <c r="D670" s="123" t="s">
        <v>404</v>
      </c>
      <c r="E670" s="124" t="s">
        <v>1710</v>
      </c>
      <c r="F670" s="124" t="s">
        <v>1711</v>
      </c>
      <c r="G670" s="124" t="s">
        <v>360</v>
      </c>
      <c r="H670" s="122" t="s">
        <v>1428</v>
      </c>
      <c r="I670" s="123">
        <v>20.518128000000001</v>
      </c>
      <c r="J670" s="123">
        <v>-100.816323</v>
      </c>
      <c r="K670" s="122" t="s">
        <v>139</v>
      </c>
      <c r="L670" s="125" t="str">
        <f t="shared" si="33"/>
        <v>Ver en Google Maps</v>
      </c>
      <c r="M670" s="122">
        <v>1</v>
      </c>
      <c r="N670" s="108">
        <v>45962</v>
      </c>
      <c r="O670" s="109">
        <f>DAY('BD2'!$N670)</f>
        <v>1</v>
      </c>
      <c r="P670" s="109">
        <f>MONTH('BD2'!$N670)</f>
        <v>11</v>
      </c>
      <c r="Q670" s="109">
        <f>YEAR('BD2'!$N670)</f>
        <v>2025</v>
      </c>
      <c r="R670" s="109">
        <v>2</v>
      </c>
      <c r="S670" s="109" t="s">
        <v>138</v>
      </c>
      <c r="T670" s="109" t="s">
        <v>138</v>
      </c>
      <c r="U670" s="109" t="s">
        <v>138</v>
      </c>
      <c r="V670" s="109" t="s">
        <v>138</v>
      </c>
      <c r="W670" s="109" t="s">
        <v>138</v>
      </c>
      <c r="X670" s="109" t="s">
        <v>138</v>
      </c>
      <c r="Y670" s="109" t="s">
        <v>138</v>
      </c>
      <c r="Z670" s="109" t="str">
        <f>IF('BD2'!$AA670 &lt; 14, "no", "si")</f>
        <v>si</v>
      </c>
      <c r="AA670" s="109">
        <v>86.1</v>
      </c>
      <c r="AB670" s="109">
        <v>93.6</v>
      </c>
      <c r="AC670" s="110" t="s">
        <v>967</v>
      </c>
      <c r="AD670" s="110" t="s">
        <v>1403</v>
      </c>
      <c r="AE670" s="109">
        <f t="shared" si="34"/>
        <v>8</v>
      </c>
      <c r="AF670" s="111" t="str">
        <f t="shared" si="35"/>
        <v>Estable</v>
      </c>
    </row>
    <row r="671" spans="1:32" x14ac:dyDescent="0.2">
      <c r="A671" s="112">
        <v>891</v>
      </c>
      <c r="B671" s="113" t="s">
        <v>1204</v>
      </c>
      <c r="C671" s="114" t="s">
        <v>14</v>
      </c>
      <c r="D671" s="114" t="s">
        <v>404</v>
      </c>
      <c r="E671" s="115" t="s">
        <v>1712</v>
      </c>
      <c r="F671" s="115" t="s">
        <v>1713</v>
      </c>
      <c r="G671" s="115" t="s">
        <v>1852</v>
      </c>
      <c r="H671" s="113" t="s">
        <v>1428</v>
      </c>
      <c r="I671" s="114">
        <v>20.539065000000001</v>
      </c>
      <c r="J671" s="114">
        <v>-100.839404</v>
      </c>
      <c r="K671" s="113"/>
      <c r="L671" s="116" t="str">
        <f t="shared" si="33"/>
        <v>Ver en Google Maps</v>
      </c>
      <c r="M671" s="113">
        <v>1</v>
      </c>
      <c r="N671" s="129"/>
      <c r="O671" s="118"/>
      <c r="P671" s="118"/>
      <c r="Q671" s="118"/>
      <c r="R671" s="118"/>
      <c r="S671" s="118"/>
      <c r="T671" s="118"/>
      <c r="U671" s="118"/>
      <c r="V671" s="118"/>
      <c r="W671" s="118"/>
      <c r="X671" s="118"/>
      <c r="Y671" s="118"/>
      <c r="Z671" s="118"/>
      <c r="AA671" s="118"/>
      <c r="AB671" s="118"/>
      <c r="AC671" s="119"/>
      <c r="AD671" s="119"/>
      <c r="AE671" s="118"/>
      <c r="AF671" s="120"/>
    </row>
    <row r="672" spans="1:32" x14ac:dyDescent="0.2">
      <c r="A672" s="121">
        <v>894</v>
      </c>
      <c r="B672" s="122" t="s">
        <v>1204</v>
      </c>
      <c r="C672" s="123" t="s">
        <v>14</v>
      </c>
      <c r="D672" s="123" t="s">
        <v>404</v>
      </c>
      <c r="E672" s="124" t="s">
        <v>1714</v>
      </c>
      <c r="F672" s="124" t="s">
        <v>1715</v>
      </c>
      <c r="G672" s="124" t="s">
        <v>1912</v>
      </c>
      <c r="H672" s="122" t="s">
        <v>1428</v>
      </c>
      <c r="I672" s="123">
        <v>20.518692999999999</v>
      </c>
      <c r="J672" s="123">
        <v>-100.83568699999999</v>
      </c>
      <c r="K672" s="122"/>
      <c r="L672" s="125" t="str">
        <f t="shared" si="33"/>
        <v>Ver en Google Maps</v>
      </c>
      <c r="M672" s="122">
        <v>1</v>
      </c>
      <c r="N672" s="130"/>
      <c r="O672" s="109"/>
      <c r="P672" s="109"/>
      <c r="Q672" s="109"/>
      <c r="R672" s="109"/>
      <c r="S672" s="109"/>
      <c r="T672" s="109"/>
      <c r="U672" s="109"/>
      <c r="V672" s="109"/>
      <c r="W672" s="109"/>
      <c r="X672" s="109"/>
      <c r="Y672" s="109"/>
      <c r="Z672" s="109"/>
      <c r="AA672" s="109"/>
      <c r="AB672" s="109"/>
      <c r="AC672" s="110"/>
      <c r="AD672" s="110"/>
      <c r="AE672" s="109"/>
      <c r="AF672" s="111"/>
    </row>
    <row r="673" spans="1:32" x14ac:dyDescent="0.2">
      <c r="A673" s="112">
        <v>902</v>
      </c>
      <c r="B673" s="113" t="s">
        <v>1204</v>
      </c>
      <c r="C673" s="114" t="s">
        <v>14</v>
      </c>
      <c r="D673" s="114" t="s">
        <v>404</v>
      </c>
      <c r="E673" s="115" t="s">
        <v>1716</v>
      </c>
      <c r="F673" s="115" t="s">
        <v>1717</v>
      </c>
      <c r="G673" s="115" t="s">
        <v>1896</v>
      </c>
      <c r="H673" s="113" t="s">
        <v>1428</v>
      </c>
      <c r="I673" s="114">
        <v>20.523900000000001</v>
      </c>
      <c r="J673" s="114">
        <v>-100.84948</v>
      </c>
      <c r="K673" s="113"/>
      <c r="L673" s="116" t="str">
        <f t="shared" si="33"/>
        <v>Ver en Google Maps</v>
      </c>
      <c r="M673" s="113">
        <v>1</v>
      </c>
      <c r="N673" s="129"/>
      <c r="O673" s="118"/>
      <c r="P673" s="118"/>
      <c r="Q673" s="118"/>
      <c r="R673" s="118"/>
      <c r="S673" s="118"/>
      <c r="T673" s="118"/>
      <c r="U673" s="118"/>
      <c r="V673" s="118"/>
      <c r="W673" s="118"/>
      <c r="X673" s="118"/>
      <c r="Y673" s="118"/>
      <c r="Z673" s="118"/>
      <c r="AA673" s="118"/>
      <c r="AB673" s="118"/>
      <c r="AC673" s="119"/>
      <c r="AD673" s="119"/>
      <c r="AE673" s="118"/>
      <c r="AF673" s="120"/>
    </row>
    <row r="674" spans="1:32" x14ac:dyDescent="0.2">
      <c r="A674" s="121">
        <v>914</v>
      </c>
      <c r="B674" s="122" t="s">
        <v>1204</v>
      </c>
      <c r="C674" s="123" t="s">
        <v>429</v>
      </c>
      <c r="D674" s="123" t="s">
        <v>16</v>
      </c>
      <c r="E674" s="124" t="s">
        <v>1718</v>
      </c>
      <c r="F674" s="124" t="s">
        <v>1719</v>
      </c>
      <c r="G674" s="124" t="s">
        <v>1781</v>
      </c>
      <c r="H674" s="122" t="s">
        <v>1428</v>
      </c>
      <c r="I674" s="123">
        <v>20.553056999999999</v>
      </c>
      <c r="J674" s="123">
        <v>-100.847567</v>
      </c>
      <c r="K674" s="122"/>
      <c r="L674" s="125" t="str">
        <f t="shared" si="33"/>
        <v>Ver en Google Maps</v>
      </c>
      <c r="M674" s="122">
        <v>1</v>
      </c>
      <c r="N674" s="130"/>
      <c r="O674" s="109"/>
      <c r="P674" s="109"/>
      <c r="Q674" s="109"/>
      <c r="R674" s="109"/>
      <c r="S674" s="109"/>
      <c r="T674" s="109"/>
      <c r="U674" s="109"/>
      <c r="V674" s="109"/>
      <c r="W674" s="109"/>
      <c r="X674" s="109"/>
      <c r="Y674" s="109"/>
      <c r="Z674" s="109"/>
      <c r="AA674" s="109"/>
      <c r="AB674" s="109"/>
      <c r="AC674" s="110"/>
      <c r="AD674" s="110"/>
      <c r="AE674" s="109"/>
      <c r="AF674" s="111"/>
    </row>
    <row r="675" spans="1:32" x14ac:dyDescent="0.2">
      <c r="A675" s="112">
        <v>921</v>
      </c>
      <c r="B675" s="113" t="s">
        <v>1204</v>
      </c>
      <c r="C675" s="114" t="s">
        <v>429</v>
      </c>
      <c r="D675" s="114" t="s">
        <v>336</v>
      </c>
      <c r="E675" s="115" t="s">
        <v>1720</v>
      </c>
      <c r="F675" s="115" t="s">
        <v>1721</v>
      </c>
      <c r="G675" s="115" t="s">
        <v>1068</v>
      </c>
      <c r="H675" s="113" t="s">
        <v>1428</v>
      </c>
      <c r="I675" s="114">
        <v>20.548596</v>
      </c>
      <c r="J675" s="114">
        <v>-100.787087</v>
      </c>
      <c r="K675" s="113"/>
      <c r="L675" s="116" t="str">
        <f t="shared" si="33"/>
        <v>Ver en Google Maps</v>
      </c>
      <c r="M675" s="113">
        <v>2</v>
      </c>
      <c r="N675" s="129"/>
      <c r="O675" s="118"/>
      <c r="P675" s="118"/>
      <c r="Q675" s="118"/>
      <c r="R675" s="118"/>
      <c r="S675" s="118"/>
      <c r="T675" s="118"/>
      <c r="U675" s="118"/>
      <c r="V675" s="118"/>
      <c r="W675" s="118"/>
      <c r="X675" s="118"/>
      <c r="Y675" s="118"/>
      <c r="Z675" s="118"/>
      <c r="AA675" s="118"/>
      <c r="AB675" s="118"/>
      <c r="AC675" s="119"/>
      <c r="AD675" s="119"/>
      <c r="AE675" s="118"/>
      <c r="AF675" s="120"/>
    </row>
    <row r="676" spans="1:32" x14ac:dyDescent="0.2">
      <c r="A676" s="121">
        <v>929</v>
      </c>
      <c r="B676" s="122" t="s">
        <v>1204</v>
      </c>
      <c r="C676" s="123" t="s">
        <v>429</v>
      </c>
      <c r="D676" s="123" t="s">
        <v>336</v>
      </c>
      <c r="E676" s="124" t="s">
        <v>1722</v>
      </c>
      <c r="F676" s="124" t="s">
        <v>1723</v>
      </c>
      <c r="G676" s="124" t="s">
        <v>1792</v>
      </c>
      <c r="H676" s="122" t="s">
        <v>1428</v>
      </c>
      <c r="I676" s="123">
        <v>20.514151999999999</v>
      </c>
      <c r="J676" s="123">
        <v>-100.823305</v>
      </c>
      <c r="K676" s="122"/>
      <c r="L676" s="125" t="str">
        <f t="shared" si="33"/>
        <v>Ver en Google Maps</v>
      </c>
      <c r="M676" s="122">
        <v>2</v>
      </c>
      <c r="N676" s="130"/>
      <c r="O676" s="109"/>
      <c r="P676" s="109"/>
      <c r="Q676" s="109"/>
      <c r="R676" s="109"/>
      <c r="S676" s="109"/>
      <c r="T676" s="109"/>
      <c r="U676" s="109"/>
      <c r="V676" s="109"/>
      <c r="W676" s="109"/>
      <c r="X676" s="109"/>
      <c r="Y676" s="109"/>
      <c r="Z676" s="109"/>
      <c r="AA676" s="109"/>
      <c r="AB676" s="109"/>
      <c r="AC676" s="110"/>
      <c r="AD676" s="110"/>
      <c r="AE676" s="109"/>
      <c r="AF676" s="111"/>
    </row>
    <row r="677" spans="1:32" x14ac:dyDescent="0.2">
      <c r="A677" s="112">
        <v>934</v>
      </c>
      <c r="B677" s="113" t="s">
        <v>1204</v>
      </c>
      <c r="C677" s="114" t="s">
        <v>429</v>
      </c>
      <c r="D677" s="114" t="s">
        <v>336</v>
      </c>
      <c r="E677" s="115" t="s">
        <v>1724</v>
      </c>
      <c r="F677" s="115" t="s">
        <v>1725</v>
      </c>
      <c r="G677" s="115" t="s">
        <v>1887</v>
      </c>
      <c r="H677" s="113" t="s">
        <v>1428</v>
      </c>
      <c r="I677" s="114">
        <v>20.537030000000001</v>
      </c>
      <c r="J677" s="114">
        <v>-100.80907000000001</v>
      </c>
      <c r="K677" s="113"/>
      <c r="L677" s="116" t="str">
        <f t="shared" si="33"/>
        <v>Ver en Google Maps</v>
      </c>
      <c r="M677" s="113">
        <v>3</v>
      </c>
      <c r="N677" s="129"/>
      <c r="O677" s="118"/>
      <c r="P677" s="118"/>
      <c r="Q677" s="118"/>
      <c r="R677" s="118"/>
      <c r="S677" s="118"/>
      <c r="T677" s="118"/>
      <c r="U677" s="118"/>
      <c r="V677" s="118"/>
      <c r="W677" s="118"/>
      <c r="X677" s="118"/>
      <c r="Y677" s="118"/>
      <c r="Z677" s="118"/>
      <c r="AA677" s="118"/>
      <c r="AB677" s="118"/>
      <c r="AC677" s="119"/>
      <c r="AD677" s="119"/>
      <c r="AE677" s="118"/>
      <c r="AF677" s="120"/>
    </row>
    <row r="678" spans="1:32" x14ac:dyDescent="0.2">
      <c r="A678" s="121">
        <v>941</v>
      </c>
      <c r="B678" s="122" t="s">
        <v>1204</v>
      </c>
      <c r="C678" s="123" t="s">
        <v>429</v>
      </c>
      <c r="D678" s="123" t="s">
        <v>132</v>
      </c>
      <c r="E678" s="124" t="s">
        <v>1726</v>
      </c>
      <c r="F678" s="124" t="s">
        <v>1727</v>
      </c>
      <c r="G678" s="124" t="s">
        <v>1842</v>
      </c>
      <c r="H678" s="122" t="s">
        <v>1428</v>
      </c>
      <c r="I678" s="123">
        <v>20.506502999999999</v>
      </c>
      <c r="J678" s="123">
        <v>-100.77705</v>
      </c>
      <c r="K678" s="122"/>
      <c r="L678" s="125" t="str">
        <f t="shared" si="33"/>
        <v>Ver en Google Maps</v>
      </c>
      <c r="M678" s="122">
        <v>2</v>
      </c>
      <c r="N678" s="130"/>
      <c r="O678" s="109"/>
      <c r="P678" s="109"/>
      <c r="Q678" s="109"/>
      <c r="R678" s="109"/>
      <c r="S678" s="109"/>
      <c r="T678" s="109"/>
      <c r="U678" s="109"/>
      <c r="V678" s="109"/>
      <c r="W678" s="109"/>
      <c r="X678" s="109"/>
      <c r="Y678" s="109"/>
      <c r="Z678" s="109"/>
      <c r="AA678" s="109"/>
      <c r="AB678" s="109"/>
      <c r="AC678" s="110"/>
      <c r="AD678" s="110"/>
      <c r="AE678" s="109"/>
      <c r="AF678" s="111"/>
    </row>
    <row r="679" spans="1:32" x14ac:dyDescent="0.2">
      <c r="A679" s="112">
        <v>942</v>
      </c>
      <c r="B679" s="113" t="s">
        <v>1204</v>
      </c>
      <c r="C679" s="114" t="s">
        <v>429</v>
      </c>
      <c r="D679" s="114" t="s">
        <v>132</v>
      </c>
      <c r="E679" s="115" t="s">
        <v>1728</v>
      </c>
      <c r="F679" s="115" t="s">
        <v>1729</v>
      </c>
      <c r="G679" s="115" t="s">
        <v>1793</v>
      </c>
      <c r="H679" s="113" t="s">
        <v>1428</v>
      </c>
      <c r="I679" s="114">
        <v>20.492418000000001</v>
      </c>
      <c r="J679" s="114">
        <v>-100.827743</v>
      </c>
      <c r="K679" s="113"/>
      <c r="L679" s="116" t="str">
        <f t="shared" si="33"/>
        <v>Ver en Google Maps</v>
      </c>
      <c r="M679" s="113">
        <v>2</v>
      </c>
      <c r="N679" s="129"/>
      <c r="O679" s="118"/>
      <c r="P679" s="118"/>
      <c r="Q679" s="118"/>
      <c r="R679" s="118"/>
      <c r="S679" s="118"/>
      <c r="T679" s="118"/>
      <c r="U679" s="118"/>
      <c r="V679" s="118"/>
      <c r="W679" s="118"/>
      <c r="X679" s="118"/>
      <c r="Y679" s="118"/>
      <c r="Z679" s="118"/>
      <c r="AA679" s="118"/>
      <c r="AB679" s="118"/>
      <c r="AC679" s="119"/>
      <c r="AD679" s="119"/>
      <c r="AE679" s="118"/>
      <c r="AF679" s="120"/>
    </row>
    <row r="680" spans="1:32" x14ac:dyDescent="0.2">
      <c r="A680" s="121">
        <v>943</v>
      </c>
      <c r="B680" s="122" t="s">
        <v>1204</v>
      </c>
      <c r="C680" s="123" t="s">
        <v>429</v>
      </c>
      <c r="D680" s="123" t="s">
        <v>132</v>
      </c>
      <c r="E680" s="124" t="s">
        <v>1730</v>
      </c>
      <c r="F680" s="124" t="s">
        <v>1731</v>
      </c>
      <c r="G680" s="124" t="s">
        <v>1913</v>
      </c>
      <c r="H680" s="122" t="s">
        <v>1428</v>
      </c>
      <c r="I680" s="123">
        <v>20.561419999999998</v>
      </c>
      <c r="J680" s="123">
        <v>-100.85699</v>
      </c>
      <c r="K680" s="122"/>
      <c r="L680" s="125" t="str">
        <f t="shared" si="33"/>
        <v>Ver en Google Maps</v>
      </c>
      <c r="M680" s="122">
        <v>2</v>
      </c>
      <c r="N680" s="130"/>
      <c r="O680" s="109"/>
      <c r="P680" s="109"/>
      <c r="Q680" s="109"/>
      <c r="R680" s="109"/>
      <c r="S680" s="109"/>
      <c r="T680" s="109"/>
      <c r="U680" s="109"/>
      <c r="V680" s="109"/>
      <c r="W680" s="109"/>
      <c r="X680" s="109"/>
      <c r="Y680" s="109"/>
      <c r="Z680" s="109"/>
      <c r="AA680" s="109"/>
      <c r="AB680" s="109"/>
      <c r="AC680" s="110"/>
      <c r="AD680" s="110"/>
      <c r="AE680" s="109"/>
      <c r="AF680" s="111"/>
    </row>
    <row r="681" spans="1:32" x14ac:dyDescent="0.2">
      <c r="A681" s="112">
        <v>950</v>
      </c>
      <c r="B681" s="113" t="s">
        <v>1204</v>
      </c>
      <c r="C681" s="114" t="s">
        <v>429</v>
      </c>
      <c r="D681" s="114" t="s">
        <v>132</v>
      </c>
      <c r="E681" s="115" t="s">
        <v>1732</v>
      </c>
      <c r="F681" s="115" t="s">
        <v>1733</v>
      </c>
      <c r="G681" s="115" t="s">
        <v>1914</v>
      </c>
      <c r="H681" s="113" t="s">
        <v>1428</v>
      </c>
      <c r="I681" s="114">
        <v>20.551753999999999</v>
      </c>
      <c r="J681" s="114">
        <v>-100.819626</v>
      </c>
      <c r="K681" s="113"/>
      <c r="L681" s="116" t="str">
        <f t="shared" si="33"/>
        <v>Ver en Google Maps</v>
      </c>
      <c r="M681" s="113">
        <v>2</v>
      </c>
      <c r="N681" s="129"/>
      <c r="O681" s="118"/>
      <c r="P681" s="118"/>
      <c r="Q681" s="118"/>
      <c r="R681" s="118"/>
      <c r="S681" s="118"/>
      <c r="T681" s="118"/>
      <c r="U681" s="118"/>
      <c r="V681" s="118"/>
      <c r="W681" s="118"/>
      <c r="X681" s="118"/>
      <c r="Y681" s="118"/>
      <c r="Z681" s="118"/>
      <c r="AA681" s="118"/>
      <c r="AB681" s="118"/>
      <c r="AC681" s="119"/>
      <c r="AD681" s="119"/>
      <c r="AE681" s="118"/>
      <c r="AF681" s="120"/>
    </row>
    <row r="682" spans="1:32" x14ac:dyDescent="0.2">
      <c r="A682" s="121">
        <v>958</v>
      </c>
      <c r="B682" s="122" t="s">
        <v>1204</v>
      </c>
      <c r="C682" s="123" t="s">
        <v>87</v>
      </c>
      <c r="D682" s="123" t="s">
        <v>842</v>
      </c>
      <c r="E682" s="124" t="s">
        <v>1734</v>
      </c>
      <c r="F682" s="124" t="s">
        <v>1735</v>
      </c>
      <c r="G682" s="124" t="s">
        <v>1845</v>
      </c>
      <c r="H682" s="122" t="s">
        <v>1428</v>
      </c>
      <c r="I682" s="123">
        <v>20.525535000000001</v>
      </c>
      <c r="J682" s="123">
        <v>-100.846216</v>
      </c>
      <c r="K682" s="122"/>
      <c r="L682" s="125" t="str">
        <f t="shared" si="33"/>
        <v>Ver en Google Maps</v>
      </c>
      <c r="M682" s="122">
        <v>1</v>
      </c>
      <c r="N682" s="130"/>
      <c r="O682" s="109"/>
      <c r="P682" s="109"/>
      <c r="Q682" s="109"/>
      <c r="R682" s="109"/>
      <c r="S682" s="109"/>
      <c r="T682" s="109"/>
      <c r="U682" s="109"/>
      <c r="V682" s="109"/>
      <c r="W682" s="109"/>
      <c r="X682" s="109"/>
      <c r="Y682" s="109"/>
      <c r="Z682" s="109"/>
      <c r="AA682" s="109"/>
      <c r="AB682" s="109"/>
      <c r="AC682" s="110"/>
      <c r="AD682" s="110"/>
      <c r="AE682" s="109"/>
      <c r="AF682" s="111"/>
    </row>
    <row r="683" spans="1:32" x14ac:dyDescent="0.2">
      <c r="A683" s="112">
        <v>959</v>
      </c>
      <c r="B683" s="113" t="s">
        <v>1204</v>
      </c>
      <c r="C683" s="114" t="s">
        <v>87</v>
      </c>
      <c r="D683" s="114" t="s">
        <v>805</v>
      </c>
      <c r="E683" s="115" t="s">
        <v>1736</v>
      </c>
      <c r="F683" s="115" t="s">
        <v>1737</v>
      </c>
      <c r="G683" s="115" t="s">
        <v>979</v>
      </c>
      <c r="H683" s="113" t="s">
        <v>1428</v>
      </c>
      <c r="I683" s="114">
        <v>20.529299999999999</v>
      </c>
      <c r="J683" s="114">
        <v>-100.825485</v>
      </c>
      <c r="K683" s="113"/>
      <c r="L683" s="116" t="str">
        <f t="shared" si="33"/>
        <v>Ver en Google Maps</v>
      </c>
      <c r="M683" s="113">
        <v>2</v>
      </c>
      <c r="N683" s="129"/>
      <c r="O683" s="118"/>
      <c r="P683" s="118"/>
      <c r="Q683" s="118"/>
      <c r="R683" s="118"/>
      <c r="S683" s="118"/>
      <c r="T683" s="118"/>
      <c r="U683" s="118"/>
      <c r="V683" s="118"/>
      <c r="W683" s="118"/>
      <c r="X683" s="118"/>
      <c r="Y683" s="118"/>
      <c r="Z683" s="118"/>
      <c r="AA683" s="118"/>
      <c r="AB683" s="118"/>
      <c r="AC683" s="119"/>
      <c r="AD683" s="119"/>
      <c r="AE683" s="118"/>
      <c r="AF683" s="120"/>
    </row>
    <row r="684" spans="1:32" x14ac:dyDescent="0.2">
      <c r="A684" s="121">
        <v>1005</v>
      </c>
      <c r="B684" s="122" t="s">
        <v>1204</v>
      </c>
      <c r="C684" s="123" t="s">
        <v>87</v>
      </c>
      <c r="D684" s="123" t="s">
        <v>563</v>
      </c>
      <c r="E684" s="124" t="s">
        <v>1738</v>
      </c>
      <c r="F684" s="124" t="s">
        <v>1739</v>
      </c>
      <c r="G684" s="124" t="s">
        <v>1860</v>
      </c>
      <c r="H684" s="122" t="s">
        <v>1428</v>
      </c>
      <c r="I684" s="123">
        <v>20.54673</v>
      </c>
      <c r="J684" s="123">
        <v>-100.806952</v>
      </c>
      <c r="K684" s="122"/>
      <c r="L684" s="125" t="str">
        <f t="shared" si="33"/>
        <v>Ver en Google Maps</v>
      </c>
      <c r="M684" s="122">
        <v>2</v>
      </c>
      <c r="N684" s="130"/>
      <c r="O684" s="109"/>
      <c r="P684" s="109"/>
      <c r="Q684" s="109"/>
      <c r="R684" s="109"/>
      <c r="S684" s="109"/>
      <c r="T684" s="109"/>
      <c r="U684" s="109"/>
      <c r="V684" s="109"/>
      <c r="W684" s="109"/>
      <c r="X684" s="109"/>
      <c r="Y684" s="109"/>
      <c r="Z684" s="109"/>
      <c r="AA684" s="109"/>
      <c r="AB684" s="109"/>
      <c r="AC684" s="110"/>
      <c r="AD684" s="110"/>
      <c r="AE684" s="109"/>
      <c r="AF684" s="111"/>
    </row>
    <row r="685" spans="1:32" x14ac:dyDescent="0.2">
      <c r="A685" s="112">
        <v>1006</v>
      </c>
      <c r="B685" s="113" t="s">
        <v>1204</v>
      </c>
      <c r="C685" s="114" t="s">
        <v>87</v>
      </c>
      <c r="D685" s="114" t="s">
        <v>563</v>
      </c>
      <c r="E685" s="115" t="s">
        <v>1740</v>
      </c>
      <c r="F685" s="115" t="s">
        <v>1741</v>
      </c>
      <c r="G685" s="115" t="s">
        <v>1882</v>
      </c>
      <c r="H685" s="113" t="s">
        <v>1428</v>
      </c>
      <c r="I685" s="114">
        <v>20.510221000000001</v>
      </c>
      <c r="J685" s="114">
        <v>-100.835823</v>
      </c>
      <c r="K685" s="113"/>
      <c r="L685" s="116" t="str">
        <f t="shared" si="33"/>
        <v>Ver en Google Maps</v>
      </c>
      <c r="M685" s="113">
        <v>2</v>
      </c>
      <c r="N685" s="129"/>
      <c r="O685" s="118"/>
      <c r="P685" s="118"/>
      <c r="Q685" s="118"/>
      <c r="R685" s="118"/>
      <c r="S685" s="118"/>
      <c r="T685" s="118"/>
      <c r="U685" s="118"/>
      <c r="V685" s="118"/>
      <c r="W685" s="118"/>
      <c r="X685" s="118"/>
      <c r="Y685" s="118"/>
      <c r="Z685" s="118"/>
      <c r="AA685" s="118"/>
      <c r="AB685" s="118"/>
      <c r="AC685" s="119"/>
      <c r="AD685" s="119"/>
      <c r="AE685" s="118"/>
      <c r="AF685" s="120"/>
    </row>
    <row r="686" spans="1:32" x14ac:dyDescent="0.2">
      <c r="A686" s="121">
        <v>1011</v>
      </c>
      <c r="B686" s="122" t="s">
        <v>1204</v>
      </c>
      <c r="C686" s="123" t="s">
        <v>87</v>
      </c>
      <c r="D686" s="123" t="s">
        <v>842</v>
      </c>
      <c r="E686" s="124" t="s">
        <v>1742</v>
      </c>
      <c r="F686" s="124" t="s">
        <v>1743</v>
      </c>
      <c r="G686" s="124" t="s">
        <v>1845</v>
      </c>
      <c r="H686" s="122" t="s">
        <v>1428</v>
      </c>
      <c r="I686" s="123">
        <v>20.5261</v>
      </c>
      <c r="J686" s="123">
        <v>-100.846</v>
      </c>
      <c r="K686" s="122"/>
      <c r="L686" s="125" t="str">
        <f t="shared" si="33"/>
        <v>Ver en Google Maps</v>
      </c>
      <c r="M686" s="122">
        <v>1</v>
      </c>
      <c r="N686" s="130"/>
      <c r="O686" s="109"/>
      <c r="P686" s="109"/>
      <c r="Q686" s="109"/>
      <c r="R686" s="109"/>
      <c r="S686" s="109"/>
      <c r="T686" s="109"/>
      <c r="U686" s="109"/>
      <c r="V686" s="109"/>
      <c r="W686" s="109"/>
      <c r="X686" s="109"/>
      <c r="Y686" s="109"/>
      <c r="Z686" s="109"/>
      <c r="AA686" s="109"/>
      <c r="AB686" s="109"/>
      <c r="AC686" s="110"/>
      <c r="AD686" s="110"/>
      <c r="AE686" s="109"/>
      <c r="AF686" s="111"/>
    </row>
    <row r="687" spans="1:32" x14ac:dyDescent="0.2">
      <c r="A687" s="112">
        <v>1012</v>
      </c>
      <c r="B687" s="113" t="s">
        <v>1204</v>
      </c>
      <c r="C687" s="114" t="s">
        <v>87</v>
      </c>
      <c r="D687" s="114" t="s">
        <v>782</v>
      </c>
      <c r="E687" s="115" t="s">
        <v>1744</v>
      </c>
      <c r="F687" s="115" t="s">
        <v>1745</v>
      </c>
      <c r="G687" s="115" t="s">
        <v>1845</v>
      </c>
      <c r="H687" s="113" t="s">
        <v>1428</v>
      </c>
      <c r="I687" s="114">
        <v>20.526199999999999</v>
      </c>
      <c r="J687" s="114">
        <v>-100.846</v>
      </c>
      <c r="K687" s="113"/>
      <c r="L687" s="116" t="str">
        <f t="shared" si="33"/>
        <v>Ver en Google Maps</v>
      </c>
      <c r="M687" s="113">
        <v>4</v>
      </c>
      <c r="N687" s="129"/>
      <c r="O687" s="118"/>
      <c r="P687" s="118"/>
      <c r="Q687" s="118"/>
      <c r="R687" s="118"/>
      <c r="S687" s="118"/>
      <c r="T687" s="118"/>
      <c r="U687" s="118"/>
      <c r="V687" s="118"/>
      <c r="W687" s="118"/>
      <c r="X687" s="118"/>
      <c r="Y687" s="118"/>
      <c r="Z687" s="118"/>
      <c r="AA687" s="118"/>
      <c r="AB687" s="118"/>
      <c r="AC687" s="119"/>
      <c r="AD687" s="119"/>
      <c r="AE687" s="118"/>
      <c r="AF687" s="120"/>
    </row>
    <row r="688" spans="1:32" x14ac:dyDescent="0.2">
      <c r="A688" s="121">
        <v>1013</v>
      </c>
      <c r="B688" s="122" t="s">
        <v>1204</v>
      </c>
      <c r="C688" s="123" t="s">
        <v>87</v>
      </c>
      <c r="D688" s="123" t="s">
        <v>1746</v>
      </c>
      <c r="E688" s="124" t="s">
        <v>1747</v>
      </c>
      <c r="F688" s="124" t="s">
        <v>1745</v>
      </c>
      <c r="G688" s="124" t="s">
        <v>1845</v>
      </c>
      <c r="H688" s="122" t="s">
        <v>1428</v>
      </c>
      <c r="I688" s="123">
        <v>20.526199999999999</v>
      </c>
      <c r="J688" s="123">
        <v>-100.846</v>
      </c>
      <c r="K688" s="122"/>
      <c r="L688" s="125" t="str">
        <f t="shared" si="33"/>
        <v>Ver en Google Maps</v>
      </c>
      <c r="M688" s="122">
        <v>1</v>
      </c>
      <c r="N688" s="130"/>
      <c r="O688" s="109"/>
      <c r="P688" s="109"/>
      <c r="Q688" s="109"/>
      <c r="R688" s="109"/>
      <c r="S688" s="109"/>
      <c r="T688" s="109"/>
      <c r="U688" s="109"/>
      <c r="V688" s="109"/>
      <c r="W688" s="109"/>
      <c r="X688" s="109"/>
      <c r="Y688" s="109"/>
      <c r="Z688" s="109"/>
      <c r="AA688" s="109"/>
      <c r="AB688" s="109"/>
      <c r="AC688" s="110"/>
      <c r="AD688" s="110"/>
      <c r="AE688" s="109"/>
      <c r="AF688" s="111"/>
    </row>
    <row r="689" spans="1:32" x14ac:dyDescent="0.2">
      <c r="A689" s="112">
        <v>1021</v>
      </c>
      <c r="B689" s="113" t="s">
        <v>1204</v>
      </c>
      <c r="C689" s="114" t="s">
        <v>87</v>
      </c>
      <c r="D689" s="114" t="s">
        <v>563</v>
      </c>
      <c r="E689" s="115" t="s">
        <v>1748</v>
      </c>
      <c r="F689" s="115" t="s">
        <v>1749</v>
      </c>
      <c r="G689" s="115" t="s">
        <v>1886</v>
      </c>
      <c r="H689" s="113" t="s">
        <v>1428</v>
      </c>
      <c r="I689" s="114">
        <v>20.505694999999999</v>
      </c>
      <c r="J689" s="114">
        <v>-100.79061400000001</v>
      </c>
      <c r="K689" s="113"/>
      <c r="L689" s="116" t="str">
        <f t="shared" si="33"/>
        <v>Ver en Google Maps</v>
      </c>
      <c r="M689" s="113">
        <v>2</v>
      </c>
      <c r="N689" s="129"/>
      <c r="O689" s="118"/>
      <c r="P689" s="118"/>
      <c r="Q689" s="118"/>
      <c r="R689" s="118"/>
      <c r="S689" s="118"/>
      <c r="T689" s="118"/>
      <c r="U689" s="118"/>
      <c r="V689" s="118"/>
      <c r="W689" s="118"/>
      <c r="X689" s="118"/>
      <c r="Y689" s="118"/>
      <c r="Z689" s="118"/>
      <c r="AA689" s="118"/>
      <c r="AB689" s="118"/>
      <c r="AC689" s="119"/>
      <c r="AD689" s="119"/>
      <c r="AE689" s="118"/>
      <c r="AF689" s="120"/>
    </row>
    <row r="690" spans="1:32" x14ac:dyDescent="0.2">
      <c r="A690" s="121">
        <v>1023</v>
      </c>
      <c r="B690" s="122" t="s">
        <v>1204</v>
      </c>
      <c r="C690" s="123" t="s">
        <v>87</v>
      </c>
      <c r="D690" s="123" t="s">
        <v>782</v>
      </c>
      <c r="E690" s="124" t="s">
        <v>1750</v>
      </c>
      <c r="F690" s="124" t="s">
        <v>1751</v>
      </c>
      <c r="G690" s="124" t="s">
        <v>1794</v>
      </c>
      <c r="H690" s="122" t="s">
        <v>1428</v>
      </c>
      <c r="I690" s="123">
        <v>20.491707000000002</v>
      </c>
      <c r="J690" s="123">
        <v>-100.83602</v>
      </c>
      <c r="K690" s="122"/>
      <c r="L690" s="125" t="str">
        <f t="shared" si="33"/>
        <v>Ver en Google Maps</v>
      </c>
      <c r="M690" s="122">
        <v>3</v>
      </c>
      <c r="N690" s="130"/>
      <c r="O690" s="109"/>
      <c r="P690" s="109"/>
      <c r="Q690" s="109"/>
      <c r="R690" s="109"/>
      <c r="S690" s="109"/>
      <c r="T690" s="109"/>
      <c r="U690" s="109"/>
      <c r="V690" s="109"/>
      <c r="W690" s="109"/>
      <c r="X690" s="109"/>
      <c r="Y690" s="109"/>
      <c r="Z690" s="109"/>
      <c r="AA690" s="109"/>
      <c r="AB690" s="109"/>
      <c r="AC690" s="110"/>
      <c r="AD690" s="110"/>
      <c r="AE690" s="109"/>
      <c r="AF690" s="111"/>
    </row>
    <row r="691" spans="1:32" x14ac:dyDescent="0.2">
      <c r="A691" s="112">
        <v>1029</v>
      </c>
      <c r="B691" s="113" t="s">
        <v>1204</v>
      </c>
      <c r="C691" s="114" t="s">
        <v>87</v>
      </c>
      <c r="D691" s="114" t="s">
        <v>805</v>
      </c>
      <c r="E691" s="115" t="s">
        <v>1752</v>
      </c>
      <c r="F691" s="115" t="s">
        <v>1753</v>
      </c>
      <c r="G691" s="115" t="s">
        <v>1915</v>
      </c>
      <c r="H691" s="113" t="s">
        <v>1428</v>
      </c>
      <c r="I691" s="114">
        <v>20.545776</v>
      </c>
      <c r="J691" s="114">
        <v>-100.85337699999999</v>
      </c>
      <c r="K691" s="113"/>
      <c r="L691" s="116" t="str">
        <f t="shared" si="33"/>
        <v>Ver en Google Maps</v>
      </c>
      <c r="M691" s="113">
        <v>2</v>
      </c>
      <c r="N691" s="129"/>
      <c r="O691" s="118"/>
      <c r="P691" s="118"/>
      <c r="Q691" s="118"/>
      <c r="R691" s="118"/>
      <c r="S691" s="118"/>
      <c r="T691" s="118"/>
      <c r="U691" s="118"/>
      <c r="V691" s="118"/>
      <c r="W691" s="118"/>
      <c r="X691" s="118"/>
      <c r="Y691" s="118"/>
      <c r="Z691" s="118"/>
      <c r="AA691" s="118"/>
      <c r="AB691" s="118"/>
      <c r="AC691" s="119"/>
      <c r="AD691" s="119"/>
      <c r="AE691" s="118"/>
      <c r="AF691" s="120"/>
    </row>
    <row r="692" spans="1:32" x14ac:dyDescent="0.2">
      <c r="A692" s="121">
        <v>1045</v>
      </c>
      <c r="B692" s="122" t="s">
        <v>1204</v>
      </c>
      <c r="C692" s="123" t="s">
        <v>87</v>
      </c>
      <c r="D692" s="123" t="s">
        <v>805</v>
      </c>
      <c r="E692" s="124" t="s">
        <v>1754</v>
      </c>
      <c r="F692" s="124" t="s">
        <v>1755</v>
      </c>
      <c r="G692" s="124" t="s">
        <v>1916</v>
      </c>
      <c r="H692" s="122" t="s">
        <v>1428</v>
      </c>
      <c r="I692" s="123">
        <v>20.551490000000001</v>
      </c>
      <c r="J692" s="123">
        <v>-100.782714</v>
      </c>
      <c r="K692" s="122"/>
      <c r="L692" s="125" t="str">
        <f t="shared" si="33"/>
        <v>Ver en Google Maps</v>
      </c>
      <c r="M692" s="122">
        <v>2</v>
      </c>
      <c r="N692" s="130"/>
      <c r="O692" s="109"/>
      <c r="P692" s="109"/>
      <c r="Q692" s="109"/>
      <c r="R692" s="109"/>
      <c r="S692" s="109"/>
      <c r="T692" s="109"/>
      <c r="U692" s="109"/>
      <c r="V692" s="109"/>
      <c r="W692" s="109"/>
      <c r="X692" s="109"/>
      <c r="Y692" s="109"/>
      <c r="Z692" s="109"/>
      <c r="AA692" s="109"/>
      <c r="AB692" s="109"/>
      <c r="AC692" s="110"/>
      <c r="AD692" s="110"/>
      <c r="AE692" s="109"/>
      <c r="AF692" s="111"/>
    </row>
    <row r="693" spans="1:32" x14ac:dyDescent="0.2">
      <c r="A693" s="112">
        <v>1058</v>
      </c>
      <c r="B693" s="113" t="s">
        <v>1204</v>
      </c>
      <c r="C693" s="114" t="s">
        <v>14</v>
      </c>
      <c r="D693" s="114" t="s">
        <v>735</v>
      </c>
      <c r="E693" s="115" t="s">
        <v>1756</v>
      </c>
      <c r="F693" s="115" t="s">
        <v>1757</v>
      </c>
      <c r="G693" s="115" t="s">
        <v>1917</v>
      </c>
      <c r="H693" s="113" t="s">
        <v>1428</v>
      </c>
      <c r="I693" s="114">
        <v>20.560148000000002</v>
      </c>
      <c r="J693" s="114">
        <v>-100.864902</v>
      </c>
      <c r="K693" s="113"/>
      <c r="L693" s="116" t="str">
        <f t="shared" si="33"/>
        <v>Ver en Google Maps</v>
      </c>
      <c r="M693" s="113">
        <v>2</v>
      </c>
      <c r="N693" s="129"/>
      <c r="O693" s="118"/>
      <c r="P693" s="118"/>
      <c r="Q693" s="118"/>
      <c r="R693" s="118"/>
      <c r="S693" s="118"/>
      <c r="T693" s="118"/>
      <c r="U693" s="118"/>
      <c r="V693" s="118"/>
      <c r="W693" s="118"/>
      <c r="X693" s="118"/>
      <c r="Y693" s="118"/>
      <c r="Z693" s="118"/>
      <c r="AA693" s="118"/>
      <c r="AB693" s="118"/>
      <c r="AC693" s="119"/>
      <c r="AD693" s="119"/>
      <c r="AE693" s="118"/>
      <c r="AF693" s="120"/>
    </row>
    <row r="694" spans="1:32" x14ac:dyDescent="0.2">
      <c r="A694" s="121">
        <v>1063</v>
      </c>
      <c r="B694" s="122" t="s">
        <v>1204</v>
      </c>
      <c r="C694" s="123" t="s">
        <v>14</v>
      </c>
      <c r="D694" s="123" t="s">
        <v>735</v>
      </c>
      <c r="E694" s="124" t="s">
        <v>1758</v>
      </c>
      <c r="F694" s="124" t="s">
        <v>1759</v>
      </c>
      <c r="G694" s="124" t="s">
        <v>1780</v>
      </c>
      <c r="H694" s="122" t="s">
        <v>1428</v>
      </c>
      <c r="I694" s="123">
        <v>20.534421999999999</v>
      </c>
      <c r="J694" s="123">
        <v>-100.82099700000001</v>
      </c>
      <c r="K694" s="122"/>
      <c r="L694" s="125" t="str">
        <f t="shared" si="33"/>
        <v>Ver en Google Maps</v>
      </c>
      <c r="M694" s="122">
        <v>2</v>
      </c>
      <c r="N694" s="130"/>
      <c r="O694" s="109"/>
      <c r="P694" s="109"/>
      <c r="Q694" s="109"/>
      <c r="R694" s="109"/>
      <c r="S694" s="109"/>
      <c r="T694" s="109"/>
      <c r="U694" s="109"/>
      <c r="V694" s="109"/>
      <c r="W694" s="109"/>
      <c r="X694" s="109"/>
      <c r="Y694" s="109"/>
      <c r="Z694" s="109"/>
      <c r="AA694" s="109"/>
      <c r="AB694" s="109"/>
      <c r="AC694" s="110"/>
      <c r="AD694" s="110"/>
      <c r="AE694" s="109"/>
      <c r="AF694" s="111"/>
    </row>
    <row r="695" spans="1:32" x14ac:dyDescent="0.2">
      <c r="A695" s="112">
        <v>1069</v>
      </c>
      <c r="B695" s="113" t="s">
        <v>1204</v>
      </c>
      <c r="C695" s="114" t="s">
        <v>429</v>
      </c>
      <c r="D695" s="114" t="s">
        <v>132</v>
      </c>
      <c r="E695" s="115" t="s">
        <v>1760</v>
      </c>
      <c r="F695" s="115" t="s">
        <v>1761</v>
      </c>
      <c r="G695" s="115" t="s">
        <v>1852</v>
      </c>
      <c r="H695" s="113" t="s">
        <v>1428</v>
      </c>
      <c r="I695" s="114">
        <v>20.539380000000001</v>
      </c>
      <c r="J695" s="114">
        <v>-100.84034</v>
      </c>
      <c r="K695" s="113"/>
      <c r="L695" s="116" t="str">
        <f t="shared" si="33"/>
        <v>Ver en Google Maps</v>
      </c>
      <c r="M695" s="113">
        <v>2</v>
      </c>
      <c r="N695" s="129"/>
      <c r="O695" s="118"/>
      <c r="P695" s="118"/>
      <c r="Q695" s="118"/>
      <c r="R695" s="118"/>
      <c r="S695" s="118"/>
      <c r="T695" s="118"/>
      <c r="U695" s="118"/>
      <c r="V695" s="118"/>
      <c r="W695" s="118"/>
      <c r="X695" s="118"/>
      <c r="Y695" s="118"/>
      <c r="Z695" s="118"/>
      <c r="AA695" s="118"/>
      <c r="AB695" s="118"/>
      <c r="AC695" s="119"/>
      <c r="AD695" s="119"/>
      <c r="AE695" s="118"/>
      <c r="AF695" s="120"/>
    </row>
    <row r="696" spans="1:32" x14ac:dyDescent="0.2">
      <c r="A696" s="121">
        <v>1070</v>
      </c>
      <c r="B696" s="122" t="s">
        <v>1204</v>
      </c>
      <c r="C696" s="123" t="s">
        <v>429</v>
      </c>
      <c r="D696" s="123" t="s">
        <v>336</v>
      </c>
      <c r="E696" s="124" t="s">
        <v>1762</v>
      </c>
      <c r="F696" s="124" t="s">
        <v>1763</v>
      </c>
      <c r="G696" s="124" t="s">
        <v>1795</v>
      </c>
      <c r="H696" s="122" t="s">
        <v>1428</v>
      </c>
      <c r="I696" s="123">
        <v>20.54486</v>
      </c>
      <c r="J696" s="123">
        <v>-100.81638</v>
      </c>
      <c r="K696" s="122"/>
      <c r="L696" s="125" t="str">
        <f t="shared" si="33"/>
        <v>Ver en Google Maps</v>
      </c>
      <c r="M696" s="122">
        <v>2</v>
      </c>
      <c r="N696" s="130"/>
      <c r="O696" s="109"/>
      <c r="P696" s="109"/>
      <c r="Q696" s="109"/>
      <c r="R696" s="109"/>
      <c r="S696" s="109"/>
      <c r="T696" s="109"/>
      <c r="U696" s="109"/>
      <c r="V696" s="109"/>
      <c r="W696" s="109"/>
      <c r="X696" s="109"/>
      <c r="Y696" s="109"/>
      <c r="Z696" s="109"/>
      <c r="AA696" s="109"/>
      <c r="AB696" s="109"/>
      <c r="AC696" s="110"/>
      <c r="AD696" s="110"/>
      <c r="AE696" s="109"/>
      <c r="AF696" s="111"/>
    </row>
    <row r="697" spans="1:32" x14ac:dyDescent="0.2">
      <c r="A697" s="112">
        <v>1074</v>
      </c>
      <c r="B697" s="113" t="s">
        <v>1204</v>
      </c>
      <c r="C697" s="114" t="s">
        <v>429</v>
      </c>
      <c r="D697" s="114" t="s">
        <v>132</v>
      </c>
      <c r="E697" s="115" t="s">
        <v>1764</v>
      </c>
      <c r="F697" s="115" t="s">
        <v>1765</v>
      </c>
      <c r="G697" s="115" t="s">
        <v>1796</v>
      </c>
      <c r="H697" s="113" t="s">
        <v>1428</v>
      </c>
      <c r="I697" s="114">
        <v>20.530991</v>
      </c>
      <c r="J697" s="114">
        <v>-100.791319</v>
      </c>
      <c r="K697" s="113"/>
      <c r="L697" s="116" t="str">
        <f t="shared" si="33"/>
        <v>Ver en Google Maps</v>
      </c>
      <c r="M697" s="113">
        <v>2</v>
      </c>
      <c r="N697" s="129"/>
      <c r="O697" s="118"/>
      <c r="P697" s="118"/>
      <c r="Q697" s="118"/>
      <c r="R697" s="118"/>
      <c r="S697" s="118"/>
      <c r="T697" s="118"/>
      <c r="U697" s="118"/>
      <c r="V697" s="118"/>
      <c r="W697" s="118"/>
      <c r="X697" s="118"/>
      <c r="Y697" s="118"/>
      <c r="Z697" s="118"/>
      <c r="AA697" s="118"/>
      <c r="AB697" s="118"/>
      <c r="AC697" s="119"/>
      <c r="AD697" s="119"/>
      <c r="AE697" s="118"/>
      <c r="AF697" s="120"/>
    </row>
    <row r="698" spans="1:32" x14ac:dyDescent="0.2">
      <c r="A698" s="121">
        <v>1081</v>
      </c>
      <c r="B698" s="122" t="s">
        <v>1204</v>
      </c>
      <c r="C698" s="123" t="s">
        <v>14</v>
      </c>
      <c r="D698" s="123" t="s">
        <v>404</v>
      </c>
      <c r="E698" s="124" t="s">
        <v>1766</v>
      </c>
      <c r="F698" s="124" t="s">
        <v>1767</v>
      </c>
      <c r="G698" s="124" t="s">
        <v>1918</v>
      </c>
      <c r="H698" s="122" t="s">
        <v>1428</v>
      </c>
      <c r="I698" s="123">
        <v>20.536840000000002</v>
      </c>
      <c r="J698" s="123">
        <v>-100.81469</v>
      </c>
      <c r="K698" s="122"/>
      <c r="L698" s="125" t="str">
        <f t="shared" si="33"/>
        <v>Ver en Google Maps</v>
      </c>
      <c r="M698" s="122">
        <v>2</v>
      </c>
      <c r="N698" s="130"/>
      <c r="O698" s="109"/>
      <c r="P698" s="109"/>
      <c r="Q698" s="109"/>
      <c r="R698" s="109"/>
      <c r="S698" s="109"/>
      <c r="T698" s="109"/>
      <c r="U698" s="109"/>
      <c r="V698" s="109"/>
      <c r="W698" s="109"/>
      <c r="X698" s="109"/>
      <c r="Y698" s="109"/>
      <c r="Z698" s="109"/>
      <c r="AA698" s="109"/>
      <c r="AB698" s="109"/>
      <c r="AC698" s="110"/>
      <c r="AD698" s="110"/>
      <c r="AE698" s="109"/>
      <c r="AF698" s="111"/>
    </row>
    <row r="699" spans="1:32" x14ac:dyDescent="0.2">
      <c r="A699" s="112">
        <v>1089</v>
      </c>
      <c r="B699" s="113" t="s">
        <v>1204</v>
      </c>
      <c r="C699" s="114" t="s">
        <v>426</v>
      </c>
      <c r="D699" s="114" t="s">
        <v>404</v>
      </c>
      <c r="E699" s="115" t="s">
        <v>1768</v>
      </c>
      <c r="F699" s="115" t="s">
        <v>1769</v>
      </c>
      <c r="G699" s="115" t="s">
        <v>360</v>
      </c>
      <c r="H699" s="113" t="s">
        <v>1428</v>
      </c>
      <c r="I699" s="114">
        <v>20.521619999999999</v>
      </c>
      <c r="J699" s="114">
        <v>-100.81350500000001</v>
      </c>
      <c r="K699" s="113" t="s">
        <v>139</v>
      </c>
      <c r="L699" s="116" t="str">
        <f t="shared" si="33"/>
        <v>Ver en Google Maps</v>
      </c>
      <c r="M699" s="113">
        <v>2</v>
      </c>
      <c r="N699" s="117">
        <v>45962</v>
      </c>
      <c r="O699" s="118">
        <f>DAY('BD2'!$N699)</f>
        <v>1</v>
      </c>
      <c r="P699" s="118">
        <f>MONTH('BD2'!$N699)</f>
        <v>11</v>
      </c>
      <c r="Q699" s="118">
        <f>YEAR('BD2'!$N699)</f>
        <v>2025</v>
      </c>
      <c r="R699" s="118">
        <v>2</v>
      </c>
      <c r="S699" s="118" t="s">
        <v>138</v>
      </c>
      <c r="T699" s="118" t="s">
        <v>138</v>
      </c>
      <c r="U699" s="118" t="s">
        <v>138</v>
      </c>
      <c r="V699" s="118" t="s">
        <v>138</v>
      </c>
      <c r="W699" s="118" t="s">
        <v>138</v>
      </c>
      <c r="X699" s="118" t="s">
        <v>138</v>
      </c>
      <c r="Y699" s="118" t="s">
        <v>138</v>
      </c>
      <c r="Z699" s="118" t="str">
        <f>IF('BD2'!$AA699 &lt; 14, "no", "si")</f>
        <v>no</v>
      </c>
      <c r="AA699" s="118">
        <v>3.59</v>
      </c>
      <c r="AB699" s="118">
        <v>28.4</v>
      </c>
      <c r="AC699" s="119" t="s">
        <v>2426</v>
      </c>
      <c r="AD699" s="119" t="s">
        <v>1403</v>
      </c>
      <c r="AE699" s="118">
        <f t="shared" si="34"/>
        <v>7</v>
      </c>
      <c r="AF699" s="120" t="str">
        <f t="shared" si="35"/>
        <v>Funcional con observaciones</v>
      </c>
    </row>
    <row r="700" spans="1:32" x14ac:dyDescent="0.2">
      <c r="A700" s="121">
        <v>1092</v>
      </c>
      <c r="B700" s="122" t="s">
        <v>1204</v>
      </c>
      <c r="C700" s="123" t="s">
        <v>14</v>
      </c>
      <c r="D700" s="123" t="s">
        <v>404</v>
      </c>
      <c r="E700" s="124" t="s">
        <v>1770</v>
      </c>
      <c r="F700" s="124" t="s">
        <v>1771</v>
      </c>
      <c r="G700" s="124" t="s">
        <v>360</v>
      </c>
      <c r="H700" s="122" t="s">
        <v>1428</v>
      </c>
      <c r="I700" s="123">
        <v>20.523202999999999</v>
      </c>
      <c r="J700" s="123">
        <v>-100.815538</v>
      </c>
      <c r="K700" s="122"/>
      <c r="L700" s="125" t="str">
        <f t="shared" si="33"/>
        <v>Ver en Google Maps</v>
      </c>
      <c r="M700" s="122">
        <v>1</v>
      </c>
      <c r="N700" s="130"/>
      <c r="O700" s="109"/>
      <c r="P700" s="109"/>
      <c r="Q700" s="109"/>
      <c r="R700" s="109"/>
      <c r="S700" s="109"/>
      <c r="T700" s="109"/>
      <c r="U700" s="109"/>
      <c r="V700" s="109"/>
      <c r="W700" s="109"/>
      <c r="X700" s="109"/>
      <c r="Y700" s="109"/>
      <c r="Z700" s="109"/>
      <c r="AA700" s="109"/>
      <c r="AB700" s="109"/>
      <c r="AC700" s="110"/>
      <c r="AD700" s="110"/>
      <c r="AE700" s="109"/>
      <c r="AF700" s="111"/>
    </row>
    <row r="701" spans="1:32" x14ac:dyDescent="0.2">
      <c r="A701" s="112">
        <v>1099</v>
      </c>
      <c r="B701" s="113" t="s">
        <v>1204</v>
      </c>
      <c r="C701" s="114" t="s">
        <v>87</v>
      </c>
      <c r="D701" s="114" t="s">
        <v>1772</v>
      </c>
      <c r="E701" s="115" t="s">
        <v>1773</v>
      </c>
      <c r="F701" s="115" t="s">
        <v>1745</v>
      </c>
      <c r="G701" s="115" t="s">
        <v>1845</v>
      </c>
      <c r="H701" s="113" t="s">
        <v>1428</v>
      </c>
      <c r="I701" s="114">
        <v>20.52486</v>
      </c>
      <c r="J701" s="114">
        <v>-100.84587999999999</v>
      </c>
      <c r="K701" s="113"/>
      <c r="L701" s="116" t="str">
        <f t="shared" si="33"/>
        <v>Ver en Google Maps</v>
      </c>
      <c r="M701" s="113">
        <v>1</v>
      </c>
      <c r="N701" s="129"/>
      <c r="O701" s="118"/>
      <c r="P701" s="118"/>
      <c r="Q701" s="118"/>
      <c r="R701" s="118"/>
      <c r="S701" s="118"/>
      <c r="T701" s="118"/>
      <c r="U701" s="118"/>
      <c r="V701" s="118"/>
      <c r="W701" s="118"/>
      <c r="X701" s="118"/>
      <c r="Y701" s="118"/>
      <c r="Z701" s="118"/>
      <c r="AA701" s="118"/>
      <c r="AB701" s="118"/>
      <c r="AC701" s="119"/>
      <c r="AD701" s="119"/>
      <c r="AE701" s="118"/>
      <c r="AF701" s="120"/>
    </row>
    <row r="702" spans="1:32" x14ac:dyDescent="0.2">
      <c r="A702" s="121">
        <v>1100</v>
      </c>
      <c r="B702" s="122" t="s">
        <v>1204</v>
      </c>
      <c r="C702" s="123" t="s">
        <v>14</v>
      </c>
      <c r="D702" s="123" t="s">
        <v>404</v>
      </c>
      <c r="E702" s="124" t="s">
        <v>1774</v>
      </c>
      <c r="F702" s="124" t="s">
        <v>1775</v>
      </c>
      <c r="G702" s="124" t="s">
        <v>1105</v>
      </c>
      <c r="H702" s="122" t="s">
        <v>1428</v>
      </c>
      <c r="I702" s="123">
        <v>20.51801</v>
      </c>
      <c r="J702" s="123">
        <v>-100.81641999999999</v>
      </c>
      <c r="K702" s="122" t="s">
        <v>139</v>
      </c>
      <c r="L702" s="125" t="str">
        <f t="shared" si="33"/>
        <v>Ver en Google Maps</v>
      </c>
      <c r="M702" s="122">
        <v>1</v>
      </c>
      <c r="N702" s="108">
        <v>45962</v>
      </c>
      <c r="O702" s="109">
        <f>DAY('BD2'!$N702)</f>
        <v>1</v>
      </c>
      <c r="P702" s="109">
        <f>MONTH('BD2'!$N702)</f>
        <v>11</v>
      </c>
      <c r="Q702" s="109">
        <f>YEAR('BD2'!$N702)</f>
        <v>2025</v>
      </c>
      <c r="R702" s="109">
        <v>2</v>
      </c>
      <c r="S702" s="109" t="s">
        <v>138</v>
      </c>
      <c r="T702" s="109" t="s">
        <v>138</v>
      </c>
      <c r="U702" s="109" t="s">
        <v>138</v>
      </c>
      <c r="V702" s="109" t="s">
        <v>138</v>
      </c>
      <c r="W702" s="109" t="s">
        <v>138</v>
      </c>
      <c r="X702" s="109" t="s">
        <v>138</v>
      </c>
      <c r="Y702" s="109" t="s">
        <v>138</v>
      </c>
      <c r="Z702" s="109" t="str">
        <f>IF('BD2'!$AA702 &lt; 14, "no", "si")</f>
        <v>si</v>
      </c>
      <c r="AA702" s="109">
        <v>80</v>
      </c>
      <c r="AB702" s="109">
        <v>83.5</v>
      </c>
      <c r="AC702" s="110" t="s">
        <v>967</v>
      </c>
      <c r="AD702" s="110" t="s">
        <v>1403</v>
      </c>
      <c r="AE702" s="109">
        <f t="shared" si="34"/>
        <v>8</v>
      </c>
      <c r="AF702" s="111" t="str">
        <f t="shared" si="35"/>
        <v>Estable</v>
      </c>
    </row>
    <row r="703" spans="1:32" x14ac:dyDescent="0.2">
      <c r="A703" s="112">
        <v>1101</v>
      </c>
      <c r="B703" s="113" t="s">
        <v>1204</v>
      </c>
      <c r="C703" s="114" t="s">
        <v>429</v>
      </c>
      <c r="D703" s="114" t="s">
        <v>132</v>
      </c>
      <c r="E703" s="115" t="s">
        <v>1776</v>
      </c>
      <c r="F703" s="115" t="s">
        <v>1777</v>
      </c>
      <c r="G703" s="115" t="s">
        <v>1919</v>
      </c>
      <c r="H703" s="113" t="s">
        <v>1428</v>
      </c>
      <c r="I703" s="114">
        <v>20.546765000000001</v>
      </c>
      <c r="J703" s="114">
        <v>-100.816829</v>
      </c>
      <c r="K703" s="113"/>
      <c r="L703" s="116" t="str">
        <f t="shared" si="33"/>
        <v>Ver en Google Maps</v>
      </c>
      <c r="M703" s="113">
        <v>2</v>
      </c>
      <c r="N703" s="129"/>
      <c r="O703" s="118"/>
      <c r="P703" s="118"/>
      <c r="Q703" s="118"/>
      <c r="R703" s="118"/>
      <c r="S703" s="118"/>
      <c r="T703" s="118"/>
      <c r="U703" s="118"/>
      <c r="V703" s="118"/>
      <c r="W703" s="118"/>
      <c r="X703" s="118"/>
      <c r="Y703" s="118"/>
      <c r="Z703" s="118"/>
      <c r="AA703" s="118"/>
      <c r="AB703" s="118"/>
      <c r="AC703" s="119"/>
      <c r="AD703" s="119"/>
      <c r="AE703" s="118"/>
      <c r="AF703" s="120"/>
    </row>
    <row r="704" spans="1:32" ht="12.75" thickBot="1" x14ac:dyDescent="0.25">
      <c r="A704" s="121">
        <v>1120</v>
      </c>
      <c r="B704" s="122" t="s">
        <v>1204</v>
      </c>
      <c r="C704" s="123" t="s">
        <v>14</v>
      </c>
      <c r="D704" s="123" t="s">
        <v>404</v>
      </c>
      <c r="E704" s="124" t="s">
        <v>1778</v>
      </c>
      <c r="F704" s="124" t="s">
        <v>1779</v>
      </c>
      <c r="G704" s="124" t="s">
        <v>1143</v>
      </c>
      <c r="H704" s="122" t="s">
        <v>1428</v>
      </c>
      <c r="I704" s="123">
        <v>20.539860000000001</v>
      </c>
      <c r="J704" s="123">
        <v>-100.842017</v>
      </c>
      <c r="K704" s="122"/>
      <c r="L704" s="125" t="str">
        <f t="shared" si="33"/>
        <v>Ver en Google Maps</v>
      </c>
      <c r="M704" s="122">
        <v>1</v>
      </c>
      <c r="N704" s="130"/>
      <c r="O704" s="109"/>
      <c r="P704" s="109"/>
      <c r="Q704" s="109"/>
      <c r="R704" s="109"/>
      <c r="S704" s="109"/>
      <c r="T704" s="109"/>
      <c r="U704" s="109"/>
      <c r="V704" s="109"/>
      <c r="W704" s="109"/>
      <c r="X704" s="109"/>
      <c r="Y704" s="109"/>
      <c r="Z704" s="109"/>
      <c r="AA704" s="109"/>
      <c r="AB704" s="109"/>
      <c r="AC704" s="110"/>
      <c r="AD704" s="110"/>
      <c r="AE704" s="109"/>
      <c r="AF704" s="111"/>
    </row>
    <row r="705" spans="1:32" x14ac:dyDescent="0.2">
      <c r="A705" s="132">
        <v>54</v>
      </c>
      <c r="B705" s="133" t="s">
        <v>1204</v>
      </c>
      <c r="C705" s="134" t="s">
        <v>7</v>
      </c>
      <c r="D705" s="134" t="s">
        <v>404</v>
      </c>
      <c r="E705" s="135" t="s">
        <v>1920</v>
      </c>
      <c r="F705" s="135" t="s">
        <v>1921</v>
      </c>
      <c r="G705" s="135" t="s">
        <v>2325</v>
      </c>
      <c r="H705" s="133" t="s">
        <v>1922</v>
      </c>
      <c r="I705" s="134">
        <v>20.685507999999999</v>
      </c>
      <c r="J705" s="134">
        <v>-101.35755399999999</v>
      </c>
      <c r="K705" s="133" t="s">
        <v>139</v>
      </c>
      <c r="L705" s="136" t="str">
        <f t="shared" si="33"/>
        <v>Ver en Google Maps</v>
      </c>
      <c r="M705" s="133">
        <v>2</v>
      </c>
      <c r="N705" s="117"/>
      <c r="O705" s="118">
        <f>DAY('BD2'!$N705)</f>
        <v>0</v>
      </c>
      <c r="P705" s="118">
        <f>MONTH('BD2'!$N705)</f>
        <v>1</v>
      </c>
      <c r="Q705" s="118">
        <f>YEAR('BD2'!$N705)</f>
        <v>1900</v>
      </c>
      <c r="R705" s="118">
        <v>2</v>
      </c>
      <c r="S705" s="118" t="s">
        <v>138</v>
      </c>
      <c r="T705" s="118" t="s">
        <v>138</v>
      </c>
      <c r="U705" s="118" t="s">
        <v>138</v>
      </c>
      <c r="V705" s="118" t="s">
        <v>138</v>
      </c>
      <c r="W705" s="118" t="s">
        <v>138</v>
      </c>
      <c r="X705" s="118" t="s">
        <v>138</v>
      </c>
      <c r="Y705" s="118" t="s">
        <v>138</v>
      </c>
      <c r="Z705" s="118" t="str">
        <f>IF('BD2'!$AA705 &lt; 14, "no", "si")</f>
        <v>no</v>
      </c>
      <c r="AA705" s="118"/>
      <c r="AB705" s="118"/>
      <c r="AC705" s="119" t="s">
        <v>967</v>
      </c>
      <c r="AD705" s="119" t="s">
        <v>2436</v>
      </c>
      <c r="AE705" s="118">
        <f t="shared" si="34"/>
        <v>7</v>
      </c>
      <c r="AF705" s="120" t="str">
        <f t="shared" si="35"/>
        <v>Funcional con observaciones</v>
      </c>
    </row>
    <row r="706" spans="1:32" x14ac:dyDescent="0.2">
      <c r="A706" s="121">
        <v>55</v>
      </c>
      <c r="B706" s="122" t="s">
        <v>1204</v>
      </c>
      <c r="C706" s="123" t="s">
        <v>7</v>
      </c>
      <c r="D706" s="123" t="s">
        <v>404</v>
      </c>
      <c r="E706" s="124" t="s">
        <v>1923</v>
      </c>
      <c r="F706" s="124" t="s">
        <v>1924</v>
      </c>
      <c r="G706" s="124" t="s">
        <v>360</v>
      </c>
      <c r="H706" s="122" t="s">
        <v>1922</v>
      </c>
      <c r="I706" s="123">
        <v>20.675224</v>
      </c>
      <c r="J706" s="123">
        <v>-101.346512</v>
      </c>
      <c r="K706" s="122" t="s">
        <v>139</v>
      </c>
      <c r="L706" s="125" t="str">
        <f t="shared" si="33"/>
        <v>Ver en Google Maps</v>
      </c>
      <c r="M706" s="122">
        <v>1</v>
      </c>
      <c r="N706" s="108"/>
      <c r="O706" s="109">
        <f>DAY('BD2'!$N706)</f>
        <v>0</v>
      </c>
      <c r="P706" s="109">
        <f>MONTH('BD2'!$N706)</f>
        <v>1</v>
      </c>
      <c r="Q706" s="109">
        <f>YEAR('BD2'!$N706)</f>
        <v>1900</v>
      </c>
      <c r="R706" s="109">
        <v>2</v>
      </c>
      <c r="S706" s="109" t="s">
        <v>138</v>
      </c>
      <c r="T706" s="109" t="s">
        <v>138</v>
      </c>
      <c r="U706" s="109" t="s">
        <v>138</v>
      </c>
      <c r="V706" s="109" t="s">
        <v>138</v>
      </c>
      <c r="W706" s="109" t="s">
        <v>138</v>
      </c>
      <c r="X706" s="109" t="s">
        <v>138</v>
      </c>
      <c r="Y706" s="109" t="s">
        <v>138</v>
      </c>
      <c r="Z706" s="109" t="str">
        <f>IF('BD2'!$AA706 &lt; 14, "no", "si")</f>
        <v>no</v>
      </c>
      <c r="AA706" s="109"/>
      <c r="AB706" s="109"/>
      <c r="AC706" s="110" t="s">
        <v>2439</v>
      </c>
      <c r="AD706" s="110" t="s">
        <v>2436</v>
      </c>
      <c r="AE706" s="109">
        <f t="shared" si="34"/>
        <v>7</v>
      </c>
      <c r="AF706" s="111" t="str">
        <f t="shared" si="35"/>
        <v>Funcional con observaciones</v>
      </c>
    </row>
    <row r="707" spans="1:32" x14ac:dyDescent="0.2">
      <c r="A707" s="112">
        <v>56</v>
      </c>
      <c r="B707" s="113" t="s">
        <v>1204</v>
      </c>
      <c r="C707" s="114" t="s">
        <v>7</v>
      </c>
      <c r="D707" s="114" t="s">
        <v>404</v>
      </c>
      <c r="E707" s="115" t="s">
        <v>1925</v>
      </c>
      <c r="F707" s="115" t="s">
        <v>1926</v>
      </c>
      <c r="G707" s="115" t="s">
        <v>2326</v>
      </c>
      <c r="H707" s="113" t="s">
        <v>1922</v>
      </c>
      <c r="I707" s="114">
        <v>20.70205</v>
      </c>
      <c r="J707" s="114">
        <v>-101.367593</v>
      </c>
      <c r="K707" s="113" t="s">
        <v>139</v>
      </c>
      <c r="L707" s="116" t="str">
        <f t="shared" si="33"/>
        <v>Ver en Google Maps</v>
      </c>
      <c r="M707" s="113">
        <v>1</v>
      </c>
      <c r="N707" s="117"/>
      <c r="O707" s="118">
        <f>DAY('BD2'!$N707)</f>
        <v>0</v>
      </c>
      <c r="P707" s="118">
        <f>MONTH('BD2'!$N707)</f>
        <v>1</v>
      </c>
      <c r="Q707" s="118">
        <f>YEAR('BD2'!$N707)</f>
        <v>1900</v>
      </c>
      <c r="R707" s="118">
        <v>2</v>
      </c>
      <c r="S707" s="118" t="s">
        <v>138</v>
      </c>
      <c r="T707" s="118" t="s">
        <v>138</v>
      </c>
      <c r="U707" s="118" t="s">
        <v>138</v>
      </c>
      <c r="V707" s="118" t="s">
        <v>138</v>
      </c>
      <c r="W707" s="118" t="s">
        <v>138</v>
      </c>
      <c r="X707" s="118" t="s">
        <v>138</v>
      </c>
      <c r="Y707" s="118" t="s">
        <v>138</v>
      </c>
      <c r="Z707" s="118" t="str">
        <f>IF('BD2'!$AA707 &lt; 14, "no", "si")</f>
        <v>no</v>
      </c>
      <c r="AA707" s="118"/>
      <c r="AB707" s="118"/>
      <c r="AC707" s="119" t="s">
        <v>967</v>
      </c>
      <c r="AD707" s="119" t="s">
        <v>2436</v>
      </c>
      <c r="AE707" s="118">
        <f t="shared" si="34"/>
        <v>7</v>
      </c>
      <c r="AF707" s="120" t="str">
        <f t="shared" si="35"/>
        <v>Funcional con observaciones</v>
      </c>
    </row>
    <row r="708" spans="1:32" x14ac:dyDescent="0.2">
      <c r="A708" s="121">
        <v>57</v>
      </c>
      <c r="B708" s="122" t="s">
        <v>1204</v>
      </c>
      <c r="C708" s="123" t="s">
        <v>7</v>
      </c>
      <c r="D708" s="123" t="s">
        <v>404</v>
      </c>
      <c r="E708" s="124" t="s">
        <v>1927</v>
      </c>
      <c r="F708" s="124" t="s">
        <v>1928</v>
      </c>
      <c r="G708" s="124" t="s">
        <v>360</v>
      </c>
      <c r="H708" s="122" t="s">
        <v>1922</v>
      </c>
      <c r="I708" s="123">
        <v>20.674284</v>
      </c>
      <c r="J708" s="123">
        <v>-101.347072</v>
      </c>
      <c r="K708" s="122" t="s">
        <v>139</v>
      </c>
      <c r="L708" s="125" t="str">
        <f t="shared" si="33"/>
        <v>Ver en Google Maps</v>
      </c>
      <c r="M708" s="122">
        <v>1</v>
      </c>
      <c r="N708" s="108"/>
      <c r="O708" s="109">
        <f>DAY('BD2'!$N708)</f>
        <v>0</v>
      </c>
      <c r="P708" s="109">
        <f>MONTH('BD2'!$N708)</f>
        <v>1</v>
      </c>
      <c r="Q708" s="109">
        <f>YEAR('BD2'!$N708)</f>
        <v>1900</v>
      </c>
      <c r="R708" s="109">
        <v>2</v>
      </c>
      <c r="S708" s="109" t="s">
        <v>138</v>
      </c>
      <c r="T708" s="109" t="s">
        <v>138</v>
      </c>
      <c r="U708" s="109" t="s">
        <v>138</v>
      </c>
      <c r="V708" s="109" t="s">
        <v>138</v>
      </c>
      <c r="W708" s="109" t="s">
        <v>138</v>
      </c>
      <c r="X708" s="109" t="s">
        <v>138</v>
      </c>
      <c r="Y708" s="109" t="s">
        <v>138</v>
      </c>
      <c r="Z708" s="109" t="str">
        <f>IF('BD2'!$AA708 &lt; 14, "no", "si")</f>
        <v>no</v>
      </c>
      <c r="AA708" s="109"/>
      <c r="AB708" s="109"/>
      <c r="AC708" s="110" t="s">
        <v>967</v>
      </c>
      <c r="AD708" s="110" t="s">
        <v>2436</v>
      </c>
      <c r="AE708" s="109">
        <f t="shared" si="34"/>
        <v>7</v>
      </c>
      <c r="AF708" s="111" t="str">
        <f t="shared" ref="AF708:AF771" si="36">IF(AE708=8,"Estable",(IF(AE708=7,"Funcional con observaciones", (IF(AE708=6,"Funcional con observaciones",(IF(AE708=5,"Rendimiento bajo",(IF(AE708=4,"Parcialmente funcional",(IF(AE708=3,"Parcialmente funcional",(IF(AE708=2,"Inoperativo",(IF(AE708=1,"Inoperativo","Crítico")))))))))))))))</f>
        <v>Funcional con observaciones</v>
      </c>
    </row>
    <row r="709" spans="1:32" x14ac:dyDescent="0.2">
      <c r="A709" s="112">
        <v>58</v>
      </c>
      <c r="B709" s="113" t="s">
        <v>1204</v>
      </c>
      <c r="C709" s="114" t="s">
        <v>7</v>
      </c>
      <c r="D709" s="114" t="s">
        <v>404</v>
      </c>
      <c r="E709" s="115" t="s">
        <v>1929</v>
      </c>
      <c r="F709" s="115" t="s">
        <v>1930</v>
      </c>
      <c r="G709" s="115" t="s">
        <v>360</v>
      </c>
      <c r="H709" s="113" t="s">
        <v>1922</v>
      </c>
      <c r="I709" s="114">
        <v>20.674472000000002</v>
      </c>
      <c r="J709" s="114">
        <v>-101.348111</v>
      </c>
      <c r="K709" s="113" t="s">
        <v>139</v>
      </c>
      <c r="L709" s="116" t="str">
        <f t="shared" si="33"/>
        <v>Ver en Google Maps</v>
      </c>
      <c r="M709" s="113">
        <v>1</v>
      </c>
      <c r="N709" s="117"/>
      <c r="O709" s="118">
        <f>DAY('BD2'!$N709)</f>
        <v>0</v>
      </c>
      <c r="P709" s="118">
        <f>MONTH('BD2'!$N709)</f>
        <v>1</v>
      </c>
      <c r="Q709" s="118">
        <f>YEAR('BD2'!$N709)</f>
        <v>1900</v>
      </c>
      <c r="R709" s="118">
        <v>2</v>
      </c>
      <c r="S709" s="118" t="s">
        <v>138</v>
      </c>
      <c r="T709" s="118" t="s">
        <v>138</v>
      </c>
      <c r="U709" s="118" t="s">
        <v>138</v>
      </c>
      <c r="V709" s="118" t="s">
        <v>138</v>
      </c>
      <c r="W709" s="118" t="s">
        <v>138</v>
      </c>
      <c r="X709" s="118" t="s">
        <v>138</v>
      </c>
      <c r="Y709" s="118" t="s">
        <v>138</v>
      </c>
      <c r="Z709" s="118" t="str">
        <f>IF('BD2'!$AA709 &lt; 14, "no", "si")</f>
        <v>no</v>
      </c>
      <c r="AA709" s="118"/>
      <c r="AB709" s="118"/>
      <c r="AC709" s="119" t="s">
        <v>3026</v>
      </c>
      <c r="AD709" s="119" t="s">
        <v>2436</v>
      </c>
      <c r="AE709" s="118">
        <f t="shared" si="34"/>
        <v>7</v>
      </c>
      <c r="AF709" s="120" t="str">
        <f t="shared" si="36"/>
        <v>Funcional con observaciones</v>
      </c>
    </row>
    <row r="710" spans="1:32" x14ac:dyDescent="0.2">
      <c r="A710" s="121">
        <v>59</v>
      </c>
      <c r="B710" s="122" t="s">
        <v>1204</v>
      </c>
      <c r="C710" s="123" t="s">
        <v>7</v>
      </c>
      <c r="D710" s="123" t="s">
        <v>404</v>
      </c>
      <c r="E710" s="124" t="s">
        <v>1931</v>
      </c>
      <c r="F710" s="124" t="s">
        <v>1932</v>
      </c>
      <c r="G710" s="124" t="s">
        <v>360</v>
      </c>
      <c r="H710" s="122" t="s">
        <v>1922</v>
      </c>
      <c r="I710" s="123">
        <v>20.673721</v>
      </c>
      <c r="J710" s="123">
        <v>-101.348703</v>
      </c>
      <c r="K710" s="122" t="s">
        <v>139</v>
      </c>
      <c r="L710" s="125" t="str">
        <f t="shared" si="33"/>
        <v>Ver en Google Maps</v>
      </c>
      <c r="M710" s="122">
        <v>1</v>
      </c>
      <c r="N710" s="108"/>
      <c r="O710" s="109">
        <f>DAY('BD2'!$N710)</f>
        <v>0</v>
      </c>
      <c r="P710" s="109">
        <f>MONTH('BD2'!$N710)</f>
        <v>1</v>
      </c>
      <c r="Q710" s="109">
        <f>YEAR('BD2'!$N710)</f>
        <v>1900</v>
      </c>
      <c r="R710" s="109">
        <v>2</v>
      </c>
      <c r="S710" s="109" t="s">
        <v>138</v>
      </c>
      <c r="T710" s="109" t="s">
        <v>138</v>
      </c>
      <c r="U710" s="109" t="s">
        <v>138</v>
      </c>
      <c r="V710" s="109" t="s">
        <v>138</v>
      </c>
      <c r="W710" s="109" t="s">
        <v>138</v>
      </c>
      <c r="X710" s="109" t="s">
        <v>138</v>
      </c>
      <c r="Y710" s="109" t="s">
        <v>138</v>
      </c>
      <c r="Z710" s="109" t="str">
        <f>IF('BD2'!$AA710 &lt; 14, "no", "si")</f>
        <v>no</v>
      </c>
      <c r="AA710" s="109"/>
      <c r="AB710" s="109"/>
      <c r="AC710" s="110" t="s">
        <v>2438</v>
      </c>
      <c r="AD710" s="110" t="s">
        <v>2436</v>
      </c>
      <c r="AE710" s="109">
        <f t="shared" ref="AE710:AE767" si="37">COUNTIF(S710:Z710, "si")</f>
        <v>7</v>
      </c>
      <c r="AF710" s="111" t="str">
        <f t="shared" si="36"/>
        <v>Funcional con observaciones</v>
      </c>
    </row>
    <row r="711" spans="1:32" x14ac:dyDescent="0.2">
      <c r="A711" s="112">
        <v>60</v>
      </c>
      <c r="B711" s="113" t="s">
        <v>1204</v>
      </c>
      <c r="C711" s="114" t="s">
        <v>7</v>
      </c>
      <c r="D711" s="114" t="s">
        <v>404</v>
      </c>
      <c r="E711" s="115" t="s">
        <v>1933</v>
      </c>
      <c r="F711" s="115" t="s">
        <v>1934</v>
      </c>
      <c r="G711" s="115" t="s">
        <v>2327</v>
      </c>
      <c r="H711" s="113" t="s">
        <v>1922</v>
      </c>
      <c r="I711" s="114">
        <v>20.674233999999998</v>
      </c>
      <c r="J711" s="114">
        <v>-101.375902</v>
      </c>
      <c r="K711" s="113" t="s">
        <v>139</v>
      </c>
      <c r="L711" s="116" t="str">
        <f t="shared" si="33"/>
        <v>Ver en Google Maps</v>
      </c>
      <c r="M711" s="113">
        <v>1</v>
      </c>
      <c r="N711" s="117"/>
      <c r="O711" s="118">
        <f>DAY('BD2'!$N711)</f>
        <v>0</v>
      </c>
      <c r="P711" s="118">
        <f>MONTH('BD2'!$N711)</f>
        <v>1</v>
      </c>
      <c r="Q711" s="118">
        <f>YEAR('BD2'!$N711)</f>
        <v>1900</v>
      </c>
      <c r="R711" s="118">
        <v>2</v>
      </c>
      <c r="S711" s="118" t="s">
        <v>138</v>
      </c>
      <c r="T711" s="118" t="s">
        <v>138</v>
      </c>
      <c r="U711" s="118" t="s">
        <v>138</v>
      </c>
      <c r="V711" s="118" t="s">
        <v>138</v>
      </c>
      <c r="W711" s="118" t="s">
        <v>138</v>
      </c>
      <c r="X711" s="118" t="s">
        <v>138</v>
      </c>
      <c r="Y711" s="118" t="s">
        <v>138</v>
      </c>
      <c r="Z711" s="118" t="str">
        <f>IF('BD2'!$AA711 &lt; 14, "no", "si")</f>
        <v>no</v>
      </c>
      <c r="AA711" s="118"/>
      <c r="AB711" s="118"/>
      <c r="AC711" s="119" t="s">
        <v>967</v>
      </c>
      <c r="AD711" s="119" t="s">
        <v>2436</v>
      </c>
      <c r="AE711" s="118">
        <f t="shared" si="37"/>
        <v>7</v>
      </c>
      <c r="AF711" s="120" t="str">
        <f t="shared" si="36"/>
        <v>Funcional con observaciones</v>
      </c>
    </row>
    <row r="712" spans="1:32" x14ac:dyDescent="0.2">
      <c r="A712" s="121">
        <v>61</v>
      </c>
      <c r="B712" s="122" t="s">
        <v>1204</v>
      </c>
      <c r="C712" s="123" t="s">
        <v>7</v>
      </c>
      <c r="D712" s="123" t="s">
        <v>404</v>
      </c>
      <c r="E712" s="124" t="s">
        <v>1935</v>
      </c>
      <c r="F712" s="124" t="s">
        <v>1936</v>
      </c>
      <c r="G712" s="124" t="s">
        <v>360</v>
      </c>
      <c r="H712" s="122" t="s">
        <v>1922</v>
      </c>
      <c r="I712" s="123">
        <v>20.678899000000001</v>
      </c>
      <c r="J712" s="123">
        <v>-101.345006</v>
      </c>
      <c r="K712" s="122" t="s">
        <v>139</v>
      </c>
      <c r="L712" s="125" t="str">
        <f t="shared" si="33"/>
        <v>Ver en Google Maps</v>
      </c>
      <c r="M712" s="122">
        <v>1</v>
      </c>
      <c r="N712" s="108"/>
      <c r="O712" s="109">
        <f>DAY('BD2'!$N712)</f>
        <v>0</v>
      </c>
      <c r="P712" s="109">
        <f>MONTH('BD2'!$N712)</f>
        <v>1</v>
      </c>
      <c r="Q712" s="109">
        <f>YEAR('BD2'!$N712)</f>
        <v>1900</v>
      </c>
      <c r="R712" s="109">
        <v>2</v>
      </c>
      <c r="S712" s="109" t="s">
        <v>138</v>
      </c>
      <c r="T712" s="109" t="s">
        <v>138</v>
      </c>
      <c r="U712" s="109" t="s">
        <v>138</v>
      </c>
      <c r="V712" s="109" t="s">
        <v>138</v>
      </c>
      <c r="W712" s="109" t="s">
        <v>138</v>
      </c>
      <c r="X712" s="109" t="s">
        <v>138</v>
      </c>
      <c r="Y712" s="109" t="s">
        <v>138</v>
      </c>
      <c r="Z712" s="109" t="str">
        <f>IF('BD2'!$AA712 &lt; 14, "no", "si")</f>
        <v>no</v>
      </c>
      <c r="AA712" s="109"/>
      <c r="AB712" s="109"/>
      <c r="AC712" s="110" t="s">
        <v>2440</v>
      </c>
      <c r="AD712" s="110" t="s">
        <v>2436</v>
      </c>
      <c r="AE712" s="109">
        <f t="shared" si="37"/>
        <v>7</v>
      </c>
      <c r="AF712" s="111" t="str">
        <f t="shared" si="36"/>
        <v>Funcional con observaciones</v>
      </c>
    </row>
    <row r="713" spans="1:32" x14ac:dyDescent="0.2">
      <c r="A713" s="112">
        <v>62</v>
      </c>
      <c r="B713" s="113" t="s">
        <v>1204</v>
      </c>
      <c r="C713" s="114" t="s">
        <v>7</v>
      </c>
      <c r="D713" s="114" t="s">
        <v>404</v>
      </c>
      <c r="E713" s="115" t="s">
        <v>1937</v>
      </c>
      <c r="F713" s="115" t="s">
        <v>1938</v>
      </c>
      <c r="G713" s="115" t="s">
        <v>1897</v>
      </c>
      <c r="H713" s="113" t="s">
        <v>1922</v>
      </c>
      <c r="I713" s="114">
        <v>20.678062000000001</v>
      </c>
      <c r="J713" s="114">
        <v>-101.34539599999999</v>
      </c>
      <c r="K713" s="113" t="s">
        <v>139</v>
      </c>
      <c r="L713" s="116" t="str">
        <f t="shared" si="33"/>
        <v>Ver en Google Maps</v>
      </c>
      <c r="M713" s="113">
        <v>1</v>
      </c>
      <c r="N713" s="117"/>
      <c r="O713" s="118">
        <f>DAY('BD2'!$N713)</f>
        <v>0</v>
      </c>
      <c r="P713" s="118">
        <f>MONTH('BD2'!$N713)</f>
        <v>1</v>
      </c>
      <c r="Q713" s="118">
        <f>YEAR('BD2'!$N713)</f>
        <v>1900</v>
      </c>
      <c r="R713" s="118">
        <v>2</v>
      </c>
      <c r="S713" s="118" t="s">
        <v>138</v>
      </c>
      <c r="T713" s="118" t="s">
        <v>138</v>
      </c>
      <c r="U713" s="118" t="s">
        <v>138</v>
      </c>
      <c r="V713" s="118" t="s">
        <v>138</v>
      </c>
      <c r="W713" s="118" t="s">
        <v>138</v>
      </c>
      <c r="X713" s="118" t="s">
        <v>138</v>
      </c>
      <c r="Y713" s="118" t="s">
        <v>138</v>
      </c>
      <c r="Z713" s="118" t="str">
        <f>IF('BD2'!$AA713 &lt; 14, "no", "si")</f>
        <v>no</v>
      </c>
      <c r="AA713" s="118"/>
      <c r="AB713" s="118"/>
      <c r="AC713" s="119" t="s">
        <v>967</v>
      </c>
      <c r="AD713" s="119" t="s">
        <v>2436</v>
      </c>
      <c r="AE713" s="118">
        <f t="shared" si="37"/>
        <v>7</v>
      </c>
      <c r="AF713" s="120" t="str">
        <f t="shared" si="36"/>
        <v>Funcional con observaciones</v>
      </c>
    </row>
    <row r="714" spans="1:32" x14ac:dyDescent="0.2">
      <c r="A714" s="121" t="s">
        <v>2430</v>
      </c>
      <c r="B714" s="122" t="s">
        <v>1204</v>
      </c>
      <c r="C714" s="123" t="s">
        <v>11</v>
      </c>
      <c r="D714" s="123" t="s">
        <v>404</v>
      </c>
      <c r="E714" s="124" t="s">
        <v>1939</v>
      </c>
      <c r="F714" s="124" t="s">
        <v>1940</v>
      </c>
      <c r="G714" s="124" t="s">
        <v>2299</v>
      </c>
      <c r="H714" s="122" t="s">
        <v>1922</v>
      </c>
      <c r="I714" s="123">
        <v>20.696579</v>
      </c>
      <c r="J714" s="123">
        <v>-101.375434</v>
      </c>
      <c r="K714" s="122" t="s">
        <v>139</v>
      </c>
      <c r="L714" s="125" t="str">
        <f t="shared" ref="L714:L782" si="38">HYPERLINK("https://www.google.com/maps?q=" &amp; I714 &amp; "," &amp; J714, "Ver en Google Maps")</f>
        <v>Ver en Google Maps</v>
      </c>
      <c r="M714" s="122">
        <v>2</v>
      </c>
      <c r="N714" s="108"/>
      <c r="O714" s="109">
        <f>DAY('BD2'!$N714)</f>
        <v>0</v>
      </c>
      <c r="P714" s="109">
        <f>MONTH('BD2'!$N714)</f>
        <v>1</v>
      </c>
      <c r="Q714" s="109">
        <f>YEAR('BD2'!$N714)</f>
        <v>1900</v>
      </c>
      <c r="R714" s="109">
        <v>2</v>
      </c>
      <c r="S714" s="109" t="s">
        <v>138</v>
      </c>
      <c r="T714" s="109" t="s">
        <v>138</v>
      </c>
      <c r="U714" s="109" t="s">
        <v>138</v>
      </c>
      <c r="V714" s="109" t="s">
        <v>138</v>
      </c>
      <c r="W714" s="109" t="s">
        <v>138</v>
      </c>
      <c r="X714" s="109" t="s">
        <v>138</v>
      </c>
      <c r="Y714" s="109" t="s">
        <v>138</v>
      </c>
      <c r="Z714" s="109" t="str">
        <f>IF('BD2'!$AA714 &lt; 14, "no", "si")</f>
        <v>no</v>
      </c>
      <c r="AA714" s="109"/>
      <c r="AB714" s="109"/>
      <c r="AC714" s="110" t="s">
        <v>967</v>
      </c>
      <c r="AD714" s="110" t="s">
        <v>2436</v>
      </c>
      <c r="AE714" s="109">
        <f t="shared" si="37"/>
        <v>7</v>
      </c>
      <c r="AF714" s="111" t="str">
        <f t="shared" si="36"/>
        <v>Funcional con observaciones</v>
      </c>
    </row>
    <row r="715" spans="1:32" x14ac:dyDescent="0.2">
      <c r="A715" s="112" t="s">
        <v>2431</v>
      </c>
      <c r="B715" s="113" t="s">
        <v>1204</v>
      </c>
      <c r="C715" s="114" t="s">
        <v>11</v>
      </c>
      <c r="D715" s="114" t="s">
        <v>404</v>
      </c>
      <c r="E715" s="115" t="s">
        <v>1939</v>
      </c>
      <c r="F715" s="115" t="s">
        <v>1940</v>
      </c>
      <c r="G715" s="115" t="s">
        <v>2299</v>
      </c>
      <c r="H715" s="113" t="s">
        <v>1922</v>
      </c>
      <c r="I715" s="114">
        <v>20.696579</v>
      </c>
      <c r="J715" s="114">
        <v>-101.375434</v>
      </c>
      <c r="K715" s="113" t="s">
        <v>139</v>
      </c>
      <c r="L715" s="116" t="str">
        <f t="shared" si="38"/>
        <v>Ver en Google Maps</v>
      </c>
      <c r="M715" s="113">
        <v>2</v>
      </c>
      <c r="N715" s="117"/>
      <c r="O715" s="118">
        <f>DAY('BD2'!$N715)</f>
        <v>0</v>
      </c>
      <c r="P715" s="118">
        <f>MONTH('BD2'!$N715)</f>
        <v>1</v>
      </c>
      <c r="Q715" s="118">
        <f>YEAR('BD2'!$N715)</f>
        <v>1900</v>
      </c>
      <c r="R715" s="118">
        <v>2</v>
      </c>
      <c r="S715" s="118" t="s">
        <v>138</v>
      </c>
      <c r="T715" s="118" t="s">
        <v>138</v>
      </c>
      <c r="U715" s="118" t="s">
        <v>138</v>
      </c>
      <c r="V715" s="118" t="s">
        <v>138</v>
      </c>
      <c r="W715" s="118" t="s">
        <v>138</v>
      </c>
      <c r="X715" s="118" t="s">
        <v>138</v>
      </c>
      <c r="Y715" s="118" t="s">
        <v>138</v>
      </c>
      <c r="Z715" s="118" t="str">
        <f>IF('BD2'!$AA715 &lt; 14, "no", "si")</f>
        <v>no</v>
      </c>
      <c r="AA715" s="118"/>
      <c r="AB715" s="118"/>
      <c r="AC715" s="119" t="s">
        <v>967</v>
      </c>
      <c r="AD715" s="119" t="s">
        <v>2436</v>
      </c>
      <c r="AE715" s="118">
        <f t="shared" si="37"/>
        <v>7</v>
      </c>
      <c r="AF715" s="120" t="str">
        <f t="shared" si="36"/>
        <v>Funcional con observaciones</v>
      </c>
    </row>
    <row r="716" spans="1:32" x14ac:dyDescent="0.2">
      <c r="A716" s="121">
        <v>64</v>
      </c>
      <c r="B716" s="122" t="s">
        <v>1204</v>
      </c>
      <c r="C716" s="123" t="s">
        <v>7</v>
      </c>
      <c r="D716" s="123" t="s">
        <v>404</v>
      </c>
      <c r="E716" s="124" t="s">
        <v>1941</v>
      </c>
      <c r="F716" s="124" t="s">
        <v>1942</v>
      </c>
      <c r="G716" s="124" t="s">
        <v>360</v>
      </c>
      <c r="H716" s="122" t="s">
        <v>1922</v>
      </c>
      <c r="I716" s="123">
        <v>20.6724</v>
      </c>
      <c r="J716" s="123">
        <v>-101.346075</v>
      </c>
      <c r="K716" s="122" t="s">
        <v>139</v>
      </c>
      <c r="L716" s="125" t="str">
        <f t="shared" si="38"/>
        <v>Ver en Google Maps</v>
      </c>
      <c r="M716" s="122">
        <v>1</v>
      </c>
      <c r="N716" s="108"/>
      <c r="O716" s="109">
        <f>DAY('BD2'!$N716)</f>
        <v>0</v>
      </c>
      <c r="P716" s="109">
        <f>MONTH('BD2'!$N716)</f>
        <v>1</v>
      </c>
      <c r="Q716" s="109">
        <f>YEAR('BD2'!$N716)</f>
        <v>1900</v>
      </c>
      <c r="R716" s="109">
        <v>2</v>
      </c>
      <c r="S716" s="109" t="s">
        <v>138</v>
      </c>
      <c r="T716" s="109" t="s">
        <v>138</v>
      </c>
      <c r="U716" s="109" t="s">
        <v>138</v>
      </c>
      <c r="V716" s="109" t="s">
        <v>138</v>
      </c>
      <c r="W716" s="109" t="s">
        <v>138</v>
      </c>
      <c r="X716" s="109" t="s">
        <v>138</v>
      </c>
      <c r="Y716" s="109" t="s">
        <v>138</v>
      </c>
      <c r="Z716" s="109" t="str">
        <f>IF('BD2'!$AA716 &lt; 14, "no", "si")</f>
        <v>no</v>
      </c>
      <c r="AA716" s="109"/>
      <c r="AB716" s="109"/>
      <c r="AC716" s="110" t="s">
        <v>967</v>
      </c>
      <c r="AD716" s="110" t="s">
        <v>2436</v>
      </c>
      <c r="AE716" s="109">
        <f t="shared" si="37"/>
        <v>7</v>
      </c>
      <c r="AF716" s="111" t="str">
        <f t="shared" si="36"/>
        <v>Funcional con observaciones</v>
      </c>
    </row>
    <row r="717" spans="1:32" x14ac:dyDescent="0.2">
      <c r="A717" s="112" t="s">
        <v>2416</v>
      </c>
      <c r="B717" s="113" t="s">
        <v>1204</v>
      </c>
      <c r="C717" s="114" t="s">
        <v>7</v>
      </c>
      <c r="D717" s="114" t="s">
        <v>404</v>
      </c>
      <c r="E717" s="115" t="s">
        <v>1943</v>
      </c>
      <c r="F717" s="115" t="s">
        <v>1944</v>
      </c>
      <c r="G717" s="115" t="s">
        <v>2328</v>
      </c>
      <c r="H717" s="113" t="s">
        <v>1922</v>
      </c>
      <c r="I717" s="114">
        <v>20.646258</v>
      </c>
      <c r="J717" s="114">
        <v>-101.341145</v>
      </c>
      <c r="K717" s="113" t="s">
        <v>139</v>
      </c>
      <c r="L717" s="116" t="str">
        <f t="shared" si="38"/>
        <v>Ver en Google Maps</v>
      </c>
      <c r="M717" s="113">
        <v>1</v>
      </c>
      <c r="N717" s="117">
        <v>45962</v>
      </c>
      <c r="O717" s="118">
        <f>DAY('BD2'!$N717)</f>
        <v>1</v>
      </c>
      <c r="P717" s="118">
        <f>MONTH('BD2'!$N717)</f>
        <v>11</v>
      </c>
      <c r="Q717" s="118">
        <f>YEAR('BD2'!$N717)</f>
        <v>2025</v>
      </c>
      <c r="R717" s="118">
        <v>2</v>
      </c>
      <c r="S717" s="118" t="s">
        <v>138</v>
      </c>
      <c r="T717" s="118" t="s">
        <v>138</v>
      </c>
      <c r="U717" s="118" t="s">
        <v>138</v>
      </c>
      <c r="V717" s="118" t="s">
        <v>138</v>
      </c>
      <c r="W717" s="118" t="s">
        <v>138</v>
      </c>
      <c r="X717" s="118" t="s">
        <v>138</v>
      </c>
      <c r="Y717" s="118" t="s">
        <v>138</v>
      </c>
      <c r="Z717" s="118" t="str">
        <f>IF('BD2'!$AA717 &lt; 14, "no", "si")</f>
        <v>si</v>
      </c>
      <c r="AA717" s="118">
        <v>44.1</v>
      </c>
      <c r="AB717" s="118">
        <v>41.2</v>
      </c>
      <c r="AC717" s="119" t="s">
        <v>967</v>
      </c>
      <c r="AD717" s="119" t="s">
        <v>2436</v>
      </c>
      <c r="AE717" s="118">
        <f t="shared" si="37"/>
        <v>8</v>
      </c>
      <c r="AF717" s="120" t="str">
        <f t="shared" si="36"/>
        <v>Estable</v>
      </c>
    </row>
    <row r="718" spans="1:32" x14ac:dyDescent="0.2">
      <c r="A718" s="121" t="s">
        <v>2417</v>
      </c>
      <c r="B718" s="122" t="s">
        <v>1204</v>
      </c>
      <c r="C718" s="123" t="s">
        <v>7</v>
      </c>
      <c r="D718" s="123" t="s">
        <v>404</v>
      </c>
      <c r="E718" s="124" t="s">
        <v>1943</v>
      </c>
      <c r="F718" s="124" t="s">
        <v>1944</v>
      </c>
      <c r="G718" s="124" t="s">
        <v>2328</v>
      </c>
      <c r="H718" s="122" t="s">
        <v>1922</v>
      </c>
      <c r="I718" s="123">
        <v>20.646258</v>
      </c>
      <c r="J718" s="123">
        <v>-101.341145</v>
      </c>
      <c r="K718" s="122" t="s">
        <v>139</v>
      </c>
      <c r="L718" s="125" t="str">
        <f t="shared" si="38"/>
        <v>Ver en Google Maps</v>
      </c>
      <c r="M718" s="122">
        <v>1</v>
      </c>
      <c r="N718" s="108">
        <v>45962</v>
      </c>
      <c r="O718" s="109">
        <f>DAY('BD2'!$N718)</f>
        <v>1</v>
      </c>
      <c r="P718" s="109">
        <f>MONTH('BD2'!$N718)</f>
        <v>11</v>
      </c>
      <c r="Q718" s="109">
        <f>YEAR('BD2'!$N718)</f>
        <v>2025</v>
      </c>
      <c r="R718" s="109">
        <v>2</v>
      </c>
      <c r="S718" s="109" t="s">
        <v>138</v>
      </c>
      <c r="T718" s="109" t="s">
        <v>934</v>
      </c>
      <c r="U718" s="109" t="s">
        <v>138</v>
      </c>
      <c r="V718" s="109" t="s">
        <v>934</v>
      </c>
      <c r="W718" s="109" t="s">
        <v>138</v>
      </c>
      <c r="X718" s="109" t="s">
        <v>934</v>
      </c>
      <c r="Y718" s="109" t="s">
        <v>934</v>
      </c>
      <c r="Z718" s="109" t="str">
        <f>IF('BD2'!$AA718 &lt; 14, "no", "si")</f>
        <v>no</v>
      </c>
      <c r="AA718" s="109">
        <v>0</v>
      </c>
      <c r="AB718" s="109">
        <v>0</v>
      </c>
      <c r="AC718" s="110" t="s">
        <v>3138</v>
      </c>
      <c r="AD718" s="110" t="s">
        <v>2436</v>
      </c>
      <c r="AE718" s="109">
        <f t="shared" si="37"/>
        <v>3</v>
      </c>
      <c r="AF718" s="111" t="str">
        <f t="shared" si="36"/>
        <v>Parcialmente funcional</v>
      </c>
    </row>
    <row r="719" spans="1:32" x14ac:dyDescent="0.2">
      <c r="A719" s="112">
        <v>66</v>
      </c>
      <c r="B719" s="113" t="s">
        <v>1204</v>
      </c>
      <c r="C719" s="114" t="s">
        <v>7</v>
      </c>
      <c r="D719" s="114" t="s">
        <v>404</v>
      </c>
      <c r="E719" s="115" t="s">
        <v>1945</v>
      </c>
      <c r="F719" s="115" t="s">
        <v>1946</v>
      </c>
      <c r="G719" s="115" t="s">
        <v>2329</v>
      </c>
      <c r="H719" s="113" t="s">
        <v>1922</v>
      </c>
      <c r="I719" s="114">
        <v>20.670667000000002</v>
      </c>
      <c r="J719" s="114">
        <v>-101.347886</v>
      </c>
      <c r="K719" s="113" t="s">
        <v>139</v>
      </c>
      <c r="L719" s="116" t="str">
        <f t="shared" si="38"/>
        <v>Ver en Google Maps</v>
      </c>
      <c r="M719" s="113">
        <v>1</v>
      </c>
      <c r="N719" s="117"/>
      <c r="O719" s="118">
        <f>DAY('BD2'!$N719)</f>
        <v>0</v>
      </c>
      <c r="P719" s="118">
        <f>MONTH('BD2'!$N719)</f>
        <v>1</v>
      </c>
      <c r="Q719" s="118">
        <f>YEAR('BD2'!$N719)</f>
        <v>1900</v>
      </c>
      <c r="R719" s="118">
        <v>2</v>
      </c>
      <c r="S719" s="118" t="s">
        <v>138</v>
      </c>
      <c r="T719" s="118" t="s">
        <v>138</v>
      </c>
      <c r="U719" s="118" t="s">
        <v>138</v>
      </c>
      <c r="V719" s="118" t="s">
        <v>138</v>
      </c>
      <c r="W719" s="118" t="s">
        <v>138</v>
      </c>
      <c r="X719" s="118" t="s">
        <v>138</v>
      </c>
      <c r="Y719" s="118" t="s">
        <v>138</v>
      </c>
      <c r="Z719" s="118" t="str">
        <f>IF('BD2'!$AA719 &lt; 14, "no", "si")</f>
        <v>no</v>
      </c>
      <c r="AA719" s="118"/>
      <c r="AB719" s="118"/>
      <c r="AC719" s="119" t="s">
        <v>967</v>
      </c>
      <c r="AD719" s="119" t="s">
        <v>2436</v>
      </c>
      <c r="AE719" s="118">
        <f t="shared" si="37"/>
        <v>7</v>
      </c>
      <c r="AF719" s="120" t="str">
        <f t="shared" si="36"/>
        <v>Funcional con observaciones</v>
      </c>
    </row>
    <row r="720" spans="1:32" x14ac:dyDescent="0.2">
      <c r="A720" s="121">
        <v>67</v>
      </c>
      <c r="B720" s="122" t="s">
        <v>1204</v>
      </c>
      <c r="C720" s="123" t="s">
        <v>7</v>
      </c>
      <c r="D720" s="123" t="s">
        <v>404</v>
      </c>
      <c r="E720" s="124" t="s">
        <v>1947</v>
      </c>
      <c r="F720" s="124" t="s">
        <v>1948</v>
      </c>
      <c r="G720" s="124" t="s">
        <v>2330</v>
      </c>
      <c r="H720" s="122" t="s">
        <v>1922</v>
      </c>
      <c r="I720" s="123">
        <v>20.673235999999999</v>
      </c>
      <c r="J720" s="123">
        <v>-101.36540100000001</v>
      </c>
      <c r="K720" s="122" t="s">
        <v>139</v>
      </c>
      <c r="L720" s="125" t="str">
        <f t="shared" si="38"/>
        <v>Ver en Google Maps</v>
      </c>
      <c r="M720" s="122">
        <v>1</v>
      </c>
      <c r="N720" s="108"/>
      <c r="O720" s="109">
        <f>DAY('BD2'!$N720)</f>
        <v>0</v>
      </c>
      <c r="P720" s="109">
        <f>MONTH('BD2'!$N720)</f>
        <v>1</v>
      </c>
      <c r="Q720" s="109">
        <f>YEAR('BD2'!$N720)</f>
        <v>1900</v>
      </c>
      <c r="R720" s="109">
        <v>2</v>
      </c>
      <c r="S720" s="109" t="s">
        <v>138</v>
      </c>
      <c r="T720" s="109" t="s">
        <v>138</v>
      </c>
      <c r="U720" s="109" t="s">
        <v>138</v>
      </c>
      <c r="V720" s="109" t="s">
        <v>138</v>
      </c>
      <c r="W720" s="109" t="s">
        <v>138</v>
      </c>
      <c r="X720" s="109" t="s">
        <v>138</v>
      </c>
      <c r="Y720" s="109" t="s">
        <v>138</v>
      </c>
      <c r="Z720" s="109" t="str">
        <f>IF('BD2'!$AA720 &lt; 14, "no", "si")</f>
        <v>no</v>
      </c>
      <c r="AA720" s="109"/>
      <c r="AB720" s="109"/>
      <c r="AC720" s="110" t="s">
        <v>967</v>
      </c>
      <c r="AD720" s="110" t="s">
        <v>2436</v>
      </c>
      <c r="AE720" s="109">
        <f t="shared" si="37"/>
        <v>7</v>
      </c>
      <c r="AF720" s="111" t="str">
        <f t="shared" si="36"/>
        <v>Funcional con observaciones</v>
      </c>
    </row>
    <row r="721" spans="1:32" x14ac:dyDescent="0.2">
      <c r="A721" s="112" t="s">
        <v>2428</v>
      </c>
      <c r="B721" s="113" t="s">
        <v>1204</v>
      </c>
      <c r="C721" s="114" t="s">
        <v>11</v>
      </c>
      <c r="D721" s="114" t="s">
        <v>404</v>
      </c>
      <c r="E721" s="115" t="s">
        <v>1949</v>
      </c>
      <c r="F721" s="115" t="s">
        <v>1950</v>
      </c>
      <c r="G721" s="115" t="s">
        <v>2300</v>
      </c>
      <c r="H721" s="113" t="s">
        <v>1922</v>
      </c>
      <c r="I721" s="114">
        <v>20.655003000000001</v>
      </c>
      <c r="J721" s="114">
        <v>-101.353555</v>
      </c>
      <c r="K721" s="113" t="s">
        <v>139</v>
      </c>
      <c r="L721" s="116" t="str">
        <f t="shared" si="38"/>
        <v>Ver en Google Maps</v>
      </c>
      <c r="M721" s="113">
        <v>2</v>
      </c>
      <c r="N721" s="117"/>
      <c r="O721" s="118">
        <f>DAY('BD2'!$N721)</f>
        <v>0</v>
      </c>
      <c r="P721" s="118">
        <f>MONTH('BD2'!$N721)</f>
        <v>1</v>
      </c>
      <c r="Q721" s="118">
        <f>YEAR('BD2'!$N721)</f>
        <v>1900</v>
      </c>
      <c r="R721" s="118">
        <v>2</v>
      </c>
      <c r="S721" s="118" t="s">
        <v>138</v>
      </c>
      <c r="T721" s="118" t="s">
        <v>138</v>
      </c>
      <c r="U721" s="118" t="s">
        <v>138</v>
      </c>
      <c r="V721" s="118" t="s">
        <v>138</v>
      </c>
      <c r="W721" s="118" t="s">
        <v>138</v>
      </c>
      <c r="X721" s="118" t="s">
        <v>138</v>
      </c>
      <c r="Y721" s="118" t="s">
        <v>138</v>
      </c>
      <c r="Z721" s="118" t="str">
        <f>IF('BD2'!$AA721 &lt; 14, "no", "si")</f>
        <v>no</v>
      </c>
      <c r="AA721" s="118"/>
      <c r="AB721" s="118"/>
      <c r="AC721" s="119" t="s">
        <v>967</v>
      </c>
      <c r="AD721" s="119" t="s">
        <v>2436</v>
      </c>
      <c r="AE721" s="118">
        <f t="shared" si="37"/>
        <v>7</v>
      </c>
      <c r="AF721" s="120" t="str">
        <f t="shared" si="36"/>
        <v>Funcional con observaciones</v>
      </c>
    </row>
    <row r="722" spans="1:32" x14ac:dyDescent="0.2">
      <c r="A722" s="121" t="s">
        <v>2429</v>
      </c>
      <c r="B722" s="122" t="s">
        <v>1204</v>
      </c>
      <c r="C722" s="123" t="s">
        <v>11</v>
      </c>
      <c r="D722" s="123" t="s">
        <v>404</v>
      </c>
      <c r="E722" s="124" t="s">
        <v>1949</v>
      </c>
      <c r="F722" s="124" t="s">
        <v>1950</v>
      </c>
      <c r="G722" s="124" t="s">
        <v>2300</v>
      </c>
      <c r="H722" s="122" t="s">
        <v>1922</v>
      </c>
      <c r="I722" s="123">
        <v>20.655003000000001</v>
      </c>
      <c r="J722" s="123">
        <v>-101.353555</v>
      </c>
      <c r="K722" s="122" t="s">
        <v>139</v>
      </c>
      <c r="L722" s="125" t="str">
        <f t="shared" si="38"/>
        <v>Ver en Google Maps</v>
      </c>
      <c r="M722" s="122">
        <v>2</v>
      </c>
      <c r="N722" s="108"/>
      <c r="O722" s="109">
        <f>DAY('BD2'!$N722)</f>
        <v>0</v>
      </c>
      <c r="P722" s="109">
        <f>MONTH('BD2'!$N722)</f>
        <v>1</v>
      </c>
      <c r="Q722" s="109">
        <f>YEAR('BD2'!$N722)</f>
        <v>1900</v>
      </c>
      <c r="R722" s="109">
        <v>2</v>
      </c>
      <c r="S722" s="109" t="s">
        <v>138</v>
      </c>
      <c r="T722" s="109" t="s">
        <v>138</v>
      </c>
      <c r="U722" s="109" t="s">
        <v>138</v>
      </c>
      <c r="V722" s="109" t="s">
        <v>138</v>
      </c>
      <c r="W722" s="109" t="s">
        <v>138</v>
      </c>
      <c r="X722" s="109" t="s">
        <v>138</v>
      </c>
      <c r="Y722" s="109" t="s">
        <v>138</v>
      </c>
      <c r="Z722" s="109" t="str">
        <f>IF('BD2'!$AA722 &lt; 14, "no", "si")</f>
        <v>no</v>
      </c>
      <c r="AA722" s="109"/>
      <c r="AB722" s="109"/>
      <c r="AC722" s="110" t="s">
        <v>967</v>
      </c>
      <c r="AD722" s="110" t="s">
        <v>2436</v>
      </c>
      <c r="AE722" s="109">
        <f t="shared" si="37"/>
        <v>7</v>
      </c>
      <c r="AF722" s="111" t="str">
        <f t="shared" si="36"/>
        <v>Funcional con observaciones</v>
      </c>
    </row>
    <row r="723" spans="1:32" x14ac:dyDescent="0.2">
      <c r="A723" s="112">
        <v>69</v>
      </c>
      <c r="B723" s="113" t="s">
        <v>1204</v>
      </c>
      <c r="C723" s="114" t="s">
        <v>11</v>
      </c>
      <c r="D723" s="114" t="s">
        <v>404</v>
      </c>
      <c r="E723" s="115" t="s">
        <v>1951</v>
      </c>
      <c r="F723" s="115" t="s">
        <v>1952</v>
      </c>
      <c r="G723" s="115" t="s">
        <v>2301</v>
      </c>
      <c r="H723" s="113" t="s">
        <v>1922</v>
      </c>
      <c r="I723" s="114">
        <v>20.751035999999999</v>
      </c>
      <c r="J723" s="114">
        <v>-101.33521500000001</v>
      </c>
      <c r="K723" s="113" t="s">
        <v>139</v>
      </c>
      <c r="L723" s="116" t="str">
        <f t="shared" si="38"/>
        <v>Ver en Google Maps</v>
      </c>
      <c r="M723" s="113">
        <v>1</v>
      </c>
      <c r="N723" s="117"/>
      <c r="O723" s="118">
        <f>DAY('BD2'!$N723)</f>
        <v>0</v>
      </c>
      <c r="P723" s="118">
        <f>MONTH('BD2'!$N723)</f>
        <v>1</v>
      </c>
      <c r="Q723" s="118">
        <f>YEAR('BD2'!$N723)</f>
        <v>1900</v>
      </c>
      <c r="R723" s="118">
        <v>2</v>
      </c>
      <c r="S723" s="118" t="s">
        <v>138</v>
      </c>
      <c r="T723" s="118" t="s">
        <v>138</v>
      </c>
      <c r="U723" s="118" t="s">
        <v>138</v>
      </c>
      <c r="V723" s="118" t="s">
        <v>138</v>
      </c>
      <c r="W723" s="118" t="s">
        <v>138</v>
      </c>
      <c r="X723" s="118" t="s">
        <v>138</v>
      </c>
      <c r="Y723" s="118" t="s">
        <v>138</v>
      </c>
      <c r="Z723" s="118" t="str">
        <f>IF('BD2'!$AA723 &lt; 14, "no", "si")</f>
        <v>no</v>
      </c>
      <c r="AA723" s="118"/>
      <c r="AB723" s="118"/>
      <c r="AC723" s="119" t="s">
        <v>967</v>
      </c>
      <c r="AD723" s="119" t="s">
        <v>2436</v>
      </c>
      <c r="AE723" s="118">
        <f t="shared" si="37"/>
        <v>7</v>
      </c>
      <c r="AF723" s="120" t="str">
        <f t="shared" si="36"/>
        <v>Funcional con observaciones</v>
      </c>
    </row>
    <row r="724" spans="1:32" x14ac:dyDescent="0.2">
      <c r="A724" s="121" t="s">
        <v>2434</v>
      </c>
      <c r="B724" s="122" t="s">
        <v>1204</v>
      </c>
      <c r="C724" s="123" t="s">
        <v>7</v>
      </c>
      <c r="D724" s="123" t="s">
        <v>404</v>
      </c>
      <c r="E724" s="124" t="s">
        <v>1953</v>
      </c>
      <c r="F724" s="124" t="s">
        <v>1954</v>
      </c>
      <c r="G724" s="124" t="s">
        <v>2331</v>
      </c>
      <c r="H724" s="122" t="s">
        <v>1922</v>
      </c>
      <c r="I724" s="123">
        <v>20.704373</v>
      </c>
      <c r="J724" s="123">
        <v>-101.37708600000001</v>
      </c>
      <c r="K724" s="122" t="s">
        <v>139</v>
      </c>
      <c r="L724" s="125" t="str">
        <f t="shared" si="38"/>
        <v>Ver en Google Maps</v>
      </c>
      <c r="M724" s="122">
        <v>1</v>
      </c>
      <c r="N724" s="108"/>
      <c r="O724" s="109">
        <f>DAY('BD2'!$N724)</f>
        <v>0</v>
      </c>
      <c r="P724" s="109">
        <f>MONTH('BD2'!$N724)</f>
        <v>1</v>
      </c>
      <c r="Q724" s="109">
        <f>YEAR('BD2'!$N724)</f>
        <v>1900</v>
      </c>
      <c r="R724" s="109">
        <v>2</v>
      </c>
      <c r="S724" s="109" t="s">
        <v>138</v>
      </c>
      <c r="T724" s="109" t="s">
        <v>138</v>
      </c>
      <c r="U724" s="109" t="s">
        <v>138</v>
      </c>
      <c r="V724" s="109" t="s">
        <v>138</v>
      </c>
      <c r="W724" s="109" t="s">
        <v>138</v>
      </c>
      <c r="X724" s="109" t="s">
        <v>138</v>
      </c>
      <c r="Y724" s="109" t="s">
        <v>138</v>
      </c>
      <c r="Z724" s="109" t="str">
        <f>IF('BD2'!$AA724 &lt; 14, "no", "si")</f>
        <v>no</v>
      </c>
      <c r="AA724" s="109"/>
      <c r="AB724" s="109"/>
      <c r="AC724" s="110" t="s">
        <v>967</v>
      </c>
      <c r="AD724" s="110" t="s">
        <v>2436</v>
      </c>
      <c r="AE724" s="109">
        <f t="shared" si="37"/>
        <v>7</v>
      </c>
      <c r="AF724" s="111" t="str">
        <f t="shared" si="36"/>
        <v>Funcional con observaciones</v>
      </c>
    </row>
    <row r="725" spans="1:32" x14ac:dyDescent="0.2">
      <c r="A725" s="112" t="s">
        <v>2435</v>
      </c>
      <c r="B725" s="113" t="s">
        <v>1204</v>
      </c>
      <c r="C725" s="114" t="s">
        <v>7</v>
      </c>
      <c r="D725" s="114" t="s">
        <v>404</v>
      </c>
      <c r="E725" s="115" t="s">
        <v>1953</v>
      </c>
      <c r="F725" s="115" t="s">
        <v>1954</v>
      </c>
      <c r="G725" s="115" t="s">
        <v>2331</v>
      </c>
      <c r="H725" s="113" t="s">
        <v>1922</v>
      </c>
      <c r="I725" s="114">
        <v>20.704373</v>
      </c>
      <c r="J725" s="114">
        <v>-101.37708600000001</v>
      </c>
      <c r="K725" s="113" t="s">
        <v>139</v>
      </c>
      <c r="L725" s="116" t="str">
        <f t="shared" si="38"/>
        <v>Ver en Google Maps</v>
      </c>
      <c r="M725" s="113">
        <v>1</v>
      </c>
      <c r="N725" s="117"/>
      <c r="O725" s="118">
        <f>DAY('BD2'!$N725)</f>
        <v>0</v>
      </c>
      <c r="P725" s="118">
        <f>MONTH('BD2'!$N725)</f>
        <v>1</v>
      </c>
      <c r="Q725" s="118">
        <f>YEAR('BD2'!$N725)</f>
        <v>1900</v>
      </c>
      <c r="R725" s="118">
        <v>2</v>
      </c>
      <c r="S725" s="118" t="s">
        <v>138</v>
      </c>
      <c r="T725" s="118" t="s">
        <v>138</v>
      </c>
      <c r="U725" s="118" t="s">
        <v>138</v>
      </c>
      <c r="V725" s="118" t="s">
        <v>138</v>
      </c>
      <c r="W725" s="118" t="s">
        <v>138</v>
      </c>
      <c r="X725" s="118" t="s">
        <v>138</v>
      </c>
      <c r="Y725" s="118" t="s">
        <v>138</v>
      </c>
      <c r="Z725" s="118" t="str">
        <f>IF('BD2'!$AA725 &lt; 14, "no", "si")</f>
        <v>no</v>
      </c>
      <c r="AA725" s="118"/>
      <c r="AB725" s="118"/>
      <c r="AC725" s="119" t="s">
        <v>967</v>
      </c>
      <c r="AD725" s="119" t="s">
        <v>2436</v>
      </c>
      <c r="AE725" s="118">
        <f t="shared" si="37"/>
        <v>7</v>
      </c>
      <c r="AF725" s="120" t="str">
        <f t="shared" si="36"/>
        <v>Funcional con observaciones</v>
      </c>
    </row>
    <row r="726" spans="1:32" x14ac:dyDescent="0.2">
      <c r="A726" s="121" t="s">
        <v>2414</v>
      </c>
      <c r="B726" s="122" t="s">
        <v>1204</v>
      </c>
      <c r="C726" s="123" t="s">
        <v>7</v>
      </c>
      <c r="D726" s="123" t="s">
        <v>404</v>
      </c>
      <c r="E726" s="124" t="s">
        <v>1955</v>
      </c>
      <c r="F726" s="124" t="s">
        <v>1956</v>
      </c>
      <c r="G726" s="124" t="s">
        <v>1022</v>
      </c>
      <c r="H726" s="122" t="s">
        <v>1922</v>
      </c>
      <c r="I726" s="123">
        <v>20.656288</v>
      </c>
      <c r="J726" s="123">
        <v>-101.33118399999999</v>
      </c>
      <c r="K726" s="122" t="s">
        <v>139</v>
      </c>
      <c r="L726" s="125" t="str">
        <f t="shared" si="38"/>
        <v>Ver en Google Maps</v>
      </c>
      <c r="M726" s="122">
        <v>2</v>
      </c>
      <c r="N726" s="108">
        <v>45962</v>
      </c>
      <c r="O726" s="109">
        <f>DAY('BD2'!$N726)</f>
        <v>1</v>
      </c>
      <c r="P726" s="109">
        <f>MONTH('BD2'!$N726)</f>
        <v>11</v>
      </c>
      <c r="Q726" s="109">
        <f>YEAR('BD2'!$N726)</f>
        <v>2025</v>
      </c>
      <c r="R726" s="109">
        <v>2</v>
      </c>
      <c r="S726" s="109" t="s">
        <v>138</v>
      </c>
      <c r="T726" s="109" t="s">
        <v>138</v>
      </c>
      <c r="U726" s="109" t="s">
        <v>138</v>
      </c>
      <c r="V726" s="109" t="s">
        <v>138</v>
      </c>
      <c r="W726" s="109" t="s">
        <v>138</v>
      </c>
      <c r="X726" s="109" t="s">
        <v>138</v>
      </c>
      <c r="Y726" s="109" t="s">
        <v>138</v>
      </c>
      <c r="Z726" s="109" t="str">
        <f>IF('BD2'!$AA726 &lt; 14, "no", "si")</f>
        <v>si</v>
      </c>
      <c r="AA726" s="109">
        <v>87</v>
      </c>
      <c r="AB726" s="109">
        <v>75.099999999999994</v>
      </c>
      <c r="AC726" s="110" t="s">
        <v>967</v>
      </c>
      <c r="AD726" s="110" t="s">
        <v>2436</v>
      </c>
      <c r="AE726" s="109">
        <f t="shared" si="37"/>
        <v>8</v>
      </c>
      <c r="AF726" s="111" t="str">
        <f t="shared" si="36"/>
        <v>Estable</v>
      </c>
    </row>
    <row r="727" spans="1:32" x14ac:dyDescent="0.2">
      <c r="A727" s="112" t="s">
        <v>2415</v>
      </c>
      <c r="B727" s="113" t="s">
        <v>1204</v>
      </c>
      <c r="C727" s="114" t="s">
        <v>7</v>
      </c>
      <c r="D727" s="114" t="s">
        <v>404</v>
      </c>
      <c r="E727" s="115" t="s">
        <v>1955</v>
      </c>
      <c r="F727" s="115" t="s">
        <v>1956</v>
      </c>
      <c r="G727" s="115" t="s">
        <v>1022</v>
      </c>
      <c r="H727" s="113" t="s">
        <v>1922</v>
      </c>
      <c r="I727" s="114">
        <v>20.656288</v>
      </c>
      <c r="J727" s="114">
        <v>-101.33118399999999</v>
      </c>
      <c r="K727" s="113" t="s">
        <v>139</v>
      </c>
      <c r="L727" s="116" t="str">
        <f t="shared" si="38"/>
        <v>Ver en Google Maps</v>
      </c>
      <c r="M727" s="113">
        <v>2</v>
      </c>
      <c r="N727" s="117">
        <v>45962</v>
      </c>
      <c r="O727" s="118">
        <f>DAY('BD2'!$N727)</f>
        <v>1</v>
      </c>
      <c r="P727" s="118">
        <f>MONTH('BD2'!$N727)</f>
        <v>11</v>
      </c>
      <c r="Q727" s="118">
        <f>YEAR('BD2'!$N727)</f>
        <v>2025</v>
      </c>
      <c r="R727" s="118">
        <v>2</v>
      </c>
      <c r="S727" s="118" t="s">
        <v>138</v>
      </c>
      <c r="T727" s="118" t="s">
        <v>138</v>
      </c>
      <c r="U727" s="118" t="s">
        <v>138</v>
      </c>
      <c r="V727" s="118" t="s">
        <v>138</v>
      </c>
      <c r="W727" s="118" t="s">
        <v>138</v>
      </c>
      <c r="X727" s="118" t="s">
        <v>138</v>
      </c>
      <c r="Y727" s="118" t="s">
        <v>138</v>
      </c>
      <c r="Z727" s="118" t="str">
        <f>IF('BD2'!$AA727 &lt; 14, "no", "si")</f>
        <v>si</v>
      </c>
      <c r="AA727" s="118">
        <v>23</v>
      </c>
      <c r="AB727" s="118">
        <v>22</v>
      </c>
      <c r="AC727" s="119" t="s">
        <v>967</v>
      </c>
      <c r="AD727" s="119" t="s">
        <v>2436</v>
      </c>
      <c r="AE727" s="118">
        <f t="shared" si="37"/>
        <v>8</v>
      </c>
      <c r="AF727" s="120" t="str">
        <f t="shared" si="36"/>
        <v>Estable</v>
      </c>
    </row>
    <row r="728" spans="1:32" x14ac:dyDescent="0.2">
      <c r="A728" s="121">
        <v>72</v>
      </c>
      <c r="B728" s="122" t="s">
        <v>1204</v>
      </c>
      <c r="C728" s="123" t="s">
        <v>7</v>
      </c>
      <c r="D728" s="123" t="s">
        <v>404</v>
      </c>
      <c r="E728" s="124" t="s">
        <v>1957</v>
      </c>
      <c r="F728" s="124" t="s">
        <v>1958</v>
      </c>
      <c r="G728" s="124" t="s">
        <v>1022</v>
      </c>
      <c r="H728" s="122" t="s">
        <v>1922</v>
      </c>
      <c r="I728" s="123">
        <v>20.654115999999998</v>
      </c>
      <c r="J728" s="123">
        <v>-101.331604</v>
      </c>
      <c r="K728" s="122" t="s">
        <v>139</v>
      </c>
      <c r="L728" s="125" t="str">
        <f t="shared" si="38"/>
        <v>Ver en Google Maps</v>
      </c>
      <c r="M728" s="122">
        <v>2</v>
      </c>
      <c r="N728" s="108">
        <v>45962</v>
      </c>
      <c r="O728" s="109">
        <f>DAY('BD2'!$N728)</f>
        <v>1</v>
      </c>
      <c r="P728" s="109">
        <f>MONTH('BD2'!$N728)</f>
        <v>11</v>
      </c>
      <c r="Q728" s="109">
        <f>YEAR('BD2'!$N728)</f>
        <v>2025</v>
      </c>
      <c r="R728" s="109">
        <v>2</v>
      </c>
      <c r="S728" s="109" t="s">
        <v>138</v>
      </c>
      <c r="T728" s="109" t="s">
        <v>138</v>
      </c>
      <c r="U728" s="109" t="s">
        <v>138</v>
      </c>
      <c r="V728" s="109" t="s">
        <v>138</v>
      </c>
      <c r="W728" s="109" t="s">
        <v>138</v>
      </c>
      <c r="X728" s="109" t="s">
        <v>138</v>
      </c>
      <c r="Y728" s="109" t="s">
        <v>138</v>
      </c>
      <c r="Z728" s="109" t="str">
        <f>IF('BD2'!$AA728 &lt; 14, "no", "si")</f>
        <v>si</v>
      </c>
      <c r="AA728" s="109">
        <v>44.3</v>
      </c>
      <c r="AB728" s="109">
        <v>46.9</v>
      </c>
      <c r="AC728" s="110" t="s">
        <v>967</v>
      </c>
      <c r="AD728" s="110" t="s">
        <v>2436</v>
      </c>
      <c r="AE728" s="109">
        <f t="shared" si="37"/>
        <v>8</v>
      </c>
      <c r="AF728" s="111" t="str">
        <f t="shared" si="36"/>
        <v>Estable</v>
      </c>
    </row>
    <row r="729" spans="1:32" x14ac:dyDescent="0.2">
      <c r="A729" s="112">
        <v>73</v>
      </c>
      <c r="B729" s="113" t="s">
        <v>1204</v>
      </c>
      <c r="C729" s="114" t="s">
        <v>7</v>
      </c>
      <c r="D729" s="114" t="s">
        <v>404</v>
      </c>
      <c r="E729" s="115" t="s">
        <v>1959</v>
      </c>
      <c r="F729" s="115" t="s">
        <v>1960</v>
      </c>
      <c r="G729" s="115" t="s">
        <v>2302</v>
      </c>
      <c r="H729" s="113" t="s">
        <v>1922</v>
      </c>
      <c r="I729" s="114">
        <v>20.683992</v>
      </c>
      <c r="J729" s="114">
        <v>-101.387502</v>
      </c>
      <c r="K729" s="113" t="s">
        <v>139</v>
      </c>
      <c r="L729" s="116" t="str">
        <f t="shared" si="38"/>
        <v>Ver en Google Maps</v>
      </c>
      <c r="M729" s="113">
        <v>1</v>
      </c>
      <c r="N729" s="117"/>
      <c r="O729" s="118">
        <f>DAY('BD2'!$N729)</f>
        <v>0</v>
      </c>
      <c r="P729" s="118">
        <f>MONTH('BD2'!$N729)</f>
        <v>1</v>
      </c>
      <c r="Q729" s="118">
        <f>YEAR('BD2'!$N729)</f>
        <v>1900</v>
      </c>
      <c r="R729" s="118">
        <v>2</v>
      </c>
      <c r="S729" s="118" t="s">
        <v>138</v>
      </c>
      <c r="T729" s="118" t="s">
        <v>138</v>
      </c>
      <c r="U729" s="118" t="s">
        <v>138</v>
      </c>
      <c r="V729" s="118" t="s">
        <v>138</v>
      </c>
      <c r="W729" s="118" t="s">
        <v>138</v>
      </c>
      <c r="X729" s="118" t="s">
        <v>138</v>
      </c>
      <c r="Y729" s="118" t="s">
        <v>138</v>
      </c>
      <c r="Z729" s="118" t="str">
        <f>IF('BD2'!$AA729 &lt; 14, "no", "si")</f>
        <v>no</v>
      </c>
      <c r="AA729" s="118"/>
      <c r="AB729" s="118"/>
      <c r="AC729" s="119" t="s">
        <v>967</v>
      </c>
      <c r="AD729" s="119" t="s">
        <v>2436</v>
      </c>
      <c r="AE729" s="118">
        <f t="shared" si="37"/>
        <v>7</v>
      </c>
      <c r="AF729" s="120" t="str">
        <f t="shared" si="36"/>
        <v>Funcional con observaciones</v>
      </c>
    </row>
    <row r="730" spans="1:32" x14ac:dyDescent="0.2">
      <c r="A730" s="121">
        <v>74</v>
      </c>
      <c r="B730" s="122" t="s">
        <v>1204</v>
      </c>
      <c r="C730" s="123" t="s">
        <v>7</v>
      </c>
      <c r="D730" s="123" t="s">
        <v>404</v>
      </c>
      <c r="E730" s="124" t="s">
        <v>1961</v>
      </c>
      <c r="F730" s="124" t="s">
        <v>1962</v>
      </c>
      <c r="G730" s="124" t="s">
        <v>2332</v>
      </c>
      <c r="H730" s="122" t="s">
        <v>1922</v>
      </c>
      <c r="I730" s="123">
        <v>20.719676</v>
      </c>
      <c r="J730" s="123">
        <v>-101.33681199999999</v>
      </c>
      <c r="K730" s="122" t="s">
        <v>139</v>
      </c>
      <c r="L730" s="125" t="str">
        <f t="shared" si="38"/>
        <v>Ver en Google Maps</v>
      </c>
      <c r="M730" s="122">
        <v>1</v>
      </c>
      <c r="N730" s="108"/>
      <c r="O730" s="109">
        <f>DAY('BD2'!$N730)</f>
        <v>0</v>
      </c>
      <c r="P730" s="109">
        <f>MONTH('BD2'!$N730)</f>
        <v>1</v>
      </c>
      <c r="Q730" s="109">
        <f>YEAR('BD2'!$N730)</f>
        <v>1900</v>
      </c>
      <c r="R730" s="109">
        <v>2</v>
      </c>
      <c r="S730" s="109" t="s">
        <v>138</v>
      </c>
      <c r="T730" s="109" t="s">
        <v>138</v>
      </c>
      <c r="U730" s="109" t="s">
        <v>138</v>
      </c>
      <c r="V730" s="109" t="s">
        <v>138</v>
      </c>
      <c r="W730" s="109" t="s">
        <v>138</v>
      </c>
      <c r="X730" s="109" t="s">
        <v>138</v>
      </c>
      <c r="Y730" s="109" t="s">
        <v>138</v>
      </c>
      <c r="Z730" s="109" t="str">
        <f>IF('BD2'!$AA730 &lt; 14, "no", "si")</f>
        <v>no</v>
      </c>
      <c r="AA730" s="109"/>
      <c r="AB730" s="109"/>
      <c r="AC730" s="110" t="s">
        <v>967</v>
      </c>
      <c r="AD730" s="110" t="s">
        <v>2436</v>
      </c>
      <c r="AE730" s="109">
        <f t="shared" si="37"/>
        <v>7</v>
      </c>
      <c r="AF730" s="111" t="str">
        <f t="shared" si="36"/>
        <v>Funcional con observaciones</v>
      </c>
    </row>
    <row r="731" spans="1:32" x14ac:dyDescent="0.2">
      <c r="A731" s="112">
        <v>75</v>
      </c>
      <c r="B731" s="113" t="s">
        <v>1204</v>
      </c>
      <c r="C731" s="114" t="s">
        <v>14</v>
      </c>
      <c r="D731" s="114" t="s">
        <v>404</v>
      </c>
      <c r="E731" s="115" t="s">
        <v>1963</v>
      </c>
      <c r="F731" s="115" t="s">
        <v>1964</v>
      </c>
      <c r="G731" s="115" t="s">
        <v>2333</v>
      </c>
      <c r="H731" s="113" t="s">
        <v>1922</v>
      </c>
      <c r="I731" s="114">
        <v>20.691654</v>
      </c>
      <c r="J731" s="114">
        <v>-101.337124</v>
      </c>
      <c r="K731" s="113"/>
      <c r="L731" s="116" t="str">
        <f t="shared" si="38"/>
        <v>Ver en Google Maps</v>
      </c>
      <c r="M731" s="113">
        <v>1</v>
      </c>
      <c r="N731" s="129"/>
      <c r="O731" s="118"/>
      <c r="P731" s="118"/>
      <c r="Q731" s="118"/>
      <c r="R731" s="118"/>
      <c r="S731" s="118"/>
      <c r="T731" s="118"/>
      <c r="U731" s="118"/>
      <c r="V731" s="118"/>
      <c r="W731" s="118"/>
      <c r="X731" s="118"/>
      <c r="Y731" s="118"/>
      <c r="Z731" s="118"/>
      <c r="AA731" s="118"/>
      <c r="AB731" s="118"/>
      <c r="AC731" s="119"/>
      <c r="AD731" s="119"/>
      <c r="AE731" s="118"/>
      <c r="AF731" s="120"/>
    </row>
    <row r="732" spans="1:32" x14ac:dyDescent="0.2">
      <c r="A732" s="121">
        <v>78</v>
      </c>
      <c r="B732" s="122" t="s">
        <v>1204</v>
      </c>
      <c r="C732" s="123" t="s">
        <v>1449</v>
      </c>
      <c r="D732" s="123" t="s">
        <v>404</v>
      </c>
      <c r="E732" s="124" t="s">
        <v>1965</v>
      </c>
      <c r="F732" s="124" t="s">
        <v>1966</v>
      </c>
      <c r="G732" s="124" t="s">
        <v>360</v>
      </c>
      <c r="H732" s="122" t="s">
        <v>1922</v>
      </c>
      <c r="I732" s="123">
        <v>20.67381</v>
      </c>
      <c r="J732" s="123">
        <v>-101.34509</v>
      </c>
      <c r="K732" s="122"/>
      <c r="L732" s="125" t="str">
        <f t="shared" si="38"/>
        <v>Ver en Google Maps</v>
      </c>
      <c r="M732" s="122">
        <v>2</v>
      </c>
      <c r="N732" s="130"/>
      <c r="O732" s="109"/>
      <c r="P732" s="109"/>
      <c r="Q732" s="109"/>
      <c r="R732" s="109"/>
      <c r="S732" s="109"/>
      <c r="T732" s="109"/>
      <c r="U732" s="109"/>
      <c r="V732" s="109"/>
      <c r="W732" s="109"/>
      <c r="X732" s="109"/>
      <c r="Y732" s="109"/>
      <c r="Z732" s="109"/>
      <c r="AA732" s="109"/>
      <c r="AB732" s="109"/>
      <c r="AC732" s="110"/>
      <c r="AD732" s="110"/>
      <c r="AE732" s="109"/>
      <c r="AF732" s="111"/>
    </row>
    <row r="733" spans="1:32" x14ac:dyDescent="0.2">
      <c r="A733" s="112">
        <v>94</v>
      </c>
      <c r="B733" s="113" t="s">
        <v>1204</v>
      </c>
      <c r="C733" s="114" t="s">
        <v>429</v>
      </c>
      <c r="D733" s="114" t="s">
        <v>17</v>
      </c>
      <c r="E733" s="115" t="s">
        <v>1967</v>
      </c>
      <c r="F733" s="115" t="s">
        <v>1968</v>
      </c>
      <c r="G733" s="115" t="s">
        <v>2303</v>
      </c>
      <c r="H733" s="113" t="s">
        <v>1922</v>
      </c>
      <c r="I733" s="114">
        <v>20.696138999999999</v>
      </c>
      <c r="J733" s="114">
        <v>-101.338139</v>
      </c>
      <c r="K733" s="113"/>
      <c r="L733" s="116" t="str">
        <f t="shared" si="38"/>
        <v>Ver en Google Maps</v>
      </c>
      <c r="M733" s="113">
        <v>1</v>
      </c>
      <c r="N733" s="129"/>
      <c r="O733" s="118"/>
      <c r="P733" s="118"/>
      <c r="Q733" s="118"/>
      <c r="R733" s="118"/>
      <c r="S733" s="118"/>
      <c r="T733" s="118"/>
      <c r="U733" s="118"/>
      <c r="V733" s="118"/>
      <c r="W733" s="118"/>
      <c r="X733" s="118"/>
      <c r="Y733" s="118"/>
      <c r="Z733" s="118"/>
      <c r="AA733" s="118"/>
      <c r="AB733" s="118"/>
      <c r="AC733" s="119"/>
      <c r="AD733" s="119"/>
      <c r="AE733" s="118"/>
      <c r="AF733" s="120"/>
    </row>
    <row r="734" spans="1:32" x14ac:dyDescent="0.2">
      <c r="A734" s="121">
        <v>100</v>
      </c>
      <c r="B734" s="122" t="s">
        <v>1204</v>
      </c>
      <c r="C734" s="123" t="s">
        <v>429</v>
      </c>
      <c r="D734" s="123" t="s">
        <v>15</v>
      </c>
      <c r="E734" s="124" t="s">
        <v>1969</v>
      </c>
      <c r="F734" s="124" t="s">
        <v>1970</v>
      </c>
      <c r="G734" s="124" t="s">
        <v>2304</v>
      </c>
      <c r="H734" s="122" t="s">
        <v>1922</v>
      </c>
      <c r="I734" s="123">
        <v>20.662015</v>
      </c>
      <c r="J734" s="123">
        <v>-101.338684</v>
      </c>
      <c r="K734" s="122"/>
      <c r="L734" s="125" t="str">
        <f t="shared" si="38"/>
        <v>Ver en Google Maps</v>
      </c>
      <c r="M734" s="122">
        <v>2</v>
      </c>
      <c r="N734" s="130"/>
      <c r="O734" s="109"/>
      <c r="P734" s="109"/>
      <c r="Q734" s="109"/>
      <c r="R734" s="109"/>
      <c r="S734" s="109"/>
      <c r="T734" s="109"/>
      <c r="U734" s="109"/>
      <c r="V734" s="109"/>
      <c r="W734" s="109"/>
      <c r="X734" s="109"/>
      <c r="Y734" s="109"/>
      <c r="Z734" s="109"/>
      <c r="AA734" s="109"/>
      <c r="AB734" s="109"/>
      <c r="AC734" s="110"/>
      <c r="AD734" s="110"/>
      <c r="AE734" s="109"/>
      <c r="AF734" s="111"/>
    </row>
    <row r="735" spans="1:32" x14ac:dyDescent="0.2">
      <c r="A735" s="112">
        <v>103</v>
      </c>
      <c r="B735" s="113" t="s">
        <v>1204</v>
      </c>
      <c r="C735" s="114" t="s">
        <v>429</v>
      </c>
      <c r="D735" s="114" t="s">
        <v>15</v>
      </c>
      <c r="E735" s="115" t="s">
        <v>1971</v>
      </c>
      <c r="F735" s="115" t="s">
        <v>1972</v>
      </c>
      <c r="G735" s="115" t="s">
        <v>2334</v>
      </c>
      <c r="H735" s="113" t="s">
        <v>1922</v>
      </c>
      <c r="I735" s="114">
        <v>20.683682999999998</v>
      </c>
      <c r="J735" s="114">
        <v>-101.396224</v>
      </c>
      <c r="K735" s="113"/>
      <c r="L735" s="116" t="str">
        <f t="shared" si="38"/>
        <v>Ver en Google Maps</v>
      </c>
      <c r="M735" s="113">
        <v>2</v>
      </c>
      <c r="N735" s="129"/>
      <c r="O735" s="118"/>
      <c r="P735" s="118"/>
      <c r="Q735" s="118"/>
      <c r="R735" s="118"/>
      <c r="S735" s="118"/>
      <c r="T735" s="118"/>
      <c r="U735" s="118"/>
      <c r="V735" s="118"/>
      <c r="W735" s="118"/>
      <c r="X735" s="118"/>
      <c r="Y735" s="118"/>
      <c r="Z735" s="118"/>
      <c r="AA735" s="118"/>
      <c r="AB735" s="118"/>
      <c r="AC735" s="119"/>
      <c r="AD735" s="119"/>
      <c r="AE735" s="118"/>
      <c r="AF735" s="120"/>
    </row>
    <row r="736" spans="1:32" x14ac:dyDescent="0.2">
      <c r="A736" s="121">
        <v>105</v>
      </c>
      <c r="B736" s="122" t="s">
        <v>1204</v>
      </c>
      <c r="C736" s="123" t="s">
        <v>429</v>
      </c>
      <c r="D736" s="123" t="s">
        <v>15</v>
      </c>
      <c r="E736" s="124" t="s">
        <v>1973</v>
      </c>
      <c r="F736" s="124" t="s">
        <v>1974</v>
      </c>
      <c r="G736" s="124" t="s">
        <v>2335</v>
      </c>
      <c r="H736" s="122" t="s">
        <v>1922</v>
      </c>
      <c r="I736" s="123">
        <v>20.695644999999999</v>
      </c>
      <c r="J736" s="123">
        <v>-101.345337</v>
      </c>
      <c r="K736" s="122"/>
      <c r="L736" s="125" t="str">
        <f t="shared" si="38"/>
        <v>Ver en Google Maps</v>
      </c>
      <c r="M736" s="122">
        <v>2</v>
      </c>
      <c r="N736" s="130"/>
      <c r="O736" s="109"/>
      <c r="P736" s="109"/>
      <c r="Q736" s="109"/>
      <c r="R736" s="109"/>
      <c r="S736" s="109"/>
      <c r="T736" s="109"/>
      <c r="U736" s="109"/>
      <c r="V736" s="109"/>
      <c r="W736" s="109"/>
      <c r="X736" s="109"/>
      <c r="Y736" s="109"/>
      <c r="Z736" s="109"/>
      <c r="AA736" s="109"/>
      <c r="AB736" s="109"/>
      <c r="AC736" s="110"/>
      <c r="AD736" s="110"/>
      <c r="AE736" s="109"/>
      <c r="AF736" s="111"/>
    </row>
    <row r="737" spans="1:32" x14ac:dyDescent="0.2">
      <c r="A737" s="112">
        <v>111</v>
      </c>
      <c r="B737" s="113" t="s">
        <v>1204</v>
      </c>
      <c r="C737" s="114" t="s">
        <v>429</v>
      </c>
      <c r="D737" s="114" t="s">
        <v>15</v>
      </c>
      <c r="E737" s="115" t="s">
        <v>1975</v>
      </c>
      <c r="F737" s="115" t="s">
        <v>1976</v>
      </c>
      <c r="G737" s="115" t="s">
        <v>2336</v>
      </c>
      <c r="H737" s="113" t="s">
        <v>1922</v>
      </c>
      <c r="I737" s="114">
        <v>20.700389999999999</v>
      </c>
      <c r="J737" s="114">
        <v>-101.36711</v>
      </c>
      <c r="K737" s="113"/>
      <c r="L737" s="116" t="str">
        <f t="shared" si="38"/>
        <v>Ver en Google Maps</v>
      </c>
      <c r="M737" s="113">
        <v>2</v>
      </c>
      <c r="N737" s="129"/>
      <c r="O737" s="118"/>
      <c r="P737" s="118"/>
      <c r="Q737" s="118"/>
      <c r="R737" s="118"/>
      <c r="S737" s="118"/>
      <c r="T737" s="118"/>
      <c r="U737" s="118"/>
      <c r="V737" s="118"/>
      <c r="W737" s="118"/>
      <c r="X737" s="118"/>
      <c r="Y737" s="118"/>
      <c r="Z737" s="118"/>
      <c r="AA737" s="118"/>
      <c r="AB737" s="118"/>
      <c r="AC737" s="119"/>
      <c r="AD737" s="119"/>
      <c r="AE737" s="118"/>
      <c r="AF737" s="120"/>
    </row>
    <row r="738" spans="1:32" x14ac:dyDescent="0.2">
      <c r="A738" s="121">
        <v>125</v>
      </c>
      <c r="B738" s="122" t="s">
        <v>1204</v>
      </c>
      <c r="C738" s="123" t="s">
        <v>429</v>
      </c>
      <c r="D738" s="123" t="s">
        <v>17</v>
      </c>
      <c r="E738" s="124" t="s">
        <v>1977</v>
      </c>
      <c r="F738" s="124" t="s">
        <v>1978</v>
      </c>
      <c r="G738" s="124" t="s">
        <v>2337</v>
      </c>
      <c r="H738" s="122" t="s">
        <v>1922</v>
      </c>
      <c r="I738" s="123">
        <v>20.658940000000001</v>
      </c>
      <c r="J738" s="123">
        <v>-101.34289</v>
      </c>
      <c r="K738" s="122"/>
      <c r="L738" s="125" t="str">
        <f t="shared" si="38"/>
        <v>Ver en Google Maps</v>
      </c>
      <c r="M738" s="122">
        <v>1</v>
      </c>
      <c r="N738" s="130"/>
      <c r="O738" s="109"/>
      <c r="P738" s="109"/>
      <c r="Q738" s="109"/>
      <c r="R738" s="109"/>
      <c r="S738" s="109"/>
      <c r="T738" s="109"/>
      <c r="U738" s="109"/>
      <c r="V738" s="109"/>
      <c r="W738" s="109"/>
      <c r="X738" s="109"/>
      <c r="Y738" s="109"/>
      <c r="Z738" s="109"/>
      <c r="AA738" s="109"/>
      <c r="AB738" s="109"/>
      <c r="AC738" s="110"/>
      <c r="AD738" s="110"/>
      <c r="AE738" s="109"/>
      <c r="AF738" s="111"/>
    </row>
    <row r="739" spans="1:32" x14ac:dyDescent="0.2">
      <c r="A739" s="112">
        <v>130</v>
      </c>
      <c r="B739" s="113" t="s">
        <v>1204</v>
      </c>
      <c r="C739" s="114" t="s">
        <v>14</v>
      </c>
      <c r="D739" s="114" t="s">
        <v>404</v>
      </c>
      <c r="E739" s="115" t="s">
        <v>1979</v>
      </c>
      <c r="F739" s="115" t="s">
        <v>1980</v>
      </c>
      <c r="G739" s="115" t="s">
        <v>1022</v>
      </c>
      <c r="H739" s="113" t="s">
        <v>1922</v>
      </c>
      <c r="I739" s="114">
        <v>20.655767000000001</v>
      </c>
      <c r="J739" s="114">
        <v>-101.33041799999999</v>
      </c>
      <c r="K739" s="113" t="s">
        <v>139</v>
      </c>
      <c r="L739" s="116" t="str">
        <f t="shared" si="38"/>
        <v>Ver en Google Maps</v>
      </c>
      <c r="M739" s="113">
        <v>1</v>
      </c>
      <c r="N739" s="117">
        <v>45962</v>
      </c>
      <c r="O739" s="118">
        <f>DAY('BD2'!$N739)</f>
        <v>1</v>
      </c>
      <c r="P739" s="118">
        <f>MONTH('BD2'!$N739)</f>
        <v>11</v>
      </c>
      <c r="Q739" s="118">
        <f>YEAR('BD2'!$N739)</f>
        <v>2025</v>
      </c>
      <c r="R739" s="118">
        <v>2</v>
      </c>
      <c r="S739" s="118" t="s">
        <v>138</v>
      </c>
      <c r="T739" s="118" t="s">
        <v>138</v>
      </c>
      <c r="U739" s="118" t="s">
        <v>138</v>
      </c>
      <c r="V739" s="118" t="s">
        <v>138</v>
      </c>
      <c r="W739" s="118" t="s">
        <v>138</v>
      </c>
      <c r="X739" s="118" t="s">
        <v>138</v>
      </c>
      <c r="Y739" s="118" t="s">
        <v>138</v>
      </c>
      <c r="Z739" s="118" t="str">
        <f>IF('BD2'!$AA739 &lt; 14, "no", "si")</f>
        <v>si</v>
      </c>
      <c r="AA739" s="118">
        <v>30.3</v>
      </c>
      <c r="AB739" s="118">
        <v>79.5</v>
      </c>
      <c r="AC739" s="119" t="s">
        <v>967</v>
      </c>
      <c r="AD739" s="119" t="s">
        <v>2436</v>
      </c>
      <c r="AE739" s="118">
        <f t="shared" si="37"/>
        <v>8</v>
      </c>
      <c r="AF739" s="120" t="str">
        <f t="shared" si="36"/>
        <v>Estable</v>
      </c>
    </row>
    <row r="740" spans="1:32" x14ac:dyDescent="0.2">
      <c r="A740" s="121">
        <v>135</v>
      </c>
      <c r="B740" s="122" t="s">
        <v>1204</v>
      </c>
      <c r="C740" s="123" t="s">
        <v>429</v>
      </c>
      <c r="D740" s="123" t="s">
        <v>17</v>
      </c>
      <c r="E740" s="124" t="s">
        <v>1981</v>
      </c>
      <c r="F740" s="124" t="s">
        <v>1982</v>
      </c>
      <c r="G740" s="124" t="s">
        <v>2338</v>
      </c>
      <c r="H740" s="122" t="s">
        <v>1922</v>
      </c>
      <c r="I740" s="123">
        <v>20.69914</v>
      </c>
      <c r="J740" s="123">
        <v>-101.34802999999999</v>
      </c>
      <c r="K740" s="122"/>
      <c r="L740" s="125" t="str">
        <f t="shared" si="38"/>
        <v>Ver en Google Maps</v>
      </c>
      <c r="M740" s="122">
        <v>1</v>
      </c>
      <c r="N740" s="130"/>
      <c r="O740" s="109"/>
      <c r="P740" s="109"/>
      <c r="Q740" s="109"/>
      <c r="R740" s="109"/>
      <c r="S740" s="109"/>
      <c r="T740" s="109"/>
      <c r="U740" s="109"/>
      <c r="V740" s="109"/>
      <c r="W740" s="109"/>
      <c r="X740" s="109"/>
      <c r="Y740" s="109"/>
      <c r="Z740" s="109"/>
      <c r="AA740" s="109"/>
      <c r="AB740" s="109"/>
      <c r="AC740" s="110"/>
      <c r="AD740" s="110"/>
      <c r="AE740" s="109"/>
      <c r="AF740" s="111"/>
    </row>
    <row r="741" spans="1:32" x14ac:dyDescent="0.2">
      <c r="A741" s="112">
        <v>137</v>
      </c>
      <c r="B741" s="113" t="s">
        <v>1204</v>
      </c>
      <c r="C741" s="114" t="s">
        <v>429</v>
      </c>
      <c r="D741" s="114" t="s">
        <v>17</v>
      </c>
      <c r="E741" s="115" t="s">
        <v>1983</v>
      </c>
      <c r="F741" s="115" t="s">
        <v>1984</v>
      </c>
      <c r="G741" s="115" t="s">
        <v>2299</v>
      </c>
      <c r="H741" s="113" t="s">
        <v>1922</v>
      </c>
      <c r="I741" s="114">
        <v>20.695167000000001</v>
      </c>
      <c r="J741" s="114">
        <v>-101.37064700000001</v>
      </c>
      <c r="K741" s="113"/>
      <c r="L741" s="116" t="str">
        <f t="shared" si="38"/>
        <v>Ver en Google Maps</v>
      </c>
      <c r="M741" s="113">
        <v>1</v>
      </c>
      <c r="N741" s="129"/>
      <c r="O741" s="118"/>
      <c r="P741" s="118"/>
      <c r="Q741" s="118"/>
      <c r="R741" s="118"/>
      <c r="S741" s="118"/>
      <c r="T741" s="118"/>
      <c r="U741" s="118"/>
      <c r="V741" s="118"/>
      <c r="W741" s="118"/>
      <c r="X741" s="118"/>
      <c r="Y741" s="118"/>
      <c r="Z741" s="118"/>
      <c r="AA741" s="118"/>
      <c r="AB741" s="118"/>
      <c r="AC741" s="119"/>
      <c r="AD741" s="119"/>
      <c r="AE741" s="118"/>
      <c r="AF741" s="120"/>
    </row>
    <row r="742" spans="1:32" x14ac:dyDescent="0.2">
      <c r="A742" s="121">
        <v>138</v>
      </c>
      <c r="B742" s="122" t="s">
        <v>1204</v>
      </c>
      <c r="C742" s="123" t="s">
        <v>429</v>
      </c>
      <c r="D742" s="123" t="s">
        <v>17</v>
      </c>
      <c r="E742" s="124" t="s">
        <v>1985</v>
      </c>
      <c r="F742" s="124" t="s">
        <v>1986</v>
      </c>
      <c r="G742" s="124" t="s">
        <v>2339</v>
      </c>
      <c r="H742" s="122" t="s">
        <v>1922</v>
      </c>
      <c r="I742" s="123">
        <v>20.661280000000001</v>
      </c>
      <c r="J742" s="123">
        <v>-101.3535</v>
      </c>
      <c r="K742" s="122"/>
      <c r="L742" s="125" t="str">
        <f t="shared" si="38"/>
        <v>Ver en Google Maps</v>
      </c>
      <c r="M742" s="122">
        <v>1</v>
      </c>
      <c r="N742" s="130"/>
      <c r="O742" s="109"/>
      <c r="P742" s="109"/>
      <c r="Q742" s="109"/>
      <c r="R742" s="109"/>
      <c r="S742" s="109"/>
      <c r="T742" s="109"/>
      <c r="U742" s="109"/>
      <c r="V742" s="109"/>
      <c r="W742" s="109"/>
      <c r="X742" s="109"/>
      <c r="Y742" s="109"/>
      <c r="Z742" s="109"/>
      <c r="AA742" s="109"/>
      <c r="AB742" s="109"/>
      <c r="AC742" s="110"/>
      <c r="AD742" s="110"/>
      <c r="AE742" s="109"/>
      <c r="AF742" s="111"/>
    </row>
    <row r="743" spans="1:32" x14ac:dyDescent="0.2">
      <c r="A743" s="112">
        <v>143</v>
      </c>
      <c r="B743" s="113" t="s">
        <v>1204</v>
      </c>
      <c r="C743" s="114" t="s">
        <v>429</v>
      </c>
      <c r="D743" s="114" t="s">
        <v>17</v>
      </c>
      <c r="E743" s="115" t="s">
        <v>1987</v>
      </c>
      <c r="F743" s="115" t="s">
        <v>1988</v>
      </c>
      <c r="G743" s="115" t="s">
        <v>2327</v>
      </c>
      <c r="H743" s="113" t="s">
        <v>1922</v>
      </c>
      <c r="I743" s="114">
        <v>20.671970000000002</v>
      </c>
      <c r="J743" s="114">
        <v>-101.37739000000001</v>
      </c>
      <c r="K743" s="113" t="s">
        <v>139</v>
      </c>
      <c r="L743" s="116" t="str">
        <f t="shared" si="38"/>
        <v>Ver en Google Maps</v>
      </c>
      <c r="M743" s="113">
        <v>1</v>
      </c>
      <c r="N743" s="117"/>
      <c r="O743" s="118">
        <f>DAY('BD2'!$N743)</f>
        <v>0</v>
      </c>
      <c r="P743" s="118">
        <f>MONTH('BD2'!$N743)</f>
        <v>1</v>
      </c>
      <c r="Q743" s="118">
        <f>YEAR('BD2'!$N743)</f>
        <v>1900</v>
      </c>
      <c r="R743" s="118">
        <v>2</v>
      </c>
      <c r="S743" s="118" t="s">
        <v>138</v>
      </c>
      <c r="T743" s="118" t="s">
        <v>138</v>
      </c>
      <c r="U743" s="118" t="s">
        <v>138</v>
      </c>
      <c r="V743" s="118" t="s">
        <v>138</v>
      </c>
      <c r="W743" s="118" t="s">
        <v>138</v>
      </c>
      <c r="X743" s="118" t="s">
        <v>138</v>
      </c>
      <c r="Y743" s="118" t="s">
        <v>138</v>
      </c>
      <c r="Z743" s="118" t="str">
        <f>IF('BD2'!$AA743 &lt; 14, "no", "si")</f>
        <v>no</v>
      </c>
      <c r="AA743" s="118"/>
      <c r="AB743" s="118"/>
      <c r="AC743" s="119" t="s">
        <v>967</v>
      </c>
      <c r="AD743" s="119" t="s">
        <v>2436</v>
      </c>
      <c r="AE743" s="118">
        <f t="shared" si="37"/>
        <v>7</v>
      </c>
      <c r="AF743" s="120" t="str">
        <f t="shared" si="36"/>
        <v>Funcional con observaciones</v>
      </c>
    </row>
    <row r="744" spans="1:32" x14ac:dyDescent="0.2">
      <c r="A744" s="121">
        <v>145</v>
      </c>
      <c r="B744" s="122" t="s">
        <v>1204</v>
      </c>
      <c r="C744" s="123" t="s">
        <v>429</v>
      </c>
      <c r="D744" s="123" t="s">
        <v>17</v>
      </c>
      <c r="E744" s="124" t="s">
        <v>1989</v>
      </c>
      <c r="F744" s="124" t="s">
        <v>1990</v>
      </c>
      <c r="G744" s="124" t="s">
        <v>1836</v>
      </c>
      <c r="H744" s="122" t="s">
        <v>1922</v>
      </c>
      <c r="I744" s="123">
        <v>20.699359999999999</v>
      </c>
      <c r="J744" s="123">
        <v>-101.363</v>
      </c>
      <c r="K744" s="122"/>
      <c r="L744" s="125" t="str">
        <f t="shared" si="38"/>
        <v>Ver en Google Maps</v>
      </c>
      <c r="M744" s="122">
        <v>1</v>
      </c>
      <c r="N744" s="130"/>
      <c r="O744" s="109"/>
      <c r="P744" s="109"/>
      <c r="Q744" s="109"/>
      <c r="R744" s="109"/>
      <c r="S744" s="109"/>
      <c r="T744" s="109"/>
      <c r="U744" s="109"/>
      <c r="V744" s="109"/>
      <c r="W744" s="109"/>
      <c r="X744" s="109"/>
      <c r="Y744" s="109"/>
      <c r="Z744" s="109"/>
      <c r="AA744" s="109"/>
      <c r="AB744" s="109"/>
      <c r="AC744" s="110"/>
      <c r="AD744" s="110"/>
      <c r="AE744" s="109"/>
      <c r="AF744" s="111"/>
    </row>
    <row r="745" spans="1:32" x14ac:dyDescent="0.2">
      <c r="A745" s="112">
        <v>166</v>
      </c>
      <c r="B745" s="113" t="s">
        <v>1204</v>
      </c>
      <c r="C745" s="114" t="s">
        <v>429</v>
      </c>
      <c r="D745" s="114" t="s">
        <v>17</v>
      </c>
      <c r="E745" s="115" t="s">
        <v>1991</v>
      </c>
      <c r="F745" s="115" t="s">
        <v>1992</v>
      </c>
      <c r="G745" s="115" t="s">
        <v>2340</v>
      </c>
      <c r="H745" s="113" t="s">
        <v>1922</v>
      </c>
      <c r="I745" s="114">
        <v>20.674199999999999</v>
      </c>
      <c r="J745" s="114">
        <v>-101.33714000000001</v>
      </c>
      <c r="K745" s="113"/>
      <c r="L745" s="116" t="str">
        <f t="shared" si="38"/>
        <v>Ver en Google Maps</v>
      </c>
      <c r="M745" s="113">
        <v>1</v>
      </c>
      <c r="N745" s="129"/>
      <c r="O745" s="118"/>
      <c r="P745" s="118"/>
      <c r="Q745" s="118"/>
      <c r="R745" s="118"/>
      <c r="S745" s="118"/>
      <c r="T745" s="118"/>
      <c r="U745" s="118"/>
      <c r="V745" s="118"/>
      <c r="W745" s="118"/>
      <c r="X745" s="118"/>
      <c r="Y745" s="118"/>
      <c r="Z745" s="118"/>
      <c r="AA745" s="118"/>
      <c r="AB745" s="118"/>
      <c r="AC745" s="119"/>
      <c r="AD745" s="119"/>
      <c r="AE745" s="118"/>
      <c r="AF745" s="120"/>
    </row>
    <row r="746" spans="1:32" x14ac:dyDescent="0.2">
      <c r="A746" s="121">
        <v>167</v>
      </c>
      <c r="B746" s="122" t="s">
        <v>1204</v>
      </c>
      <c r="C746" s="123" t="s">
        <v>429</v>
      </c>
      <c r="D746" s="123" t="s">
        <v>17</v>
      </c>
      <c r="E746" s="124" t="s">
        <v>1993</v>
      </c>
      <c r="F746" s="124" t="s">
        <v>1994</v>
      </c>
      <c r="G746" s="124" t="s">
        <v>1022</v>
      </c>
      <c r="H746" s="122" t="s">
        <v>1922</v>
      </c>
      <c r="I746" s="123">
        <v>20.657640000000001</v>
      </c>
      <c r="J746" s="123">
        <v>-101.32867</v>
      </c>
      <c r="K746" s="122"/>
      <c r="L746" s="125" t="str">
        <f t="shared" si="38"/>
        <v>Ver en Google Maps</v>
      </c>
      <c r="M746" s="122">
        <v>1</v>
      </c>
      <c r="N746" s="130"/>
      <c r="O746" s="109"/>
      <c r="P746" s="109"/>
      <c r="Q746" s="109"/>
      <c r="R746" s="109"/>
      <c r="S746" s="109"/>
      <c r="T746" s="109"/>
      <c r="U746" s="109"/>
      <c r="V746" s="109"/>
      <c r="W746" s="109"/>
      <c r="X746" s="109"/>
      <c r="Y746" s="109"/>
      <c r="Z746" s="109"/>
      <c r="AA746" s="109"/>
      <c r="AB746" s="109"/>
      <c r="AC746" s="110"/>
      <c r="AD746" s="110"/>
      <c r="AE746" s="109"/>
      <c r="AF746" s="111"/>
    </row>
    <row r="747" spans="1:32" x14ac:dyDescent="0.2">
      <c r="A747" s="112">
        <v>180</v>
      </c>
      <c r="B747" s="113" t="s">
        <v>1204</v>
      </c>
      <c r="C747" s="114" t="s">
        <v>429</v>
      </c>
      <c r="D747" s="114" t="s">
        <v>17</v>
      </c>
      <c r="E747" s="115" t="s">
        <v>1995</v>
      </c>
      <c r="F747" s="115" t="s">
        <v>1996</v>
      </c>
      <c r="G747" s="115" t="s">
        <v>2341</v>
      </c>
      <c r="H747" s="113" t="s">
        <v>1922</v>
      </c>
      <c r="I747" s="114">
        <v>20.660609999999998</v>
      </c>
      <c r="J747" s="114">
        <v>-101.3635</v>
      </c>
      <c r="K747" s="113"/>
      <c r="L747" s="116" t="str">
        <f t="shared" si="38"/>
        <v>Ver en Google Maps</v>
      </c>
      <c r="M747" s="113">
        <v>1</v>
      </c>
      <c r="N747" s="129"/>
      <c r="O747" s="118"/>
      <c r="P747" s="118"/>
      <c r="Q747" s="118"/>
      <c r="R747" s="118"/>
      <c r="S747" s="118"/>
      <c r="T747" s="118"/>
      <c r="U747" s="118"/>
      <c r="V747" s="118"/>
      <c r="W747" s="118"/>
      <c r="X747" s="118"/>
      <c r="Y747" s="118"/>
      <c r="Z747" s="118"/>
      <c r="AA747" s="118"/>
      <c r="AB747" s="118"/>
      <c r="AC747" s="119"/>
      <c r="AD747" s="119"/>
      <c r="AE747" s="118"/>
      <c r="AF747" s="120"/>
    </row>
    <row r="748" spans="1:32" x14ac:dyDescent="0.2">
      <c r="A748" s="121">
        <v>189</v>
      </c>
      <c r="B748" s="122" t="s">
        <v>1204</v>
      </c>
      <c r="C748" s="123" t="s">
        <v>429</v>
      </c>
      <c r="D748" s="123" t="s">
        <v>17</v>
      </c>
      <c r="E748" s="124" t="s">
        <v>1997</v>
      </c>
      <c r="F748" s="124" t="s">
        <v>1998</v>
      </c>
      <c r="G748" s="124" t="s">
        <v>2342</v>
      </c>
      <c r="H748" s="122" t="s">
        <v>1922</v>
      </c>
      <c r="I748" s="123">
        <v>20.660019999999999</v>
      </c>
      <c r="J748" s="123">
        <v>-101.37206</v>
      </c>
      <c r="K748" s="122" t="s">
        <v>139</v>
      </c>
      <c r="L748" s="125" t="str">
        <f t="shared" si="38"/>
        <v>Ver en Google Maps</v>
      </c>
      <c r="M748" s="122">
        <v>1</v>
      </c>
      <c r="N748" s="108"/>
      <c r="O748" s="109">
        <f>DAY('BD2'!$N748)</f>
        <v>0</v>
      </c>
      <c r="P748" s="109">
        <f>MONTH('BD2'!$N748)</f>
        <v>1</v>
      </c>
      <c r="Q748" s="109">
        <f>YEAR('BD2'!$N748)</f>
        <v>1900</v>
      </c>
      <c r="R748" s="109">
        <v>2</v>
      </c>
      <c r="S748" s="109" t="s">
        <v>138</v>
      </c>
      <c r="T748" s="109" t="s">
        <v>138</v>
      </c>
      <c r="U748" s="109" t="s">
        <v>138</v>
      </c>
      <c r="V748" s="109" t="s">
        <v>138</v>
      </c>
      <c r="W748" s="109" t="s">
        <v>138</v>
      </c>
      <c r="X748" s="109" t="s">
        <v>138</v>
      </c>
      <c r="Y748" s="109" t="s">
        <v>138</v>
      </c>
      <c r="Z748" s="109" t="str">
        <f>IF('BD2'!$AA748 &lt; 14, "no", "si")</f>
        <v>no</v>
      </c>
      <c r="AA748" s="109"/>
      <c r="AB748" s="109"/>
      <c r="AC748" s="110" t="s">
        <v>967</v>
      </c>
      <c r="AD748" s="110" t="s">
        <v>2436</v>
      </c>
      <c r="AE748" s="109">
        <f t="shared" si="37"/>
        <v>7</v>
      </c>
      <c r="AF748" s="111" t="str">
        <f t="shared" si="36"/>
        <v>Funcional con observaciones</v>
      </c>
    </row>
    <row r="749" spans="1:32" x14ac:dyDescent="0.2">
      <c r="A749" s="112">
        <v>194</v>
      </c>
      <c r="B749" s="113" t="s">
        <v>1204</v>
      </c>
      <c r="C749" s="114" t="s">
        <v>429</v>
      </c>
      <c r="D749" s="114" t="s">
        <v>17</v>
      </c>
      <c r="E749" s="115" t="s">
        <v>1999</v>
      </c>
      <c r="F749" s="115" t="s">
        <v>2000</v>
      </c>
      <c r="G749" s="115" t="s">
        <v>2343</v>
      </c>
      <c r="H749" s="113" t="s">
        <v>1922</v>
      </c>
      <c r="I749" s="114">
        <v>20.690719999999999</v>
      </c>
      <c r="J749" s="114">
        <v>-101.36769</v>
      </c>
      <c r="K749" s="113"/>
      <c r="L749" s="116" t="str">
        <f t="shared" si="38"/>
        <v>Ver en Google Maps</v>
      </c>
      <c r="M749" s="113">
        <v>1</v>
      </c>
      <c r="N749" s="129"/>
      <c r="O749" s="118"/>
      <c r="P749" s="118"/>
      <c r="Q749" s="118"/>
      <c r="R749" s="118"/>
      <c r="S749" s="118"/>
      <c r="T749" s="118"/>
      <c r="U749" s="118"/>
      <c r="V749" s="118"/>
      <c r="W749" s="118"/>
      <c r="X749" s="118"/>
      <c r="Y749" s="118"/>
      <c r="Z749" s="118"/>
      <c r="AA749" s="118"/>
      <c r="AB749" s="118"/>
      <c r="AC749" s="119"/>
      <c r="AD749" s="119"/>
      <c r="AE749" s="118"/>
      <c r="AF749" s="120"/>
    </row>
    <row r="750" spans="1:32" x14ac:dyDescent="0.2">
      <c r="A750" s="121">
        <v>195</v>
      </c>
      <c r="B750" s="122" t="s">
        <v>1204</v>
      </c>
      <c r="C750" s="123" t="s">
        <v>429</v>
      </c>
      <c r="D750" s="123" t="s">
        <v>17</v>
      </c>
      <c r="E750" s="124" t="s">
        <v>2001</v>
      </c>
      <c r="F750" s="124" t="s">
        <v>2002</v>
      </c>
      <c r="G750" s="124" t="s">
        <v>2344</v>
      </c>
      <c r="H750" s="122" t="s">
        <v>1922</v>
      </c>
      <c r="I750" s="123">
        <v>20.68656</v>
      </c>
      <c r="J750" s="123">
        <v>-101.34260999999999</v>
      </c>
      <c r="K750" s="122"/>
      <c r="L750" s="125" t="str">
        <f t="shared" si="38"/>
        <v>Ver en Google Maps</v>
      </c>
      <c r="M750" s="122">
        <v>1</v>
      </c>
      <c r="N750" s="130"/>
      <c r="O750" s="109"/>
      <c r="P750" s="109"/>
      <c r="Q750" s="109"/>
      <c r="R750" s="109"/>
      <c r="S750" s="109"/>
      <c r="T750" s="109"/>
      <c r="U750" s="109"/>
      <c r="V750" s="109"/>
      <c r="W750" s="109"/>
      <c r="X750" s="109"/>
      <c r="Y750" s="109"/>
      <c r="Z750" s="109"/>
      <c r="AA750" s="109"/>
      <c r="AB750" s="109"/>
      <c r="AC750" s="110"/>
      <c r="AD750" s="110"/>
      <c r="AE750" s="109"/>
      <c r="AF750" s="111"/>
    </row>
    <row r="751" spans="1:32" x14ac:dyDescent="0.2">
      <c r="A751" s="112">
        <v>196</v>
      </c>
      <c r="B751" s="113" t="s">
        <v>1204</v>
      </c>
      <c r="C751" s="114" t="s">
        <v>429</v>
      </c>
      <c r="D751" s="114" t="s">
        <v>17</v>
      </c>
      <c r="E751" s="115" t="s">
        <v>2003</v>
      </c>
      <c r="F751" s="115" t="s">
        <v>2004</v>
      </c>
      <c r="G751" s="115" t="s">
        <v>1105</v>
      </c>
      <c r="H751" s="113" t="s">
        <v>1922</v>
      </c>
      <c r="I751" s="114">
        <v>20.67353</v>
      </c>
      <c r="J751" s="114">
        <v>-101.35245</v>
      </c>
      <c r="K751" s="113"/>
      <c r="L751" s="116" t="str">
        <f t="shared" si="38"/>
        <v>Ver en Google Maps</v>
      </c>
      <c r="M751" s="113">
        <v>1</v>
      </c>
      <c r="N751" s="129"/>
      <c r="O751" s="118"/>
      <c r="P751" s="118"/>
      <c r="Q751" s="118"/>
      <c r="R751" s="118"/>
      <c r="S751" s="118"/>
      <c r="T751" s="118"/>
      <c r="U751" s="118"/>
      <c r="V751" s="118"/>
      <c r="W751" s="118"/>
      <c r="X751" s="118"/>
      <c r="Y751" s="118"/>
      <c r="Z751" s="118"/>
      <c r="AA751" s="118"/>
      <c r="AB751" s="118"/>
      <c r="AC751" s="119"/>
      <c r="AD751" s="119"/>
      <c r="AE751" s="118"/>
      <c r="AF751" s="120"/>
    </row>
    <row r="752" spans="1:32" x14ac:dyDescent="0.2">
      <c r="A752" s="121">
        <v>197</v>
      </c>
      <c r="B752" s="122" t="s">
        <v>1204</v>
      </c>
      <c r="C752" s="123" t="s">
        <v>429</v>
      </c>
      <c r="D752" s="123" t="s">
        <v>17</v>
      </c>
      <c r="E752" s="124" t="s">
        <v>2005</v>
      </c>
      <c r="F752" s="124" t="s">
        <v>2006</v>
      </c>
      <c r="G752" s="124" t="s">
        <v>2345</v>
      </c>
      <c r="H752" s="122" t="s">
        <v>1922</v>
      </c>
      <c r="I752" s="123">
        <v>20.673670000000001</v>
      </c>
      <c r="J752" s="123">
        <v>-101.39194000000001</v>
      </c>
      <c r="K752" s="122"/>
      <c r="L752" s="125" t="str">
        <f t="shared" si="38"/>
        <v>Ver en Google Maps</v>
      </c>
      <c r="M752" s="122">
        <v>1</v>
      </c>
      <c r="N752" s="130"/>
      <c r="O752" s="109"/>
      <c r="P752" s="109"/>
      <c r="Q752" s="109"/>
      <c r="R752" s="109"/>
      <c r="S752" s="109"/>
      <c r="T752" s="109"/>
      <c r="U752" s="109"/>
      <c r="V752" s="109"/>
      <c r="W752" s="109"/>
      <c r="X752" s="109"/>
      <c r="Y752" s="109"/>
      <c r="Z752" s="109"/>
      <c r="AA752" s="109"/>
      <c r="AB752" s="109"/>
      <c r="AC752" s="110"/>
      <c r="AD752" s="110"/>
      <c r="AE752" s="109"/>
      <c r="AF752" s="111"/>
    </row>
    <row r="753" spans="1:32" x14ac:dyDescent="0.2">
      <c r="A753" s="112">
        <v>219</v>
      </c>
      <c r="B753" s="113" t="s">
        <v>1204</v>
      </c>
      <c r="C753" s="114" t="s">
        <v>429</v>
      </c>
      <c r="D753" s="114" t="s">
        <v>17</v>
      </c>
      <c r="E753" s="115" t="s">
        <v>2007</v>
      </c>
      <c r="F753" s="115" t="s">
        <v>2008</v>
      </c>
      <c r="G753" s="115" t="s">
        <v>2346</v>
      </c>
      <c r="H753" s="113" t="s">
        <v>1922</v>
      </c>
      <c r="I753" s="114">
        <v>20.717946000000001</v>
      </c>
      <c r="J753" s="114">
        <v>-101.36983499999999</v>
      </c>
      <c r="K753" s="113"/>
      <c r="L753" s="116" t="str">
        <f t="shared" si="38"/>
        <v>Ver en Google Maps</v>
      </c>
      <c r="M753" s="113">
        <v>1</v>
      </c>
      <c r="N753" s="129"/>
      <c r="O753" s="118"/>
      <c r="P753" s="118"/>
      <c r="Q753" s="118"/>
      <c r="R753" s="118"/>
      <c r="S753" s="118"/>
      <c r="T753" s="118"/>
      <c r="U753" s="118"/>
      <c r="V753" s="118"/>
      <c r="W753" s="118"/>
      <c r="X753" s="118"/>
      <c r="Y753" s="118"/>
      <c r="Z753" s="118"/>
      <c r="AA753" s="118"/>
      <c r="AB753" s="118"/>
      <c r="AC753" s="119"/>
      <c r="AD753" s="119"/>
      <c r="AE753" s="118"/>
      <c r="AF753" s="120"/>
    </row>
    <row r="754" spans="1:32" x14ac:dyDescent="0.2">
      <c r="A754" s="121">
        <v>220</v>
      </c>
      <c r="B754" s="122" t="s">
        <v>1204</v>
      </c>
      <c r="C754" s="123" t="s">
        <v>429</v>
      </c>
      <c r="D754" s="123" t="s">
        <v>17</v>
      </c>
      <c r="E754" s="124" t="s">
        <v>2009</v>
      </c>
      <c r="F754" s="124" t="s">
        <v>2010</v>
      </c>
      <c r="G754" s="124" t="s">
        <v>2347</v>
      </c>
      <c r="H754" s="122" t="s">
        <v>1922</v>
      </c>
      <c r="I754" s="123">
        <v>20.704529999999998</v>
      </c>
      <c r="J754" s="123">
        <v>-101.36381</v>
      </c>
      <c r="K754" s="122"/>
      <c r="L754" s="125" t="str">
        <f t="shared" si="38"/>
        <v>Ver en Google Maps</v>
      </c>
      <c r="M754" s="122">
        <v>1</v>
      </c>
      <c r="N754" s="130"/>
      <c r="O754" s="109"/>
      <c r="P754" s="109"/>
      <c r="Q754" s="109"/>
      <c r="R754" s="109"/>
      <c r="S754" s="109"/>
      <c r="T754" s="109"/>
      <c r="U754" s="109"/>
      <c r="V754" s="109"/>
      <c r="W754" s="109"/>
      <c r="X754" s="109"/>
      <c r="Y754" s="109"/>
      <c r="Z754" s="109"/>
      <c r="AA754" s="109"/>
      <c r="AB754" s="109"/>
      <c r="AC754" s="110"/>
      <c r="AD754" s="110"/>
      <c r="AE754" s="109"/>
      <c r="AF754" s="111"/>
    </row>
    <row r="755" spans="1:32" x14ac:dyDescent="0.2">
      <c r="A755" s="112">
        <v>221</v>
      </c>
      <c r="B755" s="113" t="s">
        <v>1204</v>
      </c>
      <c r="C755" s="114" t="s">
        <v>429</v>
      </c>
      <c r="D755" s="114" t="s">
        <v>17</v>
      </c>
      <c r="E755" s="115" t="s">
        <v>2011</v>
      </c>
      <c r="F755" s="115" t="s">
        <v>2012</v>
      </c>
      <c r="G755" s="115" t="s">
        <v>2348</v>
      </c>
      <c r="H755" s="113" t="s">
        <v>1922</v>
      </c>
      <c r="I755" s="114">
        <v>20.696359999999999</v>
      </c>
      <c r="J755" s="114">
        <v>-101.36511</v>
      </c>
      <c r="K755" s="113"/>
      <c r="L755" s="116" t="str">
        <f t="shared" si="38"/>
        <v>Ver en Google Maps</v>
      </c>
      <c r="M755" s="113">
        <v>1</v>
      </c>
      <c r="N755" s="129"/>
      <c r="O755" s="118"/>
      <c r="P755" s="118"/>
      <c r="Q755" s="118"/>
      <c r="R755" s="118"/>
      <c r="S755" s="118"/>
      <c r="T755" s="118"/>
      <c r="U755" s="118"/>
      <c r="V755" s="118"/>
      <c r="W755" s="118"/>
      <c r="X755" s="118"/>
      <c r="Y755" s="118"/>
      <c r="Z755" s="118"/>
      <c r="AA755" s="118"/>
      <c r="AB755" s="118"/>
      <c r="AC755" s="119"/>
      <c r="AD755" s="119"/>
      <c r="AE755" s="118"/>
      <c r="AF755" s="120"/>
    </row>
    <row r="756" spans="1:32" x14ac:dyDescent="0.2">
      <c r="A756" s="121">
        <v>223</v>
      </c>
      <c r="B756" s="122" t="s">
        <v>1204</v>
      </c>
      <c r="C756" s="123" t="s">
        <v>429</v>
      </c>
      <c r="D756" s="123" t="s">
        <v>17</v>
      </c>
      <c r="E756" s="124" t="s">
        <v>2013</v>
      </c>
      <c r="F756" s="124" t="s">
        <v>2014</v>
      </c>
      <c r="G756" s="124" t="s">
        <v>2349</v>
      </c>
      <c r="H756" s="122" t="s">
        <v>1922</v>
      </c>
      <c r="I756" s="123">
        <v>20.660637000000001</v>
      </c>
      <c r="J756" s="123">
        <v>-101.36637899999999</v>
      </c>
      <c r="K756" s="122"/>
      <c r="L756" s="125" t="str">
        <f t="shared" si="38"/>
        <v>Ver en Google Maps</v>
      </c>
      <c r="M756" s="122">
        <v>1</v>
      </c>
      <c r="N756" s="130"/>
      <c r="O756" s="109"/>
      <c r="P756" s="109"/>
      <c r="Q756" s="109"/>
      <c r="R756" s="109"/>
      <c r="S756" s="109"/>
      <c r="T756" s="109"/>
      <c r="U756" s="109"/>
      <c r="V756" s="109"/>
      <c r="W756" s="109"/>
      <c r="X756" s="109"/>
      <c r="Y756" s="109"/>
      <c r="Z756" s="109"/>
      <c r="AA756" s="109"/>
      <c r="AB756" s="109"/>
      <c r="AC756" s="110"/>
      <c r="AD756" s="110"/>
      <c r="AE756" s="109"/>
      <c r="AF756" s="111"/>
    </row>
    <row r="757" spans="1:32" x14ac:dyDescent="0.2">
      <c r="A757" s="112">
        <v>226</v>
      </c>
      <c r="B757" s="113" t="s">
        <v>1204</v>
      </c>
      <c r="C757" s="114" t="s">
        <v>429</v>
      </c>
      <c r="D757" s="114" t="s">
        <v>17</v>
      </c>
      <c r="E757" s="115" t="s">
        <v>2015</v>
      </c>
      <c r="F757" s="115" t="s">
        <v>2016</v>
      </c>
      <c r="G757" s="115" t="s">
        <v>2350</v>
      </c>
      <c r="H757" s="113" t="s">
        <v>1922</v>
      </c>
      <c r="I757" s="114">
        <v>20.700500000000002</v>
      </c>
      <c r="J757" s="114">
        <v>-101.34417000000001</v>
      </c>
      <c r="K757" s="113"/>
      <c r="L757" s="116" t="str">
        <f t="shared" si="38"/>
        <v>Ver en Google Maps</v>
      </c>
      <c r="M757" s="113">
        <v>1</v>
      </c>
      <c r="N757" s="129"/>
      <c r="O757" s="118"/>
      <c r="P757" s="118"/>
      <c r="Q757" s="118"/>
      <c r="R757" s="118"/>
      <c r="S757" s="118"/>
      <c r="T757" s="118"/>
      <c r="U757" s="118"/>
      <c r="V757" s="118"/>
      <c r="W757" s="118"/>
      <c r="X757" s="118"/>
      <c r="Y757" s="118"/>
      <c r="Z757" s="118"/>
      <c r="AA757" s="118"/>
      <c r="AB757" s="118"/>
      <c r="AC757" s="119"/>
      <c r="AD757" s="119"/>
      <c r="AE757" s="118"/>
      <c r="AF757" s="120"/>
    </row>
    <row r="758" spans="1:32" x14ac:dyDescent="0.2">
      <c r="A758" s="121">
        <v>227</v>
      </c>
      <c r="B758" s="122" t="s">
        <v>1204</v>
      </c>
      <c r="C758" s="123" t="s">
        <v>429</v>
      </c>
      <c r="D758" s="123" t="s">
        <v>17</v>
      </c>
      <c r="E758" s="124" t="s">
        <v>2017</v>
      </c>
      <c r="F758" s="124" t="s">
        <v>2018</v>
      </c>
      <c r="G758" s="124" t="s">
        <v>2351</v>
      </c>
      <c r="H758" s="122" t="s">
        <v>1922</v>
      </c>
      <c r="I758" s="123">
        <v>20.688469999999999</v>
      </c>
      <c r="J758" s="123">
        <v>-101.37358</v>
      </c>
      <c r="K758" s="122"/>
      <c r="L758" s="125" t="str">
        <f t="shared" si="38"/>
        <v>Ver en Google Maps</v>
      </c>
      <c r="M758" s="122">
        <v>1</v>
      </c>
      <c r="N758" s="130"/>
      <c r="O758" s="109"/>
      <c r="P758" s="109"/>
      <c r="Q758" s="109"/>
      <c r="R758" s="109"/>
      <c r="S758" s="109"/>
      <c r="T758" s="109"/>
      <c r="U758" s="109"/>
      <c r="V758" s="109"/>
      <c r="W758" s="109"/>
      <c r="X758" s="109"/>
      <c r="Y758" s="109"/>
      <c r="Z758" s="109"/>
      <c r="AA758" s="109"/>
      <c r="AB758" s="109"/>
      <c r="AC758" s="110"/>
      <c r="AD758" s="110"/>
      <c r="AE758" s="109"/>
      <c r="AF758" s="111"/>
    </row>
    <row r="759" spans="1:32" x14ac:dyDescent="0.2">
      <c r="A759" s="112">
        <v>228</v>
      </c>
      <c r="B759" s="113" t="s">
        <v>1204</v>
      </c>
      <c r="C759" s="114" t="s">
        <v>429</v>
      </c>
      <c r="D759" s="114" t="s">
        <v>17</v>
      </c>
      <c r="E759" s="115" t="s">
        <v>2019</v>
      </c>
      <c r="F759" s="115" t="s">
        <v>2020</v>
      </c>
      <c r="G759" s="115" t="s">
        <v>2352</v>
      </c>
      <c r="H759" s="113" t="s">
        <v>1922</v>
      </c>
      <c r="I759" s="114">
        <v>20.6538</v>
      </c>
      <c r="J759" s="114">
        <v>-101.34978</v>
      </c>
      <c r="K759" s="113"/>
      <c r="L759" s="116" t="str">
        <f t="shared" si="38"/>
        <v>Ver en Google Maps</v>
      </c>
      <c r="M759" s="113">
        <v>1</v>
      </c>
      <c r="N759" s="129"/>
      <c r="O759" s="118"/>
      <c r="P759" s="118"/>
      <c r="Q759" s="118"/>
      <c r="R759" s="118"/>
      <c r="S759" s="118"/>
      <c r="T759" s="118"/>
      <c r="U759" s="118"/>
      <c r="V759" s="118"/>
      <c r="W759" s="118"/>
      <c r="X759" s="118"/>
      <c r="Y759" s="118"/>
      <c r="Z759" s="118"/>
      <c r="AA759" s="118"/>
      <c r="AB759" s="118"/>
      <c r="AC759" s="119"/>
      <c r="AD759" s="119"/>
      <c r="AE759" s="118"/>
      <c r="AF759" s="120"/>
    </row>
    <row r="760" spans="1:32" x14ac:dyDescent="0.2">
      <c r="A760" s="121">
        <v>229</v>
      </c>
      <c r="B760" s="122" t="s">
        <v>1204</v>
      </c>
      <c r="C760" s="123" t="s">
        <v>429</v>
      </c>
      <c r="D760" s="123" t="s">
        <v>17</v>
      </c>
      <c r="E760" s="124" t="s">
        <v>2021</v>
      </c>
      <c r="F760" s="124" t="s">
        <v>2022</v>
      </c>
      <c r="G760" s="124" t="s">
        <v>2305</v>
      </c>
      <c r="H760" s="122" t="s">
        <v>1922</v>
      </c>
      <c r="I760" s="123">
        <v>20.669280000000001</v>
      </c>
      <c r="J760" s="123">
        <v>-101.33767</v>
      </c>
      <c r="K760" s="122"/>
      <c r="L760" s="125" t="str">
        <f t="shared" si="38"/>
        <v>Ver en Google Maps</v>
      </c>
      <c r="M760" s="122">
        <v>1</v>
      </c>
      <c r="N760" s="130"/>
      <c r="O760" s="109"/>
      <c r="P760" s="109"/>
      <c r="Q760" s="109"/>
      <c r="R760" s="109"/>
      <c r="S760" s="109"/>
      <c r="T760" s="109"/>
      <c r="U760" s="109"/>
      <c r="V760" s="109"/>
      <c r="W760" s="109"/>
      <c r="X760" s="109"/>
      <c r="Y760" s="109"/>
      <c r="Z760" s="109"/>
      <c r="AA760" s="109"/>
      <c r="AB760" s="109"/>
      <c r="AC760" s="110"/>
      <c r="AD760" s="110"/>
      <c r="AE760" s="109"/>
      <c r="AF760" s="111"/>
    </row>
    <row r="761" spans="1:32" x14ac:dyDescent="0.2">
      <c r="A761" s="112">
        <v>240</v>
      </c>
      <c r="B761" s="113" t="s">
        <v>1204</v>
      </c>
      <c r="C761" s="114" t="s">
        <v>429</v>
      </c>
      <c r="D761" s="114" t="s">
        <v>17</v>
      </c>
      <c r="E761" s="115" t="s">
        <v>2023</v>
      </c>
      <c r="F761" s="115" t="s">
        <v>2024</v>
      </c>
      <c r="G761" s="115" t="s">
        <v>2353</v>
      </c>
      <c r="H761" s="113" t="s">
        <v>1922</v>
      </c>
      <c r="I761" s="114">
        <v>20.700530000000001</v>
      </c>
      <c r="J761" s="114">
        <v>-101.36811</v>
      </c>
      <c r="K761" s="113"/>
      <c r="L761" s="116" t="str">
        <f t="shared" si="38"/>
        <v>Ver en Google Maps</v>
      </c>
      <c r="M761" s="113">
        <v>1</v>
      </c>
      <c r="N761" s="129"/>
      <c r="O761" s="118"/>
      <c r="P761" s="118"/>
      <c r="Q761" s="118"/>
      <c r="R761" s="118"/>
      <c r="S761" s="118"/>
      <c r="T761" s="118"/>
      <c r="U761" s="118"/>
      <c r="V761" s="118"/>
      <c r="W761" s="118"/>
      <c r="X761" s="118"/>
      <c r="Y761" s="118"/>
      <c r="Z761" s="118"/>
      <c r="AA761" s="118"/>
      <c r="AB761" s="118"/>
      <c r="AC761" s="119"/>
      <c r="AD761" s="119"/>
      <c r="AE761" s="118"/>
      <c r="AF761" s="120"/>
    </row>
    <row r="762" spans="1:32" x14ac:dyDescent="0.2">
      <c r="A762" s="121">
        <v>253</v>
      </c>
      <c r="B762" s="122" t="s">
        <v>1204</v>
      </c>
      <c r="C762" s="123" t="s">
        <v>429</v>
      </c>
      <c r="D762" s="123" t="s">
        <v>17</v>
      </c>
      <c r="E762" s="124" t="s">
        <v>2025</v>
      </c>
      <c r="F762" s="124" t="s">
        <v>2026</v>
      </c>
      <c r="G762" s="124" t="s">
        <v>2341</v>
      </c>
      <c r="H762" s="122" t="s">
        <v>1922</v>
      </c>
      <c r="I762" s="123">
        <v>20.657865000000001</v>
      </c>
      <c r="J762" s="123">
        <v>-101.362916</v>
      </c>
      <c r="K762" s="122" t="s">
        <v>139</v>
      </c>
      <c r="L762" s="125" t="str">
        <f t="shared" si="38"/>
        <v>Ver en Google Maps</v>
      </c>
      <c r="M762" s="122">
        <v>1</v>
      </c>
      <c r="N762" s="108"/>
      <c r="O762" s="109">
        <f>DAY('BD2'!$N762)</f>
        <v>0</v>
      </c>
      <c r="P762" s="109">
        <f>MONTH('BD2'!$N762)</f>
        <v>1</v>
      </c>
      <c r="Q762" s="109">
        <f>YEAR('BD2'!$N762)</f>
        <v>1900</v>
      </c>
      <c r="R762" s="109">
        <v>2</v>
      </c>
      <c r="S762" s="109" t="s">
        <v>138</v>
      </c>
      <c r="T762" s="109" t="s">
        <v>138</v>
      </c>
      <c r="U762" s="109" t="s">
        <v>138</v>
      </c>
      <c r="V762" s="109" t="s">
        <v>138</v>
      </c>
      <c r="W762" s="109" t="s">
        <v>138</v>
      </c>
      <c r="X762" s="109" t="s">
        <v>138</v>
      </c>
      <c r="Y762" s="109" t="s">
        <v>138</v>
      </c>
      <c r="Z762" s="109" t="str">
        <f>IF('BD2'!$AA762 &lt; 14, "no", "si")</f>
        <v>no</v>
      </c>
      <c r="AA762" s="109"/>
      <c r="AB762" s="109"/>
      <c r="AC762" s="110" t="s">
        <v>967</v>
      </c>
      <c r="AD762" s="110" t="s">
        <v>2436</v>
      </c>
      <c r="AE762" s="109">
        <f t="shared" si="37"/>
        <v>7</v>
      </c>
      <c r="AF762" s="111" t="str">
        <f t="shared" si="36"/>
        <v>Funcional con observaciones</v>
      </c>
    </row>
    <row r="763" spans="1:32" x14ac:dyDescent="0.2">
      <c r="A763" s="112">
        <v>260</v>
      </c>
      <c r="B763" s="113" t="s">
        <v>1204</v>
      </c>
      <c r="C763" s="114" t="s">
        <v>429</v>
      </c>
      <c r="D763" s="114" t="s">
        <v>17</v>
      </c>
      <c r="E763" s="115" t="s">
        <v>2027</v>
      </c>
      <c r="F763" s="115" t="s">
        <v>2028</v>
      </c>
      <c r="G763" s="115" t="s">
        <v>2354</v>
      </c>
      <c r="H763" s="113" t="s">
        <v>1922</v>
      </c>
      <c r="I763" s="114">
        <v>20.666969999999999</v>
      </c>
      <c r="J763" s="114">
        <v>-101.37375</v>
      </c>
      <c r="K763" s="113" t="s">
        <v>139</v>
      </c>
      <c r="L763" s="116" t="str">
        <f t="shared" si="38"/>
        <v>Ver en Google Maps</v>
      </c>
      <c r="M763" s="113">
        <v>1</v>
      </c>
      <c r="N763" s="117"/>
      <c r="O763" s="118">
        <f>DAY('BD2'!$N763)</f>
        <v>0</v>
      </c>
      <c r="P763" s="118">
        <f>MONTH('BD2'!$N763)</f>
        <v>1</v>
      </c>
      <c r="Q763" s="118">
        <f>YEAR('BD2'!$N763)</f>
        <v>1900</v>
      </c>
      <c r="R763" s="118">
        <v>2</v>
      </c>
      <c r="S763" s="118" t="s">
        <v>138</v>
      </c>
      <c r="T763" s="118" t="s">
        <v>138</v>
      </c>
      <c r="U763" s="118" t="s">
        <v>138</v>
      </c>
      <c r="V763" s="118" t="s">
        <v>138</v>
      </c>
      <c r="W763" s="118" t="s">
        <v>138</v>
      </c>
      <c r="X763" s="118" t="s">
        <v>138</v>
      </c>
      <c r="Y763" s="118" t="s">
        <v>138</v>
      </c>
      <c r="Z763" s="118" t="str">
        <f>IF('BD2'!$AA763 &lt; 14, "no", "si")</f>
        <v>no</v>
      </c>
      <c r="AA763" s="118"/>
      <c r="AB763" s="118"/>
      <c r="AC763" s="119" t="s">
        <v>967</v>
      </c>
      <c r="AD763" s="119" t="s">
        <v>2436</v>
      </c>
      <c r="AE763" s="118">
        <f t="shared" si="37"/>
        <v>7</v>
      </c>
      <c r="AF763" s="120" t="str">
        <f t="shared" si="36"/>
        <v>Funcional con observaciones</v>
      </c>
    </row>
    <row r="764" spans="1:32" x14ac:dyDescent="0.2">
      <c r="A764" s="121">
        <v>273</v>
      </c>
      <c r="B764" s="122" t="s">
        <v>1204</v>
      </c>
      <c r="C764" s="123" t="s">
        <v>429</v>
      </c>
      <c r="D764" s="123" t="s">
        <v>17</v>
      </c>
      <c r="E764" s="124" t="s">
        <v>2029</v>
      </c>
      <c r="F764" s="124" t="s">
        <v>2030</v>
      </c>
      <c r="G764" s="124" t="s">
        <v>2306</v>
      </c>
      <c r="H764" s="122" t="s">
        <v>1922</v>
      </c>
      <c r="I764" s="123">
        <v>20.670750000000002</v>
      </c>
      <c r="J764" s="123">
        <v>-101.33136</v>
      </c>
      <c r="K764" s="122"/>
      <c r="L764" s="125" t="str">
        <f t="shared" si="38"/>
        <v>Ver en Google Maps</v>
      </c>
      <c r="M764" s="122">
        <v>1</v>
      </c>
      <c r="N764" s="130"/>
      <c r="O764" s="109"/>
      <c r="P764" s="109"/>
      <c r="Q764" s="109"/>
      <c r="R764" s="109"/>
      <c r="S764" s="109"/>
      <c r="T764" s="109"/>
      <c r="U764" s="109"/>
      <c r="V764" s="109"/>
      <c r="W764" s="109"/>
      <c r="X764" s="109"/>
      <c r="Y764" s="109"/>
      <c r="Z764" s="109"/>
      <c r="AA764" s="109"/>
      <c r="AB764" s="109"/>
      <c r="AC764" s="110"/>
      <c r="AD764" s="110"/>
      <c r="AE764" s="109"/>
      <c r="AF764" s="111"/>
    </row>
    <row r="765" spans="1:32" x14ac:dyDescent="0.2">
      <c r="A765" s="112">
        <v>279</v>
      </c>
      <c r="B765" s="113" t="s">
        <v>1204</v>
      </c>
      <c r="C765" s="114" t="s">
        <v>429</v>
      </c>
      <c r="D765" s="114" t="s">
        <v>17</v>
      </c>
      <c r="E765" s="115" t="s">
        <v>2031</v>
      </c>
      <c r="F765" s="115" t="s">
        <v>2032</v>
      </c>
      <c r="G765" s="115" t="s">
        <v>2355</v>
      </c>
      <c r="H765" s="113" t="s">
        <v>1922</v>
      </c>
      <c r="I765" s="114">
        <v>20.661359999999998</v>
      </c>
      <c r="J765" s="114">
        <v>-101.38478000000001</v>
      </c>
      <c r="K765" s="113"/>
      <c r="L765" s="116" t="str">
        <f t="shared" si="38"/>
        <v>Ver en Google Maps</v>
      </c>
      <c r="M765" s="113">
        <v>2</v>
      </c>
      <c r="N765" s="129"/>
      <c r="O765" s="118"/>
      <c r="P765" s="118"/>
      <c r="Q765" s="118"/>
      <c r="R765" s="118"/>
      <c r="S765" s="118"/>
      <c r="T765" s="118"/>
      <c r="U765" s="118"/>
      <c r="V765" s="118"/>
      <c r="W765" s="118"/>
      <c r="X765" s="118"/>
      <c r="Y765" s="118"/>
      <c r="Z765" s="118"/>
      <c r="AA765" s="118"/>
      <c r="AB765" s="118"/>
      <c r="AC765" s="119"/>
      <c r="AD765" s="119"/>
      <c r="AE765" s="118"/>
      <c r="AF765" s="120"/>
    </row>
    <row r="766" spans="1:32" x14ac:dyDescent="0.2">
      <c r="A766" s="121">
        <v>284</v>
      </c>
      <c r="B766" s="122" t="s">
        <v>1204</v>
      </c>
      <c r="C766" s="123" t="s">
        <v>429</v>
      </c>
      <c r="D766" s="123" t="s">
        <v>17</v>
      </c>
      <c r="E766" s="124" t="s">
        <v>2033</v>
      </c>
      <c r="F766" s="124" t="s">
        <v>2034</v>
      </c>
      <c r="G766" s="124" t="s">
        <v>2356</v>
      </c>
      <c r="H766" s="122" t="s">
        <v>1922</v>
      </c>
      <c r="I766" s="123">
        <v>20.685890000000001</v>
      </c>
      <c r="J766" s="123">
        <v>-101.32355</v>
      </c>
      <c r="K766" s="122"/>
      <c r="L766" s="125" t="str">
        <f t="shared" si="38"/>
        <v>Ver en Google Maps</v>
      </c>
      <c r="M766" s="122">
        <v>1</v>
      </c>
      <c r="N766" s="130"/>
      <c r="O766" s="109"/>
      <c r="P766" s="109"/>
      <c r="Q766" s="109"/>
      <c r="R766" s="109"/>
      <c r="S766" s="109"/>
      <c r="T766" s="109"/>
      <c r="U766" s="109"/>
      <c r="V766" s="109"/>
      <c r="W766" s="109"/>
      <c r="X766" s="109"/>
      <c r="Y766" s="109"/>
      <c r="Z766" s="109"/>
      <c r="AA766" s="109"/>
      <c r="AB766" s="109"/>
      <c r="AC766" s="110"/>
      <c r="AD766" s="110"/>
      <c r="AE766" s="109"/>
      <c r="AF766" s="111"/>
    </row>
    <row r="767" spans="1:32" x14ac:dyDescent="0.2">
      <c r="A767" s="112">
        <v>291</v>
      </c>
      <c r="B767" s="113" t="s">
        <v>1204</v>
      </c>
      <c r="C767" s="114" t="s">
        <v>429</v>
      </c>
      <c r="D767" s="114" t="s">
        <v>16</v>
      </c>
      <c r="E767" s="115" t="s">
        <v>2035</v>
      </c>
      <c r="F767" s="115" t="s">
        <v>2036</v>
      </c>
      <c r="G767" s="115" t="s">
        <v>2357</v>
      </c>
      <c r="H767" s="113" t="s">
        <v>1922</v>
      </c>
      <c r="I767" s="114">
        <v>20.660530000000001</v>
      </c>
      <c r="J767" s="114">
        <v>-101.37173</v>
      </c>
      <c r="K767" s="113" t="s">
        <v>139</v>
      </c>
      <c r="L767" s="116" t="str">
        <f t="shared" si="38"/>
        <v>Ver en Google Maps</v>
      </c>
      <c r="M767" s="113">
        <v>1</v>
      </c>
      <c r="N767" s="117"/>
      <c r="O767" s="118">
        <f>DAY('BD2'!$N767)</f>
        <v>0</v>
      </c>
      <c r="P767" s="118">
        <f>MONTH('BD2'!$N767)</f>
        <v>1</v>
      </c>
      <c r="Q767" s="118">
        <f>YEAR('BD2'!$N767)</f>
        <v>1900</v>
      </c>
      <c r="R767" s="118">
        <v>2</v>
      </c>
      <c r="S767" s="118" t="s">
        <v>138</v>
      </c>
      <c r="T767" s="118" t="s">
        <v>138</v>
      </c>
      <c r="U767" s="118" t="s">
        <v>138</v>
      </c>
      <c r="V767" s="118" t="s">
        <v>138</v>
      </c>
      <c r="W767" s="118" t="s">
        <v>138</v>
      </c>
      <c r="X767" s="118" t="s">
        <v>138</v>
      </c>
      <c r="Y767" s="118" t="s">
        <v>138</v>
      </c>
      <c r="Z767" s="118" t="str">
        <f>IF('BD2'!$AA767 &lt; 14, "no", "si")</f>
        <v>no</v>
      </c>
      <c r="AA767" s="118"/>
      <c r="AB767" s="118"/>
      <c r="AC767" s="119" t="s">
        <v>2444</v>
      </c>
      <c r="AD767" s="119" t="s">
        <v>2436</v>
      </c>
      <c r="AE767" s="118">
        <f t="shared" si="37"/>
        <v>7</v>
      </c>
      <c r="AF767" s="120" t="str">
        <f t="shared" si="36"/>
        <v>Funcional con observaciones</v>
      </c>
    </row>
    <row r="768" spans="1:32" x14ac:dyDescent="0.2">
      <c r="A768" s="121">
        <v>306</v>
      </c>
      <c r="B768" s="122" t="s">
        <v>1204</v>
      </c>
      <c r="C768" s="123" t="s">
        <v>429</v>
      </c>
      <c r="D768" s="123" t="s">
        <v>16</v>
      </c>
      <c r="E768" s="124" t="s">
        <v>2037</v>
      </c>
      <c r="F768" s="124" t="s">
        <v>2038</v>
      </c>
      <c r="G768" s="124" t="s">
        <v>2338</v>
      </c>
      <c r="H768" s="122" t="s">
        <v>1922</v>
      </c>
      <c r="I768" s="123">
        <v>20.69903</v>
      </c>
      <c r="J768" s="123">
        <v>-101.34875</v>
      </c>
      <c r="K768" s="122"/>
      <c r="L768" s="125" t="str">
        <f t="shared" si="38"/>
        <v>Ver en Google Maps</v>
      </c>
      <c r="M768" s="122">
        <v>1</v>
      </c>
      <c r="N768" s="130"/>
      <c r="O768" s="109"/>
      <c r="P768" s="109"/>
      <c r="Q768" s="109"/>
      <c r="R768" s="109"/>
      <c r="S768" s="109"/>
      <c r="T768" s="109"/>
      <c r="U768" s="109"/>
      <c r="V768" s="109"/>
      <c r="W768" s="109"/>
      <c r="X768" s="109"/>
      <c r="Y768" s="109"/>
      <c r="Z768" s="109"/>
      <c r="AA768" s="109"/>
      <c r="AB768" s="109"/>
      <c r="AC768" s="110"/>
      <c r="AD768" s="110"/>
      <c r="AE768" s="109"/>
      <c r="AF768" s="111"/>
    </row>
    <row r="769" spans="1:32" x14ac:dyDescent="0.2">
      <c r="A769" s="112">
        <v>308</v>
      </c>
      <c r="B769" s="113" t="s">
        <v>1204</v>
      </c>
      <c r="C769" s="114" t="s">
        <v>429</v>
      </c>
      <c r="D769" s="114" t="s">
        <v>16</v>
      </c>
      <c r="E769" s="115" t="s">
        <v>2039</v>
      </c>
      <c r="F769" s="115" t="s">
        <v>2040</v>
      </c>
      <c r="G769" s="115" t="s">
        <v>1787</v>
      </c>
      <c r="H769" s="113" t="s">
        <v>1922</v>
      </c>
      <c r="I769" s="114">
        <v>20.66647</v>
      </c>
      <c r="J769" s="114">
        <v>-101.33839</v>
      </c>
      <c r="K769" s="113"/>
      <c r="L769" s="116" t="str">
        <f t="shared" si="38"/>
        <v>Ver en Google Maps</v>
      </c>
      <c r="M769" s="113">
        <v>1</v>
      </c>
      <c r="N769" s="129"/>
      <c r="O769" s="118"/>
      <c r="P769" s="118"/>
      <c r="Q769" s="118"/>
      <c r="R769" s="118"/>
      <c r="S769" s="118"/>
      <c r="T769" s="118"/>
      <c r="U769" s="118"/>
      <c r="V769" s="118"/>
      <c r="W769" s="118"/>
      <c r="X769" s="118"/>
      <c r="Y769" s="118"/>
      <c r="Z769" s="118"/>
      <c r="AA769" s="118"/>
      <c r="AB769" s="118"/>
      <c r="AC769" s="119"/>
      <c r="AD769" s="119"/>
      <c r="AE769" s="118"/>
      <c r="AF769" s="120"/>
    </row>
    <row r="770" spans="1:32" x14ac:dyDescent="0.2">
      <c r="A770" s="121">
        <v>311</v>
      </c>
      <c r="B770" s="122" t="s">
        <v>1204</v>
      </c>
      <c r="C770" s="123" t="s">
        <v>429</v>
      </c>
      <c r="D770" s="123" t="s">
        <v>16</v>
      </c>
      <c r="E770" s="124" t="s">
        <v>2041</v>
      </c>
      <c r="F770" s="124" t="s">
        <v>2042</v>
      </c>
      <c r="G770" s="124" t="s">
        <v>2358</v>
      </c>
      <c r="H770" s="122" t="s">
        <v>1922</v>
      </c>
      <c r="I770" s="123">
        <v>20.666815</v>
      </c>
      <c r="J770" s="123">
        <v>-101.362737</v>
      </c>
      <c r="K770" s="122"/>
      <c r="L770" s="125" t="str">
        <f t="shared" si="38"/>
        <v>Ver en Google Maps</v>
      </c>
      <c r="M770" s="122">
        <v>1</v>
      </c>
      <c r="N770" s="130"/>
      <c r="O770" s="109"/>
      <c r="P770" s="109"/>
      <c r="Q770" s="109"/>
      <c r="R770" s="109"/>
      <c r="S770" s="109"/>
      <c r="T770" s="109"/>
      <c r="U770" s="109"/>
      <c r="V770" s="109"/>
      <c r="W770" s="109"/>
      <c r="X770" s="109"/>
      <c r="Y770" s="109"/>
      <c r="Z770" s="109"/>
      <c r="AA770" s="109"/>
      <c r="AB770" s="109"/>
      <c r="AC770" s="110"/>
      <c r="AD770" s="110"/>
      <c r="AE770" s="109"/>
      <c r="AF770" s="111"/>
    </row>
    <row r="771" spans="1:32" x14ac:dyDescent="0.2">
      <c r="A771" s="112">
        <v>325</v>
      </c>
      <c r="B771" s="113" t="s">
        <v>1204</v>
      </c>
      <c r="C771" s="114" t="s">
        <v>429</v>
      </c>
      <c r="D771" s="114" t="s">
        <v>16</v>
      </c>
      <c r="E771" s="115" t="s">
        <v>2043</v>
      </c>
      <c r="F771" s="115" t="s">
        <v>2044</v>
      </c>
      <c r="G771" s="115" t="s">
        <v>1302</v>
      </c>
      <c r="H771" s="113" t="s">
        <v>1922</v>
      </c>
      <c r="I771" s="114">
        <v>20.681214000000001</v>
      </c>
      <c r="J771" s="114">
        <v>-101.34328600000001</v>
      </c>
      <c r="K771" s="113"/>
      <c r="L771" s="116" t="str">
        <f t="shared" si="38"/>
        <v>Ver en Google Maps</v>
      </c>
      <c r="M771" s="113">
        <v>1</v>
      </c>
      <c r="N771" s="129"/>
      <c r="O771" s="118"/>
      <c r="P771" s="118"/>
      <c r="Q771" s="118"/>
      <c r="R771" s="118"/>
      <c r="S771" s="118"/>
      <c r="T771" s="118"/>
      <c r="U771" s="118"/>
      <c r="V771" s="118"/>
      <c r="W771" s="118"/>
      <c r="X771" s="118"/>
      <c r="Y771" s="118"/>
      <c r="Z771" s="118"/>
      <c r="AA771" s="118"/>
      <c r="AB771" s="118"/>
      <c r="AC771" s="119"/>
      <c r="AD771" s="119"/>
      <c r="AE771" s="118"/>
      <c r="AF771" s="120"/>
    </row>
    <row r="772" spans="1:32" x14ac:dyDescent="0.2">
      <c r="A772" s="121">
        <v>326</v>
      </c>
      <c r="B772" s="122" t="s">
        <v>1204</v>
      </c>
      <c r="C772" s="123" t="s">
        <v>429</v>
      </c>
      <c r="D772" s="123" t="s">
        <v>336</v>
      </c>
      <c r="E772" s="124" t="s">
        <v>2045</v>
      </c>
      <c r="F772" s="124" t="s">
        <v>2046</v>
      </c>
      <c r="G772" s="124" t="s">
        <v>2308</v>
      </c>
      <c r="H772" s="122" t="s">
        <v>1922</v>
      </c>
      <c r="I772" s="123">
        <v>20.753430000000002</v>
      </c>
      <c r="J772" s="123">
        <v>-101.33101000000001</v>
      </c>
      <c r="K772" s="122"/>
      <c r="L772" s="125" t="str">
        <f t="shared" si="38"/>
        <v>Ver en Google Maps</v>
      </c>
      <c r="M772" s="122">
        <v>2</v>
      </c>
      <c r="N772" s="130"/>
      <c r="O772" s="109"/>
      <c r="P772" s="109"/>
      <c r="Q772" s="109"/>
      <c r="R772" s="109"/>
      <c r="S772" s="109"/>
      <c r="T772" s="109"/>
      <c r="U772" s="109"/>
      <c r="V772" s="109"/>
      <c r="W772" s="109"/>
      <c r="X772" s="109"/>
      <c r="Y772" s="109"/>
      <c r="Z772" s="109"/>
      <c r="AA772" s="109"/>
      <c r="AB772" s="109"/>
      <c r="AC772" s="110"/>
      <c r="AD772" s="110"/>
      <c r="AE772" s="109"/>
      <c r="AF772" s="111"/>
    </row>
    <row r="773" spans="1:32" x14ac:dyDescent="0.2">
      <c r="A773" s="112">
        <v>331</v>
      </c>
      <c r="B773" s="113" t="s">
        <v>1204</v>
      </c>
      <c r="C773" s="114" t="s">
        <v>429</v>
      </c>
      <c r="D773" s="114" t="s">
        <v>16</v>
      </c>
      <c r="E773" s="115" t="s">
        <v>2047</v>
      </c>
      <c r="F773" s="115" t="s">
        <v>2048</v>
      </c>
      <c r="G773" s="115" t="s">
        <v>2313</v>
      </c>
      <c r="H773" s="113" t="s">
        <v>1922</v>
      </c>
      <c r="I773" s="114">
        <v>20.667390000000001</v>
      </c>
      <c r="J773" s="114">
        <v>-101.35203</v>
      </c>
      <c r="K773" s="113"/>
      <c r="L773" s="116" t="str">
        <f t="shared" si="38"/>
        <v>Ver en Google Maps</v>
      </c>
      <c r="M773" s="113">
        <v>2</v>
      </c>
      <c r="N773" s="129"/>
      <c r="O773" s="118"/>
      <c r="P773" s="118"/>
      <c r="Q773" s="118"/>
      <c r="R773" s="118"/>
      <c r="S773" s="118"/>
      <c r="T773" s="118"/>
      <c r="U773" s="118"/>
      <c r="V773" s="118"/>
      <c r="W773" s="118"/>
      <c r="X773" s="118"/>
      <c r="Y773" s="118"/>
      <c r="Z773" s="118"/>
      <c r="AA773" s="118"/>
      <c r="AB773" s="118"/>
      <c r="AC773" s="119"/>
      <c r="AD773" s="119"/>
      <c r="AE773" s="118"/>
      <c r="AF773" s="120"/>
    </row>
    <row r="774" spans="1:32" x14ac:dyDescent="0.2">
      <c r="A774" s="121">
        <v>332</v>
      </c>
      <c r="B774" s="122" t="s">
        <v>1204</v>
      </c>
      <c r="C774" s="123" t="s">
        <v>429</v>
      </c>
      <c r="D774" s="123" t="s">
        <v>16</v>
      </c>
      <c r="E774" s="124" t="s">
        <v>2049</v>
      </c>
      <c r="F774" s="124" t="s">
        <v>2050</v>
      </c>
      <c r="G774" s="124" t="s">
        <v>2359</v>
      </c>
      <c r="H774" s="122" t="s">
        <v>1922</v>
      </c>
      <c r="I774" s="123">
        <v>20.67164</v>
      </c>
      <c r="J774" s="123">
        <v>-101.35802</v>
      </c>
      <c r="K774" s="122"/>
      <c r="L774" s="125" t="str">
        <f t="shared" si="38"/>
        <v>Ver en Google Maps</v>
      </c>
      <c r="M774" s="122">
        <v>1</v>
      </c>
      <c r="N774" s="130"/>
      <c r="O774" s="109"/>
      <c r="P774" s="109"/>
      <c r="Q774" s="109"/>
      <c r="R774" s="109"/>
      <c r="S774" s="109"/>
      <c r="T774" s="109"/>
      <c r="U774" s="109"/>
      <c r="V774" s="109"/>
      <c r="W774" s="109"/>
      <c r="X774" s="109"/>
      <c r="Y774" s="109"/>
      <c r="Z774" s="109"/>
      <c r="AA774" s="109"/>
      <c r="AB774" s="109"/>
      <c r="AC774" s="110"/>
      <c r="AD774" s="110"/>
      <c r="AE774" s="109"/>
      <c r="AF774" s="111"/>
    </row>
    <row r="775" spans="1:32" x14ac:dyDescent="0.2">
      <c r="A775" s="112">
        <v>338</v>
      </c>
      <c r="B775" s="113" t="s">
        <v>1204</v>
      </c>
      <c r="C775" s="114" t="s">
        <v>429</v>
      </c>
      <c r="D775" s="114" t="s">
        <v>16</v>
      </c>
      <c r="E775" s="115" t="s">
        <v>2051</v>
      </c>
      <c r="F775" s="115" t="s">
        <v>2052</v>
      </c>
      <c r="G775" s="115" t="s">
        <v>2359</v>
      </c>
      <c r="H775" s="113" t="s">
        <v>1922</v>
      </c>
      <c r="I775" s="114">
        <v>20.67436</v>
      </c>
      <c r="J775" s="114">
        <v>-101.35833</v>
      </c>
      <c r="K775" s="113"/>
      <c r="L775" s="116" t="str">
        <f t="shared" si="38"/>
        <v>Ver en Google Maps</v>
      </c>
      <c r="M775" s="113">
        <v>1</v>
      </c>
      <c r="N775" s="129"/>
      <c r="O775" s="118"/>
      <c r="P775" s="118"/>
      <c r="Q775" s="118"/>
      <c r="R775" s="118"/>
      <c r="S775" s="118"/>
      <c r="T775" s="118"/>
      <c r="U775" s="118"/>
      <c r="V775" s="118"/>
      <c r="W775" s="118"/>
      <c r="X775" s="118"/>
      <c r="Y775" s="118"/>
      <c r="Z775" s="118"/>
      <c r="AA775" s="118"/>
      <c r="AB775" s="118"/>
      <c r="AC775" s="119"/>
      <c r="AD775" s="119"/>
      <c r="AE775" s="118"/>
      <c r="AF775" s="120"/>
    </row>
    <row r="776" spans="1:32" x14ac:dyDescent="0.2">
      <c r="A776" s="121">
        <v>343</v>
      </c>
      <c r="B776" s="122" t="s">
        <v>1204</v>
      </c>
      <c r="C776" s="123" t="s">
        <v>429</v>
      </c>
      <c r="D776" s="123" t="s">
        <v>16</v>
      </c>
      <c r="E776" s="124" t="s">
        <v>2053</v>
      </c>
      <c r="F776" s="124" t="s">
        <v>2054</v>
      </c>
      <c r="G776" s="124" t="s">
        <v>2323</v>
      </c>
      <c r="H776" s="122" t="s">
        <v>1922</v>
      </c>
      <c r="I776" s="123">
        <v>20.691800000000001</v>
      </c>
      <c r="J776" s="123">
        <v>-101.35460999999999</v>
      </c>
      <c r="K776" s="122"/>
      <c r="L776" s="125" t="str">
        <f t="shared" si="38"/>
        <v>Ver en Google Maps</v>
      </c>
      <c r="M776" s="122">
        <v>2</v>
      </c>
      <c r="N776" s="130"/>
      <c r="O776" s="109"/>
      <c r="P776" s="109"/>
      <c r="Q776" s="109"/>
      <c r="R776" s="109"/>
      <c r="S776" s="109"/>
      <c r="T776" s="109"/>
      <c r="U776" s="109"/>
      <c r="V776" s="109"/>
      <c r="W776" s="109"/>
      <c r="X776" s="109"/>
      <c r="Y776" s="109"/>
      <c r="Z776" s="109"/>
      <c r="AA776" s="109"/>
      <c r="AB776" s="109"/>
      <c r="AC776" s="110"/>
      <c r="AD776" s="110"/>
      <c r="AE776" s="109"/>
      <c r="AF776" s="111"/>
    </row>
    <row r="777" spans="1:32" x14ac:dyDescent="0.2">
      <c r="A777" s="112">
        <v>344</v>
      </c>
      <c r="B777" s="113" t="s">
        <v>1204</v>
      </c>
      <c r="C777" s="114" t="s">
        <v>429</v>
      </c>
      <c r="D777" s="114" t="s">
        <v>16</v>
      </c>
      <c r="E777" s="115" t="s">
        <v>2055</v>
      </c>
      <c r="F777" s="115" t="s">
        <v>2056</v>
      </c>
      <c r="G777" s="115" t="s">
        <v>975</v>
      </c>
      <c r="H777" s="113" t="s">
        <v>1922</v>
      </c>
      <c r="I777" s="114">
        <v>20.701775999999999</v>
      </c>
      <c r="J777" s="114">
        <v>-101.35429499999999</v>
      </c>
      <c r="K777" s="113"/>
      <c r="L777" s="116" t="str">
        <f t="shared" si="38"/>
        <v>Ver en Google Maps</v>
      </c>
      <c r="M777" s="113">
        <v>1</v>
      </c>
      <c r="N777" s="129"/>
      <c r="O777" s="118"/>
      <c r="P777" s="118"/>
      <c r="Q777" s="118"/>
      <c r="R777" s="118"/>
      <c r="S777" s="118"/>
      <c r="T777" s="118"/>
      <c r="U777" s="118"/>
      <c r="V777" s="118"/>
      <c r="W777" s="118"/>
      <c r="X777" s="118"/>
      <c r="Y777" s="118"/>
      <c r="Z777" s="118"/>
      <c r="AA777" s="118"/>
      <c r="AB777" s="118"/>
      <c r="AC777" s="119"/>
      <c r="AD777" s="119"/>
      <c r="AE777" s="118"/>
      <c r="AF777" s="120"/>
    </row>
    <row r="778" spans="1:32" x14ac:dyDescent="0.2">
      <c r="A778" s="121">
        <v>347</v>
      </c>
      <c r="B778" s="122" t="s">
        <v>1204</v>
      </c>
      <c r="C778" s="123" t="s">
        <v>429</v>
      </c>
      <c r="D778" s="123" t="s">
        <v>16</v>
      </c>
      <c r="E778" s="124" t="s">
        <v>2057</v>
      </c>
      <c r="F778" s="124" t="s">
        <v>2058</v>
      </c>
      <c r="G778" s="124" t="s">
        <v>2346</v>
      </c>
      <c r="H778" s="122" t="s">
        <v>1922</v>
      </c>
      <c r="I778" s="123">
        <v>20.722809999999999</v>
      </c>
      <c r="J778" s="123">
        <v>-101.37</v>
      </c>
      <c r="K778" s="122"/>
      <c r="L778" s="125" t="str">
        <f t="shared" si="38"/>
        <v>Ver en Google Maps</v>
      </c>
      <c r="M778" s="122">
        <v>1</v>
      </c>
      <c r="N778" s="130"/>
      <c r="O778" s="109"/>
      <c r="P778" s="109"/>
      <c r="Q778" s="109"/>
      <c r="R778" s="109"/>
      <c r="S778" s="109"/>
      <c r="T778" s="109"/>
      <c r="U778" s="109"/>
      <c r="V778" s="109"/>
      <c r="W778" s="109"/>
      <c r="X778" s="109"/>
      <c r="Y778" s="109"/>
      <c r="Z778" s="109"/>
      <c r="AA778" s="109"/>
      <c r="AB778" s="109"/>
      <c r="AC778" s="110"/>
      <c r="AD778" s="110"/>
      <c r="AE778" s="109"/>
      <c r="AF778" s="111"/>
    </row>
    <row r="779" spans="1:32" x14ac:dyDescent="0.2">
      <c r="A779" s="112">
        <v>362</v>
      </c>
      <c r="B779" s="113" t="s">
        <v>1204</v>
      </c>
      <c r="C779" s="114" t="s">
        <v>429</v>
      </c>
      <c r="D779" s="114" t="s">
        <v>16</v>
      </c>
      <c r="E779" s="115" t="s">
        <v>2059</v>
      </c>
      <c r="F779" s="115" t="s">
        <v>2060</v>
      </c>
      <c r="G779" s="115" t="s">
        <v>2360</v>
      </c>
      <c r="H779" s="113" t="s">
        <v>1922</v>
      </c>
      <c r="I779" s="114">
        <v>20.682753000000002</v>
      </c>
      <c r="J779" s="114">
        <v>-101.361751</v>
      </c>
      <c r="K779" s="113"/>
      <c r="L779" s="116" t="str">
        <f t="shared" si="38"/>
        <v>Ver en Google Maps</v>
      </c>
      <c r="M779" s="113">
        <v>2</v>
      </c>
      <c r="N779" s="129"/>
      <c r="O779" s="118"/>
      <c r="P779" s="118"/>
      <c r="Q779" s="118"/>
      <c r="R779" s="118"/>
      <c r="S779" s="118"/>
      <c r="T779" s="118"/>
      <c r="U779" s="118"/>
      <c r="V779" s="118"/>
      <c r="W779" s="118"/>
      <c r="X779" s="118"/>
      <c r="Y779" s="118"/>
      <c r="Z779" s="118"/>
      <c r="AA779" s="118"/>
      <c r="AB779" s="118"/>
      <c r="AC779" s="119"/>
      <c r="AD779" s="119"/>
      <c r="AE779" s="118"/>
      <c r="AF779" s="120"/>
    </row>
    <row r="780" spans="1:32" x14ac:dyDescent="0.2">
      <c r="A780" s="121">
        <v>363</v>
      </c>
      <c r="B780" s="122" t="s">
        <v>1204</v>
      </c>
      <c r="C780" s="123" t="s">
        <v>429</v>
      </c>
      <c r="D780" s="123" t="s">
        <v>16</v>
      </c>
      <c r="E780" s="124" t="s">
        <v>2061</v>
      </c>
      <c r="F780" s="124" t="s">
        <v>2062</v>
      </c>
      <c r="G780" s="124" t="s">
        <v>2361</v>
      </c>
      <c r="H780" s="122" t="s">
        <v>1922</v>
      </c>
      <c r="I780" s="123">
        <v>20.716280000000001</v>
      </c>
      <c r="J780" s="123">
        <v>-101.36964</v>
      </c>
      <c r="K780" s="122"/>
      <c r="L780" s="125" t="str">
        <f t="shared" si="38"/>
        <v>Ver en Google Maps</v>
      </c>
      <c r="M780" s="122">
        <v>1</v>
      </c>
      <c r="N780" s="130"/>
      <c r="O780" s="109"/>
      <c r="P780" s="109"/>
      <c r="Q780" s="109"/>
      <c r="R780" s="109"/>
      <c r="S780" s="109"/>
      <c r="T780" s="109"/>
      <c r="U780" s="109"/>
      <c r="V780" s="109"/>
      <c r="W780" s="109"/>
      <c r="X780" s="109"/>
      <c r="Y780" s="109"/>
      <c r="Z780" s="109"/>
      <c r="AA780" s="109"/>
      <c r="AB780" s="109"/>
      <c r="AC780" s="110"/>
      <c r="AD780" s="110"/>
      <c r="AE780" s="109"/>
      <c r="AF780" s="111"/>
    </row>
    <row r="781" spans="1:32" x14ac:dyDescent="0.2">
      <c r="A781" s="112">
        <v>375</v>
      </c>
      <c r="B781" s="113" t="s">
        <v>1204</v>
      </c>
      <c r="C781" s="114" t="s">
        <v>429</v>
      </c>
      <c r="D781" s="114" t="s">
        <v>16</v>
      </c>
      <c r="E781" s="115" t="s">
        <v>2063</v>
      </c>
      <c r="F781" s="115" t="s">
        <v>2064</v>
      </c>
      <c r="G781" s="115" t="s">
        <v>1302</v>
      </c>
      <c r="H781" s="113" t="s">
        <v>1922</v>
      </c>
      <c r="I781" s="114">
        <v>20.66628</v>
      </c>
      <c r="J781" s="114">
        <v>-101.36836</v>
      </c>
      <c r="K781" s="113"/>
      <c r="L781" s="116" t="str">
        <f t="shared" si="38"/>
        <v>Ver en Google Maps</v>
      </c>
      <c r="M781" s="113">
        <v>1</v>
      </c>
      <c r="N781" s="129"/>
      <c r="O781" s="118"/>
      <c r="P781" s="118"/>
      <c r="Q781" s="118"/>
      <c r="R781" s="118"/>
      <c r="S781" s="118"/>
      <c r="T781" s="118"/>
      <c r="U781" s="118"/>
      <c r="V781" s="118"/>
      <c r="W781" s="118"/>
      <c r="X781" s="118"/>
      <c r="Y781" s="118"/>
      <c r="Z781" s="118"/>
      <c r="AA781" s="118"/>
      <c r="AB781" s="118"/>
      <c r="AC781" s="119"/>
      <c r="AD781" s="119"/>
      <c r="AE781" s="118"/>
      <c r="AF781" s="120"/>
    </row>
    <row r="782" spans="1:32" x14ac:dyDescent="0.2">
      <c r="A782" s="121">
        <v>377</v>
      </c>
      <c r="B782" s="122" t="s">
        <v>1204</v>
      </c>
      <c r="C782" s="123" t="s">
        <v>429</v>
      </c>
      <c r="D782" s="123" t="s">
        <v>16</v>
      </c>
      <c r="E782" s="124" t="s">
        <v>2065</v>
      </c>
      <c r="F782" s="124" t="s">
        <v>2066</v>
      </c>
      <c r="G782" s="124" t="s">
        <v>2362</v>
      </c>
      <c r="H782" s="122" t="s">
        <v>1922</v>
      </c>
      <c r="I782" s="123">
        <v>20.68817</v>
      </c>
      <c r="J782" s="123">
        <v>-101.36911000000001</v>
      </c>
      <c r="K782" s="122"/>
      <c r="L782" s="125" t="str">
        <f t="shared" si="38"/>
        <v>Ver en Google Maps</v>
      </c>
      <c r="M782" s="122">
        <v>1</v>
      </c>
      <c r="N782" s="130"/>
      <c r="O782" s="109"/>
      <c r="P782" s="109"/>
      <c r="Q782" s="109"/>
      <c r="R782" s="109"/>
      <c r="S782" s="109"/>
      <c r="T782" s="109"/>
      <c r="U782" s="109"/>
      <c r="V782" s="109"/>
      <c r="W782" s="109"/>
      <c r="X782" s="109"/>
      <c r="Y782" s="109"/>
      <c r="Z782" s="109"/>
      <c r="AA782" s="109"/>
      <c r="AB782" s="109"/>
      <c r="AC782" s="110"/>
      <c r="AD782" s="110"/>
      <c r="AE782" s="109"/>
      <c r="AF782" s="111"/>
    </row>
    <row r="783" spans="1:32" x14ac:dyDescent="0.2">
      <c r="A783" s="112">
        <v>378</v>
      </c>
      <c r="B783" s="113" t="s">
        <v>1204</v>
      </c>
      <c r="C783" s="114" t="s">
        <v>429</v>
      </c>
      <c r="D783" s="114" t="s">
        <v>16</v>
      </c>
      <c r="E783" s="115" t="s">
        <v>2067</v>
      </c>
      <c r="F783" s="115" t="s">
        <v>2068</v>
      </c>
      <c r="G783" s="115" t="s">
        <v>1022</v>
      </c>
      <c r="H783" s="113" t="s">
        <v>1922</v>
      </c>
      <c r="I783" s="114">
        <v>20.66011</v>
      </c>
      <c r="J783" s="114">
        <v>-101.32925</v>
      </c>
      <c r="K783" s="113"/>
      <c r="L783" s="116" t="str">
        <f t="shared" ref="L783:L846" si="39">HYPERLINK("https://www.google.com/maps?q=" &amp; I783 &amp; "," &amp; J783, "Ver en Google Maps")</f>
        <v>Ver en Google Maps</v>
      </c>
      <c r="M783" s="113">
        <v>1</v>
      </c>
      <c r="N783" s="129"/>
      <c r="O783" s="118"/>
      <c r="P783" s="118"/>
      <c r="Q783" s="118"/>
      <c r="R783" s="118"/>
      <c r="S783" s="118"/>
      <c r="T783" s="118"/>
      <c r="U783" s="118"/>
      <c r="V783" s="118"/>
      <c r="W783" s="118"/>
      <c r="X783" s="118"/>
      <c r="Y783" s="118"/>
      <c r="Z783" s="118"/>
      <c r="AA783" s="118"/>
      <c r="AB783" s="118"/>
      <c r="AC783" s="119"/>
      <c r="AD783" s="119"/>
      <c r="AE783" s="118"/>
      <c r="AF783" s="120"/>
    </row>
    <row r="784" spans="1:32" x14ac:dyDescent="0.2">
      <c r="A784" s="121">
        <v>379</v>
      </c>
      <c r="B784" s="122" t="s">
        <v>1204</v>
      </c>
      <c r="C784" s="123" t="s">
        <v>429</v>
      </c>
      <c r="D784" s="123" t="s">
        <v>16</v>
      </c>
      <c r="E784" s="124" t="s">
        <v>2069</v>
      </c>
      <c r="F784" s="124" t="s">
        <v>2070</v>
      </c>
      <c r="G784" s="124" t="s">
        <v>2363</v>
      </c>
      <c r="H784" s="122" t="s">
        <v>1922</v>
      </c>
      <c r="I784" s="123">
        <v>20.679462999999998</v>
      </c>
      <c r="J784" s="123">
        <v>-101.35194300000001</v>
      </c>
      <c r="K784" s="122"/>
      <c r="L784" s="125" t="str">
        <f t="shared" si="39"/>
        <v>Ver en Google Maps</v>
      </c>
      <c r="M784" s="122">
        <v>1</v>
      </c>
      <c r="N784" s="130"/>
      <c r="O784" s="109"/>
      <c r="P784" s="109"/>
      <c r="Q784" s="109"/>
      <c r="R784" s="109"/>
      <c r="S784" s="109"/>
      <c r="T784" s="109"/>
      <c r="U784" s="109"/>
      <c r="V784" s="109"/>
      <c r="W784" s="109"/>
      <c r="X784" s="109"/>
      <c r="Y784" s="109"/>
      <c r="Z784" s="109"/>
      <c r="AA784" s="109"/>
      <c r="AB784" s="109"/>
      <c r="AC784" s="110"/>
      <c r="AD784" s="110"/>
      <c r="AE784" s="109"/>
      <c r="AF784" s="111"/>
    </row>
    <row r="785" spans="1:32" x14ac:dyDescent="0.2">
      <c r="A785" s="112">
        <v>393</v>
      </c>
      <c r="B785" s="113" t="s">
        <v>1204</v>
      </c>
      <c r="C785" s="114" t="s">
        <v>429</v>
      </c>
      <c r="D785" s="114" t="s">
        <v>16</v>
      </c>
      <c r="E785" s="115" t="s">
        <v>2071</v>
      </c>
      <c r="F785" s="115" t="s">
        <v>2072</v>
      </c>
      <c r="G785" s="115" t="s">
        <v>2364</v>
      </c>
      <c r="H785" s="113" t="s">
        <v>1922</v>
      </c>
      <c r="I785" s="114">
        <v>20.686579999999999</v>
      </c>
      <c r="J785" s="114">
        <v>-101.34186</v>
      </c>
      <c r="K785" s="113"/>
      <c r="L785" s="116" t="str">
        <f t="shared" si="39"/>
        <v>Ver en Google Maps</v>
      </c>
      <c r="M785" s="113">
        <v>1</v>
      </c>
      <c r="N785" s="129"/>
      <c r="O785" s="118"/>
      <c r="P785" s="118"/>
      <c r="Q785" s="118"/>
      <c r="R785" s="118"/>
      <c r="S785" s="118"/>
      <c r="T785" s="118"/>
      <c r="U785" s="118"/>
      <c r="V785" s="118"/>
      <c r="W785" s="118"/>
      <c r="X785" s="118"/>
      <c r="Y785" s="118"/>
      <c r="Z785" s="118"/>
      <c r="AA785" s="118"/>
      <c r="AB785" s="118"/>
      <c r="AC785" s="119"/>
      <c r="AD785" s="119"/>
      <c r="AE785" s="118"/>
      <c r="AF785" s="120"/>
    </row>
    <row r="786" spans="1:32" x14ac:dyDescent="0.2">
      <c r="A786" s="121">
        <v>406</v>
      </c>
      <c r="B786" s="122" t="s">
        <v>1204</v>
      </c>
      <c r="C786" s="123" t="s">
        <v>429</v>
      </c>
      <c r="D786" s="123" t="s">
        <v>16</v>
      </c>
      <c r="E786" s="124" t="s">
        <v>2073</v>
      </c>
      <c r="F786" s="124" t="s">
        <v>2074</v>
      </c>
      <c r="G786" s="124" t="s">
        <v>2341</v>
      </c>
      <c r="H786" s="122" t="s">
        <v>1922</v>
      </c>
      <c r="I786" s="123">
        <v>20.659437</v>
      </c>
      <c r="J786" s="123">
        <v>-101.364617</v>
      </c>
      <c r="K786" s="122"/>
      <c r="L786" s="125" t="str">
        <f t="shared" si="39"/>
        <v>Ver en Google Maps</v>
      </c>
      <c r="M786" s="122">
        <v>2</v>
      </c>
      <c r="N786" s="130"/>
      <c r="O786" s="109"/>
      <c r="P786" s="109"/>
      <c r="Q786" s="109"/>
      <c r="R786" s="109"/>
      <c r="S786" s="109"/>
      <c r="T786" s="109"/>
      <c r="U786" s="109"/>
      <c r="V786" s="109"/>
      <c r="W786" s="109"/>
      <c r="X786" s="109"/>
      <c r="Y786" s="109"/>
      <c r="Z786" s="109"/>
      <c r="AA786" s="109"/>
      <c r="AB786" s="109"/>
      <c r="AC786" s="110"/>
      <c r="AD786" s="110"/>
      <c r="AE786" s="109"/>
      <c r="AF786" s="111"/>
    </row>
    <row r="787" spans="1:32" x14ac:dyDescent="0.2">
      <c r="A787" s="112">
        <v>411</v>
      </c>
      <c r="B787" s="113" t="s">
        <v>1204</v>
      </c>
      <c r="C787" s="114" t="s">
        <v>429</v>
      </c>
      <c r="D787" s="114" t="s">
        <v>16</v>
      </c>
      <c r="E787" s="115" t="s">
        <v>2075</v>
      </c>
      <c r="F787" s="115" t="s">
        <v>2076</v>
      </c>
      <c r="G787" s="115" t="s">
        <v>2365</v>
      </c>
      <c r="H787" s="113" t="s">
        <v>1922</v>
      </c>
      <c r="I787" s="114">
        <v>20.69969</v>
      </c>
      <c r="J787" s="114">
        <v>-101.36324999999999</v>
      </c>
      <c r="K787" s="113"/>
      <c r="L787" s="116" t="str">
        <f t="shared" si="39"/>
        <v>Ver en Google Maps</v>
      </c>
      <c r="M787" s="113">
        <v>1</v>
      </c>
      <c r="N787" s="129"/>
      <c r="O787" s="118"/>
      <c r="P787" s="118"/>
      <c r="Q787" s="118"/>
      <c r="R787" s="118"/>
      <c r="S787" s="118"/>
      <c r="T787" s="118"/>
      <c r="U787" s="118"/>
      <c r="V787" s="118"/>
      <c r="W787" s="118"/>
      <c r="X787" s="118"/>
      <c r="Y787" s="118"/>
      <c r="Z787" s="118"/>
      <c r="AA787" s="118"/>
      <c r="AB787" s="118"/>
      <c r="AC787" s="119"/>
      <c r="AD787" s="119"/>
      <c r="AE787" s="118"/>
      <c r="AF787" s="120"/>
    </row>
    <row r="788" spans="1:32" x14ac:dyDescent="0.2">
      <c r="A788" s="121">
        <v>415</v>
      </c>
      <c r="B788" s="122" t="s">
        <v>1204</v>
      </c>
      <c r="C788" s="123" t="s">
        <v>429</v>
      </c>
      <c r="D788" s="123" t="s">
        <v>16</v>
      </c>
      <c r="E788" s="124" t="s">
        <v>2077</v>
      </c>
      <c r="F788" s="124" t="s">
        <v>2078</v>
      </c>
      <c r="G788" s="124" t="s">
        <v>2366</v>
      </c>
      <c r="H788" s="122" t="s">
        <v>1922</v>
      </c>
      <c r="I788" s="123">
        <v>20.660333000000001</v>
      </c>
      <c r="J788" s="123">
        <v>-101.352296</v>
      </c>
      <c r="K788" s="122"/>
      <c r="L788" s="125" t="str">
        <f t="shared" si="39"/>
        <v>Ver en Google Maps</v>
      </c>
      <c r="M788" s="122">
        <v>1</v>
      </c>
      <c r="N788" s="130"/>
      <c r="O788" s="109"/>
      <c r="P788" s="109"/>
      <c r="Q788" s="109"/>
      <c r="R788" s="109"/>
      <c r="S788" s="109"/>
      <c r="T788" s="109"/>
      <c r="U788" s="109"/>
      <c r="V788" s="109"/>
      <c r="W788" s="109"/>
      <c r="X788" s="109"/>
      <c r="Y788" s="109"/>
      <c r="Z788" s="109"/>
      <c r="AA788" s="109"/>
      <c r="AB788" s="109"/>
      <c r="AC788" s="110"/>
      <c r="AD788" s="110"/>
      <c r="AE788" s="109"/>
      <c r="AF788" s="111"/>
    </row>
    <row r="789" spans="1:32" x14ac:dyDescent="0.2">
      <c r="A789" s="112">
        <v>424</v>
      </c>
      <c r="B789" s="113" t="s">
        <v>1204</v>
      </c>
      <c r="C789" s="114" t="s">
        <v>429</v>
      </c>
      <c r="D789" s="114" t="s">
        <v>16</v>
      </c>
      <c r="E789" s="115" t="s">
        <v>2079</v>
      </c>
      <c r="F789" s="115" t="s">
        <v>2080</v>
      </c>
      <c r="G789" s="115" t="s">
        <v>2367</v>
      </c>
      <c r="H789" s="113" t="s">
        <v>1922</v>
      </c>
      <c r="I789" s="114" t="s">
        <v>2081</v>
      </c>
      <c r="J789" s="114">
        <v>-101.337311</v>
      </c>
      <c r="K789" s="113"/>
      <c r="L789" s="116" t="str">
        <f t="shared" si="39"/>
        <v>Ver en Google Maps</v>
      </c>
      <c r="M789" s="113">
        <v>1</v>
      </c>
      <c r="N789" s="129"/>
      <c r="O789" s="118"/>
      <c r="P789" s="118"/>
      <c r="Q789" s="118"/>
      <c r="R789" s="118"/>
      <c r="S789" s="118"/>
      <c r="T789" s="118"/>
      <c r="U789" s="118"/>
      <c r="V789" s="118"/>
      <c r="W789" s="118"/>
      <c r="X789" s="118"/>
      <c r="Y789" s="118"/>
      <c r="Z789" s="118"/>
      <c r="AA789" s="118"/>
      <c r="AB789" s="118"/>
      <c r="AC789" s="119"/>
      <c r="AD789" s="119"/>
      <c r="AE789" s="118"/>
      <c r="AF789" s="120"/>
    </row>
    <row r="790" spans="1:32" x14ac:dyDescent="0.2">
      <c r="A790" s="121">
        <v>426</v>
      </c>
      <c r="B790" s="122" t="s">
        <v>1204</v>
      </c>
      <c r="C790" s="123" t="s">
        <v>429</v>
      </c>
      <c r="D790" s="123" t="s">
        <v>16</v>
      </c>
      <c r="E790" s="124" t="s">
        <v>2082</v>
      </c>
      <c r="F790" s="124" t="s">
        <v>2083</v>
      </c>
      <c r="G790" s="124" t="s">
        <v>1853</v>
      </c>
      <c r="H790" s="122" t="s">
        <v>1922</v>
      </c>
      <c r="I790" s="123">
        <v>20.665783999999999</v>
      </c>
      <c r="J790" s="123">
        <v>-101.372298</v>
      </c>
      <c r="K790" s="122" t="s">
        <v>139</v>
      </c>
      <c r="L790" s="125" t="str">
        <f t="shared" si="39"/>
        <v>Ver en Google Maps</v>
      </c>
      <c r="M790" s="122">
        <v>1</v>
      </c>
      <c r="N790" s="108"/>
      <c r="O790" s="109">
        <f>DAY('BD2'!$N790)</f>
        <v>0</v>
      </c>
      <c r="P790" s="109">
        <f>MONTH('BD2'!$N790)</f>
        <v>1</v>
      </c>
      <c r="Q790" s="109">
        <f>YEAR('BD2'!$N790)</f>
        <v>1900</v>
      </c>
      <c r="R790" s="109">
        <v>2</v>
      </c>
      <c r="S790" s="109" t="s">
        <v>138</v>
      </c>
      <c r="T790" s="109" t="s">
        <v>138</v>
      </c>
      <c r="U790" s="109" t="s">
        <v>138</v>
      </c>
      <c r="V790" s="109" t="s">
        <v>138</v>
      </c>
      <c r="W790" s="109" t="s">
        <v>138</v>
      </c>
      <c r="X790" s="109" t="s">
        <v>138</v>
      </c>
      <c r="Y790" s="109" t="s">
        <v>138</v>
      </c>
      <c r="Z790" s="109" t="str">
        <f>IF('BD2'!$AA790 &lt; 14, "no", "si")</f>
        <v>no</v>
      </c>
      <c r="AA790" s="109"/>
      <c r="AB790" s="109"/>
      <c r="AC790" s="110" t="s">
        <v>967</v>
      </c>
      <c r="AD790" s="110" t="s">
        <v>2436</v>
      </c>
      <c r="AE790" s="109">
        <f t="shared" ref="AE790:AE819" si="40">COUNTIF(S790:Z790, "si")</f>
        <v>7</v>
      </c>
      <c r="AF790" s="111" t="str">
        <f t="shared" ref="AF772:AF835" si="41">IF(AE790=8,"Estable",(IF(AE790=7,"Funcional con observaciones", (IF(AE790=6,"Funcional con observaciones",(IF(AE790=5,"Rendimiento bajo",(IF(AE790=4,"Parcialmente funcional",(IF(AE790=3,"Parcialmente funcional",(IF(AE790=2,"Inoperativo",(IF(AE790=1,"Inoperativo","Crítico")))))))))))))))</f>
        <v>Funcional con observaciones</v>
      </c>
    </row>
    <row r="791" spans="1:32" x14ac:dyDescent="0.2">
      <c r="A791" s="112">
        <v>427</v>
      </c>
      <c r="B791" s="113" t="s">
        <v>1204</v>
      </c>
      <c r="C791" s="114" t="s">
        <v>429</v>
      </c>
      <c r="D791" s="114" t="s">
        <v>16</v>
      </c>
      <c r="E791" s="115" t="s">
        <v>2084</v>
      </c>
      <c r="F791" s="115" t="s">
        <v>2085</v>
      </c>
      <c r="G791" s="115" t="s">
        <v>2327</v>
      </c>
      <c r="H791" s="113" t="s">
        <v>1922</v>
      </c>
      <c r="I791" s="114">
        <v>20.67231</v>
      </c>
      <c r="J791" s="114">
        <v>-101.37730000000001</v>
      </c>
      <c r="K791" s="113" t="s">
        <v>139</v>
      </c>
      <c r="L791" s="116" t="str">
        <f t="shared" si="39"/>
        <v>Ver en Google Maps</v>
      </c>
      <c r="M791" s="113">
        <v>2</v>
      </c>
      <c r="N791" s="117"/>
      <c r="O791" s="118">
        <f>DAY('BD2'!$N791)</f>
        <v>0</v>
      </c>
      <c r="P791" s="118">
        <f>MONTH('BD2'!$N791)</f>
        <v>1</v>
      </c>
      <c r="Q791" s="118">
        <f>YEAR('BD2'!$N791)</f>
        <v>1900</v>
      </c>
      <c r="R791" s="118">
        <v>2</v>
      </c>
      <c r="S791" s="118" t="s">
        <v>138</v>
      </c>
      <c r="T791" s="118" t="s">
        <v>138</v>
      </c>
      <c r="U791" s="118" t="s">
        <v>138</v>
      </c>
      <c r="V791" s="118" t="s">
        <v>138</v>
      </c>
      <c r="W791" s="118" t="s">
        <v>138</v>
      </c>
      <c r="X791" s="118" t="s">
        <v>138</v>
      </c>
      <c r="Y791" s="118" t="s">
        <v>138</v>
      </c>
      <c r="Z791" s="118" t="str">
        <f>IF('BD2'!$AA791 &lt; 14, "no", "si")</f>
        <v>no</v>
      </c>
      <c r="AA791" s="118"/>
      <c r="AB791" s="118"/>
      <c r="AC791" s="119" t="s">
        <v>2446</v>
      </c>
      <c r="AD791" s="119" t="s">
        <v>2436</v>
      </c>
      <c r="AE791" s="118">
        <f t="shared" si="40"/>
        <v>7</v>
      </c>
      <c r="AF791" s="120" t="str">
        <f t="shared" si="41"/>
        <v>Funcional con observaciones</v>
      </c>
    </row>
    <row r="792" spans="1:32" x14ac:dyDescent="0.2">
      <c r="A792" s="121">
        <v>446</v>
      </c>
      <c r="B792" s="122" t="s">
        <v>1204</v>
      </c>
      <c r="C792" s="123" t="s">
        <v>429</v>
      </c>
      <c r="D792" s="123" t="s">
        <v>16</v>
      </c>
      <c r="E792" s="124" t="s">
        <v>2086</v>
      </c>
      <c r="F792" s="124" t="s">
        <v>2087</v>
      </c>
      <c r="G792" s="124" t="s">
        <v>2368</v>
      </c>
      <c r="H792" s="122" t="s">
        <v>1922</v>
      </c>
      <c r="I792" s="123">
        <v>20.66281</v>
      </c>
      <c r="J792" s="123">
        <v>-101.35791999999999</v>
      </c>
      <c r="K792" s="122"/>
      <c r="L792" s="125" t="str">
        <f t="shared" si="39"/>
        <v>Ver en Google Maps</v>
      </c>
      <c r="M792" s="122">
        <v>2</v>
      </c>
      <c r="N792" s="130"/>
      <c r="O792" s="109"/>
      <c r="P792" s="109"/>
      <c r="Q792" s="109"/>
      <c r="R792" s="109"/>
      <c r="S792" s="109"/>
      <c r="T792" s="109"/>
      <c r="U792" s="109"/>
      <c r="V792" s="109"/>
      <c r="W792" s="109"/>
      <c r="X792" s="109"/>
      <c r="Y792" s="109"/>
      <c r="Z792" s="109"/>
      <c r="AA792" s="109"/>
      <c r="AB792" s="109"/>
      <c r="AC792" s="110"/>
      <c r="AD792" s="110"/>
      <c r="AE792" s="109"/>
      <c r="AF792" s="111"/>
    </row>
    <row r="793" spans="1:32" x14ac:dyDescent="0.2">
      <c r="A793" s="112">
        <v>450</v>
      </c>
      <c r="B793" s="113" t="s">
        <v>1204</v>
      </c>
      <c r="C793" s="114" t="s">
        <v>429</v>
      </c>
      <c r="D793" s="114" t="s">
        <v>16</v>
      </c>
      <c r="E793" s="115" t="s">
        <v>2088</v>
      </c>
      <c r="F793" s="115" t="s">
        <v>2089</v>
      </c>
      <c r="G793" s="115" t="s">
        <v>2369</v>
      </c>
      <c r="H793" s="113" t="s">
        <v>1922</v>
      </c>
      <c r="I793" s="114">
        <v>20.682700000000001</v>
      </c>
      <c r="J793" s="114">
        <v>-101.37317</v>
      </c>
      <c r="K793" s="113"/>
      <c r="L793" s="116" t="str">
        <f t="shared" si="39"/>
        <v>Ver en Google Maps</v>
      </c>
      <c r="M793" s="113">
        <v>2</v>
      </c>
      <c r="N793" s="129"/>
      <c r="O793" s="118"/>
      <c r="P793" s="118"/>
      <c r="Q793" s="118"/>
      <c r="R793" s="118"/>
      <c r="S793" s="118"/>
      <c r="T793" s="118"/>
      <c r="U793" s="118"/>
      <c r="V793" s="118"/>
      <c r="W793" s="118"/>
      <c r="X793" s="118"/>
      <c r="Y793" s="118"/>
      <c r="Z793" s="118"/>
      <c r="AA793" s="118"/>
      <c r="AB793" s="118"/>
      <c r="AC793" s="119"/>
      <c r="AD793" s="119"/>
      <c r="AE793" s="118"/>
      <c r="AF793" s="120"/>
    </row>
    <row r="794" spans="1:32" x14ac:dyDescent="0.2">
      <c r="A794" s="121">
        <v>452</v>
      </c>
      <c r="B794" s="122" t="s">
        <v>1204</v>
      </c>
      <c r="C794" s="123" t="s">
        <v>429</v>
      </c>
      <c r="D794" s="123" t="s">
        <v>16</v>
      </c>
      <c r="E794" s="124" t="s">
        <v>2090</v>
      </c>
      <c r="F794" s="124" t="s">
        <v>2091</v>
      </c>
      <c r="G794" s="124" t="s">
        <v>2370</v>
      </c>
      <c r="H794" s="122" t="s">
        <v>1922</v>
      </c>
      <c r="I794" s="123">
        <v>20.661816999999999</v>
      </c>
      <c r="J794" s="123">
        <v>-101.38460600000001</v>
      </c>
      <c r="K794" s="122"/>
      <c r="L794" s="125" t="str">
        <f t="shared" si="39"/>
        <v>Ver en Google Maps</v>
      </c>
      <c r="M794" s="122">
        <v>1</v>
      </c>
      <c r="N794" s="130"/>
      <c r="O794" s="109"/>
      <c r="P794" s="109"/>
      <c r="Q794" s="109"/>
      <c r="R794" s="109"/>
      <c r="S794" s="109"/>
      <c r="T794" s="109"/>
      <c r="U794" s="109"/>
      <c r="V794" s="109"/>
      <c r="W794" s="109"/>
      <c r="X794" s="109"/>
      <c r="Y794" s="109"/>
      <c r="Z794" s="109"/>
      <c r="AA794" s="109"/>
      <c r="AB794" s="109"/>
      <c r="AC794" s="110"/>
      <c r="AD794" s="110"/>
      <c r="AE794" s="109"/>
      <c r="AF794" s="111"/>
    </row>
    <row r="795" spans="1:32" x14ac:dyDescent="0.2">
      <c r="A795" s="112">
        <v>455</v>
      </c>
      <c r="B795" s="113" t="s">
        <v>1204</v>
      </c>
      <c r="C795" s="114" t="s">
        <v>429</v>
      </c>
      <c r="D795" s="114" t="s">
        <v>16</v>
      </c>
      <c r="E795" s="115" t="s">
        <v>2092</v>
      </c>
      <c r="F795" s="115" t="s">
        <v>2093</v>
      </c>
      <c r="G795" s="115" t="s">
        <v>2371</v>
      </c>
      <c r="H795" s="113" t="s">
        <v>1922</v>
      </c>
      <c r="I795" s="114">
        <v>20.661860999999998</v>
      </c>
      <c r="J795" s="114">
        <v>-101.369837</v>
      </c>
      <c r="K795" s="113" t="s">
        <v>139</v>
      </c>
      <c r="L795" s="116" t="str">
        <f t="shared" si="39"/>
        <v>Ver en Google Maps</v>
      </c>
      <c r="M795" s="113">
        <v>2</v>
      </c>
      <c r="N795" s="117"/>
      <c r="O795" s="118">
        <f>DAY('BD2'!$N795)</f>
        <v>0</v>
      </c>
      <c r="P795" s="118">
        <f>MONTH('BD2'!$N795)</f>
        <v>1</v>
      </c>
      <c r="Q795" s="118">
        <f>YEAR('BD2'!$N795)</f>
        <v>1900</v>
      </c>
      <c r="R795" s="118">
        <v>2</v>
      </c>
      <c r="S795" s="118" t="s">
        <v>138</v>
      </c>
      <c r="T795" s="118" t="s">
        <v>138</v>
      </c>
      <c r="U795" s="118" t="s">
        <v>138</v>
      </c>
      <c r="V795" s="118" t="s">
        <v>138</v>
      </c>
      <c r="W795" s="118" t="s">
        <v>138</v>
      </c>
      <c r="X795" s="118" t="s">
        <v>138</v>
      </c>
      <c r="Y795" s="118" t="s">
        <v>138</v>
      </c>
      <c r="Z795" s="118" t="str">
        <f>IF('BD2'!$AA795 &lt; 14, "no", "si")</f>
        <v>no</v>
      </c>
      <c r="AA795" s="118"/>
      <c r="AB795" s="118"/>
      <c r="AC795" s="119" t="s">
        <v>967</v>
      </c>
      <c r="AD795" s="119" t="s">
        <v>2436</v>
      </c>
      <c r="AE795" s="118">
        <f t="shared" si="40"/>
        <v>7</v>
      </c>
      <c r="AF795" s="120" t="str">
        <f t="shared" si="41"/>
        <v>Funcional con observaciones</v>
      </c>
    </row>
    <row r="796" spans="1:32" x14ac:dyDescent="0.2">
      <c r="A796" s="121">
        <v>457</v>
      </c>
      <c r="B796" s="122" t="s">
        <v>1204</v>
      </c>
      <c r="C796" s="123" t="s">
        <v>429</v>
      </c>
      <c r="D796" s="123" t="s">
        <v>16</v>
      </c>
      <c r="E796" s="124" t="s">
        <v>2094</v>
      </c>
      <c r="F796" s="124" t="s">
        <v>2095</v>
      </c>
      <c r="G796" s="124" t="s">
        <v>2372</v>
      </c>
      <c r="H796" s="122" t="s">
        <v>1922</v>
      </c>
      <c r="I796" s="123">
        <v>20.654145</v>
      </c>
      <c r="J796" s="123">
        <v>-101.372378</v>
      </c>
      <c r="K796" s="122"/>
      <c r="L796" s="125" t="str">
        <f t="shared" si="39"/>
        <v>Ver en Google Maps</v>
      </c>
      <c r="M796" s="122">
        <v>1</v>
      </c>
      <c r="N796" s="130"/>
      <c r="O796" s="109"/>
      <c r="P796" s="109"/>
      <c r="Q796" s="109"/>
      <c r="R796" s="109"/>
      <c r="S796" s="109"/>
      <c r="T796" s="109"/>
      <c r="U796" s="109"/>
      <c r="V796" s="109"/>
      <c r="W796" s="109"/>
      <c r="X796" s="109"/>
      <c r="Y796" s="109"/>
      <c r="Z796" s="109"/>
      <c r="AA796" s="109"/>
      <c r="AB796" s="109"/>
      <c r="AC796" s="110"/>
      <c r="AD796" s="110"/>
      <c r="AE796" s="109"/>
      <c r="AF796" s="111"/>
    </row>
    <row r="797" spans="1:32" x14ac:dyDescent="0.2">
      <c r="A797" s="112">
        <v>460</v>
      </c>
      <c r="B797" s="113" t="s">
        <v>1204</v>
      </c>
      <c r="C797" s="114" t="s">
        <v>429</v>
      </c>
      <c r="D797" s="114" t="s">
        <v>16</v>
      </c>
      <c r="E797" s="115" t="s">
        <v>2096</v>
      </c>
      <c r="F797" s="115" t="s">
        <v>2097</v>
      </c>
      <c r="G797" s="115" t="s">
        <v>2326</v>
      </c>
      <c r="H797" s="113" t="s">
        <v>1922</v>
      </c>
      <c r="I797" s="114">
        <v>20.700199999999999</v>
      </c>
      <c r="J797" s="114">
        <v>-101.36836</v>
      </c>
      <c r="K797" s="113"/>
      <c r="L797" s="116" t="str">
        <f t="shared" si="39"/>
        <v>Ver en Google Maps</v>
      </c>
      <c r="M797" s="113">
        <v>1</v>
      </c>
      <c r="N797" s="129"/>
      <c r="O797" s="118"/>
      <c r="P797" s="118"/>
      <c r="Q797" s="118"/>
      <c r="R797" s="118"/>
      <c r="S797" s="118"/>
      <c r="T797" s="118"/>
      <c r="U797" s="118"/>
      <c r="V797" s="118"/>
      <c r="W797" s="118"/>
      <c r="X797" s="118"/>
      <c r="Y797" s="118"/>
      <c r="Z797" s="118"/>
      <c r="AA797" s="118"/>
      <c r="AB797" s="118"/>
      <c r="AC797" s="119"/>
      <c r="AD797" s="119"/>
      <c r="AE797" s="118"/>
      <c r="AF797" s="120"/>
    </row>
    <row r="798" spans="1:32" x14ac:dyDescent="0.2">
      <c r="A798" s="121">
        <v>467</v>
      </c>
      <c r="B798" s="122" t="s">
        <v>1204</v>
      </c>
      <c r="C798" s="123" t="s">
        <v>429</v>
      </c>
      <c r="D798" s="123" t="s">
        <v>16</v>
      </c>
      <c r="E798" s="124" t="s">
        <v>2098</v>
      </c>
      <c r="F798" s="124" t="s">
        <v>2099</v>
      </c>
      <c r="G798" s="124" t="s">
        <v>2373</v>
      </c>
      <c r="H798" s="122" t="s">
        <v>1922</v>
      </c>
      <c r="I798" s="123">
        <v>20.653670000000002</v>
      </c>
      <c r="J798" s="123">
        <v>-101.36078000000001</v>
      </c>
      <c r="K798" s="122" t="s">
        <v>139</v>
      </c>
      <c r="L798" s="125" t="str">
        <f t="shared" si="39"/>
        <v>Ver en Google Maps</v>
      </c>
      <c r="M798" s="122">
        <v>2</v>
      </c>
      <c r="N798" s="108"/>
      <c r="O798" s="109">
        <f>DAY('BD2'!$N798)</f>
        <v>0</v>
      </c>
      <c r="P798" s="109">
        <f>MONTH('BD2'!$N798)</f>
        <v>1</v>
      </c>
      <c r="Q798" s="109">
        <f>YEAR('BD2'!$N798)</f>
        <v>1900</v>
      </c>
      <c r="R798" s="109">
        <v>2</v>
      </c>
      <c r="S798" s="109" t="s">
        <v>138</v>
      </c>
      <c r="T798" s="109" t="s">
        <v>138</v>
      </c>
      <c r="U798" s="109" t="s">
        <v>138</v>
      </c>
      <c r="V798" s="109" t="s">
        <v>138</v>
      </c>
      <c r="W798" s="109" t="s">
        <v>138</v>
      </c>
      <c r="X798" s="109" t="s">
        <v>138</v>
      </c>
      <c r="Y798" s="109" t="s">
        <v>138</v>
      </c>
      <c r="Z798" s="109" t="str">
        <f>IF('BD2'!$AA798 &lt; 14, "no", "si")</f>
        <v>no</v>
      </c>
      <c r="AA798" s="109"/>
      <c r="AB798" s="109"/>
      <c r="AC798" s="110" t="s">
        <v>2441</v>
      </c>
      <c r="AD798" s="110" t="s">
        <v>2436</v>
      </c>
      <c r="AE798" s="109">
        <f t="shared" si="40"/>
        <v>7</v>
      </c>
      <c r="AF798" s="111" t="str">
        <f t="shared" si="41"/>
        <v>Funcional con observaciones</v>
      </c>
    </row>
    <row r="799" spans="1:32" x14ac:dyDescent="0.2">
      <c r="A799" s="112">
        <v>471</v>
      </c>
      <c r="B799" s="113" t="s">
        <v>1204</v>
      </c>
      <c r="C799" s="114" t="s">
        <v>429</v>
      </c>
      <c r="D799" s="114" t="s">
        <v>16</v>
      </c>
      <c r="E799" s="115" t="s">
        <v>2100</v>
      </c>
      <c r="F799" s="115" t="s">
        <v>2101</v>
      </c>
      <c r="G799" s="115" t="s">
        <v>2300</v>
      </c>
      <c r="H799" s="113" t="s">
        <v>1922</v>
      </c>
      <c r="I799" s="114">
        <v>20.653939999999999</v>
      </c>
      <c r="J799" s="114">
        <v>-101.34583000000001</v>
      </c>
      <c r="K799" s="113" t="s">
        <v>139</v>
      </c>
      <c r="L799" s="116" t="str">
        <f t="shared" si="39"/>
        <v>Ver en Google Maps</v>
      </c>
      <c r="M799" s="113">
        <v>2</v>
      </c>
      <c r="N799" s="117">
        <v>45962</v>
      </c>
      <c r="O799" s="118">
        <f>DAY('BD2'!$N799)</f>
        <v>1</v>
      </c>
      <c r="P799" s="118">
        <f>MONTH('BD2'!$N799)</f>
        <v>11</v>
      </c>
      <c r="Q799" s="118">
        <f>YEAR('BD2'!$N799)</f>
        <v>2025</v>
      </c>
      <c r="R799" s="118">
        <v>2</v>
      </c>
      <c r="S799" s="118" t="s">
        <v>138</v>
      </c>
      <c r="T799" s="118" t="s">
        <v>138</v>
      </c>
      <c r="U799" s="118" t="s">
        <v>138</v>
      </c>
      <c r="V799" s="118" t="s">
        <v>138</v>
      </c>
      <c r="W799" s="118" t="s">
        <v>138</v>
      </c>
      <c r="X799" s="118" t="s">
        <v>138</v>
      </c>
      <c r="Y799" s="118" t="s">
        <v>138</v>
      </c>
      <c r="Z799" s="118" t="str">
        <f>IF('BD2'!$AA799 &lt; 14, "no", "si")</f>
        <v>si</v>
      </c>
      <c r="AA799" s="118">
        <v>21.9</v>
      </c>
      <c r="AB799" s="118">
        <v>1.5</v>
      </c>
      <c r="AC799" s="119" t="s">
        <v>967</v>
      </c>
      <c r="AD799" s="119" t="s">
        <v>2436</v>
      </c>
      <c r="AE799" s="118">
        <f t="shared" si="40"/>
        <v>8</v>
      </c>
      <c r="AF799" s="120" t="str">
        <f t="shared" si="41"/>
        <v>Estable</v>
      </c>
    </row>
    <row r="800" spans="1:32" x14ac:dyDescent="0.2">
      <c r="A800" s="121">
        <v>497</v>
      </c>
      <c r="B800" s="122" t="s">
        <v>1204</v>
      </c>
      <c r="C800" s="123" t="s">
        <v>429</v>
      </c>
      <c r="D800" s="123" t="s">
        <v>16</v>
      </c>
      <c r="E800" s="124" t="s">
        <v>2102</v>
      </c>
      <c r="F800" s="124" t="s">
        <v>2103</v>
      </c>
      <c r="G800" s="124" t="s">
        <v>2374</v>
      </c>
      <c r="H800" s="122" t="s">
        <v>1922</v>
      </c>
      <c r="I800" s="123">
        <v>20.706859999999999</v>
      </c>
      <c r="J800" s="123">
        <v>-101.37272</v>
      </c>
      <c r="K800" s="122"/>
      <c r="L800" s="125" t="str">
        <f t="shared" si="39"/>
        <v>Ver en Google Maps</v>
      </c>
      <c r="M800" s="122">
        <v>1</v>
      </c>
      <c r="N800" s="130"/>
      <c r="O800" s="109"/>
      <c r="P800" s="109"/>
      <c r="Q800" s="109"/>
      <c r="R800" s="109"/>
      <c r="S800" s="109"/>
      <c r="T800" s="109"/>
      <c r="U800" s="109"/>
      <c r="V800" s="109"/>
      <c r="W800" s="109"/>
      <c r="X800" s="109"/>
      <c r="Y800" s="109"/>
      <c r="Z800" s="109"/>
      <c r="AA800" s="109"/>
      <c r="AB800" s="109"/>
      <c r="AC800" s="110"/>
      <c r="AD800" s="110"/>
      <c r="AE800" s="109"/>
      <c r="AF800" s="111"/>
    </row>
    <row r="801" spans="1:32" x14ac:dyDescent="0.2">
      <c r="A801" s="112">
        <v>506</v>
      </c>
      <c r="B801" s="113" t="s">
        <v>1204</v>
      </c>
      <c r="C801" s="114" t="s">
        <v>429</v>
      </c>
      <c r="D801" s="114" t="s">
        <v>15</v>
      </c>
      <c r="E801" s="115" t="s">
        <v>2104</v>
      </c>
      <c r="F801" s="115" t="s">
        <v>2105</v>
      </c>
      <c r="G801" s="115" t="s">
        <v>2375</v>
      </c>
      <c r="H801" s="113" t="s">
        <v>1922</v>
      </c>
      <c r="I801" s="114">
        <v>20.672329999999999</v>
      </c>
      <c r="J801" s="114">
        <v>-101.36799999999999</v>
      </c>
      <c r="K801" s="113"/>
      <c r="L801" s="116" t="str">
        <f t="shared" si="39"/>
        <v>Ver en Google Maps</v>
      </c>
      <c r="M801" s="113">
        <v>2</v>
      </c>
      <c r="N801" s="129"/>
      <c r="O801" s="118"/>
      <c r="P801" s="118"/>
      <c r="Q801" s="118"/>
      <c r="R801" s="118"/>
      <c r="S801" s="118"/>
      <c r="T801" s="118"/>
      <c r="U801" s="118"/>
      <c r="V801" s="118"/>
      <c r="W801" s="118"/>
      <c r="X801" s="118"/>
      <c r="Y801" s="118"/>
      <c r="Z801" s="118"/>
      <c r="AA801" s="118"/>
      <c r="AB801" s="118"/>
      <c r="AC801" s="119"/>
      <c r="AD801" s="119"/>
      <c r="AE801" s="118"/>
      <c r="AF801" s="120"/>
    </row>
    <row r="802" spans="1:32" x14ac:dyDescent="0.2">
      <c r="A802" s="121">
        <v>509</v>
      </c>
      <c r="B802" s="122" t="s">
        <v>1204</v>
      </c>
      <c r="C802" s="123" t="s">
        <v>429</v>
      </c>
      <c r="D802" s="123" t="s">
        <v>15</v>
      </c>
      <c r="E802" s="124" t="s">
        <v>2106</v>
      </c>
      <c r="F802" s="124" t="s">
        <v>2107</v>
      </c>
      <c r="G802" s="124" t="s">
        <v>2339</v>
      </c>
      <c r="H802" s="122" t="s">
        <v>1922</v>
      </c>
      <c r="I802" s="123">
        <v>20.662140999999998</v>
      </c>
      <c r="J802" s="123">
        <v>-101.353459</v>
      </c>
      <c r="K802" s="122"/>
      <c r="L802" s="125" t="str">
        <f t="shared" si="39"/>
        <v>Ver en Google Maps</v>
      </c>
      <c r="M802" s="122">
        <v>2</v>
      </c>
      <c r="N802" s="130"/>
      <c r="O802" s="109"/>
      <c r="P802" s="109"/>
      <c r="Q802" s="109"/>
      <c r="R802" s="109"/>
      <c r="S802" s="109"/>
      <c r="T802" s="109"/>
      <c r="U802" s="109"/>
      <c r="V802" s="109"/>
      <c r="W802" s="109"/>
      <c r="X802" s="109"/>
      <c r="Y802" s="109"/>
      <c r="Z802" s="109"/>
      <c r="AA802" s="109"/>
      <c r="AB802" s="109"/>
      <c r="AC802" s="110"/>
      <c r="AD802" s="110"/>
      <c r="AE802" s="109"/>
      <c r="AF802" s="111"/>
    </row>
    <row r="803" spans="1:32" x14ac:dyDescent="0.2">
      <c r="A803" s="112">
        <v>515</v>
      </c>
      <c r="B803" s="113" t="s">
        <v>1204</v>
      </c>
      <c r="C803" s="114" t="s">
        <v>429</v>
      </c>
      <c r="D803" s="114" t="s">
        <v>15</v>
      </c>
      <c r="E803" s="115" t="s">
        <v>2108</v>
      </c>
      <c r="F803" s="115" t="s">
        <v>2109</v>
      </c>
      <c r="G803" s="115" t="s">
        <v>2376</v>
      </c>
      <c r="H803" s="113" t="s">
        <v>1922</v>
      </c>
      <c r="I803" s="114">
        <v>20.694859999999998</v>
      </c>
      <c r="J803" s="114">
        <v>-101.36622</v>
      </c>
      <c r="K803" s="113"/>
      <c r="L803" s="116" t="str">
        <f t="shared" si="39"/>
        <v>Ver en Google Maps</v>
      </c>
      <c r="M803" s="113">
        <v>2</v>
      </c>
      <c r="N803" s="129"/>
      <c r="O803" s="118"/>
      <c r="P803" s="118"/>
      <c r="Q803" s="118"/>
      <c r="R803" s="118"/>
      <c r="S803" s="118"/>
      <c r="T803" s="118"/>
      <c r="U803" s="118"/>
      <c r="V803" s="118"/>
      <c r="W803" s="118"/>
      <c r="X803" s="118"/>
      <c r="Y803" s="118"/>
      <c r="Z803" s="118"/>
      <c r="AA803" s="118"/>
      <c r="AB803" s="118"/>
      <c r="AC803" s="119"/>
      <c r="AD803" s="119"/>
      <c r="AE803" s="118"/>
      <c r="AF803" s="120"/>
    </row>
    <row r="804" spans="1:32" x14ac:dyDescent="0.2">
      <c r="A804" s="121">
        <v>518</v>
      </c>
      <c r="B804" s="122" t="s">
        <v>1204</v>
      </c>
      <c r="C804" s="123" t="s">
        <v>429</v>
      </c>
      <c r="D804" s="123" t="s">
        <v>15</v>
      </c>
      <c r="E804" s="124" t="s">
        <v>2110</v>
      </c>
      <c r="F804" s="124" t="s">
        <v>2111</v>
      </c>
      <c r="G804" s="124" t="s">
        <v>2349</v>
      </c>
      <c r="H804" s="122" t="s">
        <v>1922</v>
      </c>
      <c r="I804" s="123">
        <v>20.661397000000001</v>
      </c>
      <c r="J804" s="123">
        <v>-101.365094</v>
      </c>
      <c r="K804" s="122"/>
      <c r="L804" s="125" t="str">
        <f t="shared" si="39"/>
        <v>Ver en Google Maps</v>
      </c>
      <c r="M804" s="122">
        <v>2</v>
      </c>
      <c r="N804" s="130"/>
      <c r="O804" s="109"/>
      <c r="P804" s="109"/>
      <c r="Q804" s="109"/>
      <c r="R804" s="109"/>
      <c r="S804" s="109"/>
      <c r="T804" s="109"/>
      <c r="U804" s="109"/>
      <c r="V804" s="109"/>
      <c r="W804" s="109"/>
      <c r="X804" s="109"/>
      <c r="Y804" s="109"/>
      <c r="Z804" s="109"/>
      <c r="AA804" s="109"/>
      <c r="AB804" s="109"/>
      <c r="AC804" s="110"/>
      <c r="AD804" s="110"/>
      <c r="AE804" s="109"/>
      <c r="AF804" s="111"/>
    </row>
    <row r="805" spans="1:32" x14ac:dyDescent="0.2">
      <c r="A805" s="112">
        <v>520</v>
      </c>
      <c r="B805" s="113" t="s">
        <v>1204</v>
      </c>
      <c r="C805" s="114" t="s">
        <v>429</v>
      </c>
      <c r="D805" s="114" t="s">
        <v>15</v>
      </c>
      <c r="E805" s="115" t="s">
        <v>2112</v>
      </c>
      <c r="F805" s="115" t="s">
        <v>2113</v>
      </c>
      <c r="G805" s="115" t="s">
        <v>2300</v>
      </c>
      <c r="H805" s="113" t="s">
        <v>1922</v>
      </c>
      <c r="I805" s="114">
        <v>20.653549999999999</v>
      </c>
      <c r="J805" s="114">
        <v>-101.34822</v>
      </c>
      <c r="K805" s="113" t="s">
        <v>139</v>
      </c>
      <c r="L805" s="116" t="str">
        <f t="shared" si="39"/>
        <v>Ver en Google Maps</v>
      </c>
      <c r="M805" s="113">
        <v>2</v>
      </c>
      <c r="N805" s="117">
        <v>45962</v>
      </c>
      <c r="O805" s="118">
        <f>DAY('BD2'!$N805)</f>
        <v>1</v>
      </c>
      <c r="P805" s="118">
        <f>MONTH('BD2'!$N805)</f>
        <v>11</v>
      </c>
      <c r="Q805" s="118">
        <f>YEAR('BD2'!$N805)</f>
        <v>2025</v>
      </c>
      <c r="R805" s="118">
        <v>2</v>
      </c>
      <c r="S805" s="118" t="s">
        <v>138</v>
      </c>
      <c r="T805" s="118" t="s">
        <v>138</v>
      </c>
      <c r="U805" s="118" t="s">
        <v>138</v>
      </c>
      <c r="V805" s="118" t="s">
        <v>138</v>
      </c>
      <c r="W805" s="118" t="s">
        <v>138</v>
      </c>
      <c r="X805" s="118" t="s">
        <v>138</v>
      </c>
      <c r="Y805" s="118" t="s">
        <v>138</v>
      </c>
      <c r="Z805" s="118" t="str">
        <f>IF('BD2'!$AA805 &lt; 14, "no", "si")</f>
        <v>si</v>
      </c>
      <c r="AA805" s="118">
        <v>43.1</v>
      </c>
      <c r="AB805" s="118">
        <v>37.9</v>
      </c>
      <c r="AC805" s="119" t="s">
        <v>967</v>
      </c>
      <c r="AD805" s="119" t="s">
        <v>2436</v>
      </c>
      <c r="AE805" s="118">
        <f t="shared" si="40"/>
        <v>8</v>
      </c>
      <c r="AF805" s="120" t="str">
        <f t="shared" si="41"/>
        <v>Estable</v>
      </c>
    </row>
    <row r="806" spans="1:32" x14ac:dyDescent="0.2">
      <c r="A806" s="121">
        <v>528</v>
      </c>
      <c r="B806" s="122" t="s">
        <v>1204</v>
      </c>
      <c r="C806" s="123" t="s">
        <v>429</v>
      </c>
      <c r="D806" s="123" t="s">
        <v>15</v>
      </c>
      <c r="E806" s="124" t="s">
        <v>2114</v>
      </c>
      <c r="F806" s="124" t="s">
        <v>2115</v>
      </c>
      <c r="G806" s="124" t="s">
        <v>2376</v>
      </c>
      <c r="H806" s="122" t="s">
        <v>1922</v>
      </c>
      <c r="I806" s="123">
        <v>20.693059999999999</v>
      </c>
      <c r="J806" s="123">
        <v>-101.36536</v>
      </c>
      <c r="K806" s="122"/>
      <c r="L806" s="125" t="str">
        <f t="shared" si="39"/>
        <v>Ver en Google Maps</v>
      </c>
      <c r="M806" s="122">
        <v>2</v>
      </c>
      <c r="N806" s="130"/>
      <c r="O806" s="109"/>
      <c r="P806" s="109"/>
      <c r="Q806" s="109"/>
      <c r="R806" s="109"/>
      <c r="S806" s="109"/>
      <c r="T806" s="109"/>
      <c r="U806" s="109"/>
      <c r="V806" s="109"/>
      <c r="W806" s="109"/>
      <c r="X806" s="109"/>
      <c r="Y806" s="109"/>
      <c r="Z806" s="109"/>
      <c r="AA806" s="109"/>
      <c r="AB806" s="109"/>
      <c r="AC806" s="110"/>
      <c r="AD806" s="110"/>
      <c r="AE806" s="109"/>
      <c r="AF806" s="111"/>
    </row>
    <row r="807" spans="1:32" x14ac:dyDescent="0.2">
      <c r="A807" s="112">
        <v>541</v>
      </c>
      <c r="B807" s="113" t="s">
        <v>1204</v>
      </c>
      <c r="C807" s="114" t="s">
        <v>14</v>
      </c>
      <c r="D807" s="114" t="s">
        <v>404</v>
      </c>
      <c r="E807" s="115" t="s">
        <v>2116</v>
      </c>
      <c r="F807" s="115" t="s">
        <v>2117</v>
      </c>
      <c r="G807" s="115" t="s">
        <v>2377</v>
      </c>
      <c r="H807" s="113" t="s">
        <v>1922</v>
      </c>
      <c r="I807" s="114">
        <v>20.681262</v>
      </c>
      <c r="J807" s="114">
        <v>-101.359807</v>
      </c>
      <c r="K807" s="113"/>
      <c r="L807" s="116" t="str">
        <f t="shared" si="39"/>
        <v>Ver en Google Maps</v>
      </c>
      <c r="M807" s="113">
        <v>2</v>
      </c>
      <c r="N807" s="129"/>
      <c r="O807" s="118"/>
      <c r="P807" s="118"/>
      <c r="Q807" s="118"/>
      <c r="R807" s="118"/>
      <c r="S807" s="118"/>
      <c r="T807" s="118"/>
      <c r="U807" s="118"/>
      <c r="V807" s="118"/>
      <c r="W807" s="118"/>
      <c r="X807" s="118"/>
      <c r="Y807" s="118"/>
      <c r="Z807" s="118"/>
      <c r="AA807" s="118"/>
      <c r="AB807" s="118"/>
      <c r="AC807" s="119"/>
      <c r="AD807" s="119"/>
      <c r="AE807" s="118"/>
      <c r="AF807" s="120"/>
    </row>
    <row r="808" spans="1:32" x14ac:dyDescent="0.2">
      <c r="A808" s="121">
        <v>543</v>
      </c>
      <c r="B808" s="122" t="s">
        <v>1204</v>
      </c>
      <c r="C808" s="123" t="s">
        <v>429</v>
      </c>
      <c r="D808" s="123" t="s">
        <v>15</v>
      </c>
      <c r="E808" s="124" t="s">
        <v>2118</v>
      </c>
      <c r="F808" s="124" t="s">
        <v>2119</v>
      </c>
      <c r="G808" s="124" t="s">
        <v>2378</v>
      </c>
      <c r="H808" s="122" t="s">
        <v>1922</v>
      </c>
      <c r="I808" s="123">
        <v>20.706309999999998</v>
      </c>
      <c r="J808" s="123">
        <v>-101.33812399999999</v>
      </c>
      <c r="K808" s="122"/>
      <c r="L808" s="125" t="str">
        <f t="shared" si="39"/>
        <v>Ver en Google Maps</v>
      </c>
      <c r="M808" s="122">
        <v>2</v>
      </c>
      <c r="N808" s="130"/>
      <c r="O808" s="109"/>
      <c r="P808" s="109"/>
      <c r="Q808" s="109"/>
      <c r="R808" s="109"/>
      <c r="S808" s="109"/>
      <c r="T808" s="109"/>
      <c r="U808" s="109"/>
      <c r="V808" s="109"/>
      <c r="W808" s="109"/>
      <c r="X808" s="109"/>
      <c r="Y808" s="109"/>
      <c r="Z808" s="109"/>
      <c r="AA808" s="109"/>
      <c r="AB808" s="109"/>
      <c r="AC808" s="110"/>
      <c r="AD808" s="110"/>
      <c r="AE808" s="109"/>
      <c r="AF808" s="111"/>
    </row>
    <row r="809" spans="1:32" x14ac:dyDescent="0.2">
      <c r="A809" s="112">
        <v>544</v>
      </c>
      <c r="B809" s="113" t="s">
        <v>1204</v>
      </c>
      <c r="C809" s="114" t="s">
        <v>429</v>
      </c>
      <c r="D809" s="114" t="s">
        <v>17</v>
      </c>
      <c r="E809" s="115" t="s">
        <v>2120</v>
      </c>
      <c r="F809" s="115" t="s">
        <v>2121</v>
      </c>
      <c r="G809" s="115" t="s">
        <v>1008</v>
      </c>
      <c r="H809" s="113" t="s">
        <v>1922</v>
      </c>
      <c r="I809" s="114">
        <v>20.707920000000001</v>
      </c>
      <c r="J809" s="114">
        <v>-101.35545</v>
      </c>
      <c r="K809" s="113"/>
      <c r="L809" s="116" t="str">
        <f t="shared" si="39"/>
        <v>Ver en Google Maps</v>
      </c>
      <c r="M809" s="113">
        <v>1</v>
      </c>
      <c r="N809" s="129"/>
      <c r="O809" s="118"/>
      <c r="P809" s="118"/>
      <c r="Q809" s="118"/>
      <c r="R809" s="118"/>
      <c r="S809" s="118"/>
      <c r="T809" s="118"/>
      <c r="U809" s="118"/>
      <c r="V809" s="118"/>
      <c r="W809" s="118"/>
      <c r="X809" s="118"/>
      <c r="Y809" s="118"/>
      <c r="Z809" s="118"/>
      <c r="AA809" s="118"/>
      <c r="AB809" s="118"/>
      <c r="AC809" s="119"/>
      <c r="AD809" s="119"/>
      <c r="AE809" s="118"/>
      <c r="AF809" s="120"/>
    </row>
    <row r="810" spans="1:32" x14ac:dyDescent="0.2">
      <c r="A810" s="121">
        <v>551</v>
      </c>
      <c r="B810" s="122" t="s">
        <v>1204</v>
      </c>
      <c r="C810" s="123" t="s">
        <v>429</v>
      </c>
      <c r="D810" s="123" t="s">
        <v>17</v>
      </c>
      <c r="E810" s="124" t="s">
        <v>2122</v>
      </c>
      <c r="F810" s="124" t="s">
        <v>2123</v>
      </c>
      <c r="G810" s="124" t="s">
        <v>1059</v>
      </c>
      <c r="H810" s="122" t="s">
        <v>1922</v>
      </c>
      <c r="I810" s="123">
        <v>20.658017999999998</v>
      </c>
      <c r="J810" s="123">
        <v>-101.349144</v>
      </c>
      <c r="K810" s="122"/>
      <c r="L810" s="125" t="str">
        <f t="shared" si="39"/>
        <v>Ver en Google Maps</v>
      </c>
      <c r="M810" s="122">
        <v>1</v>
      </c>
      <c r="N810" s="130"/>
      <c r="O810" s="109"/>
      <c r="P810" s="109"/>
      <c r="Q810" s="109"/>
      <c r="R810" s="109"/>
      <c r="S810" s="109"/>
      <c r="T810" s="109"/>
      <c r="U810" s="109"/>
      <c r="V810" s="109"/>
      <c r="W810" s="109"/>
      <c r="X810" s="109"/>
      <c r="Y810" s="109"/>
      <c r="Z810" s="109"/>
      <c r="AA810" s="109"/>
      <c r="AB810" s="109"/>
      <c r="AC810" s="110"/>
      <c r="AD810" s="110"/>
      <c r="AE810" s="109"/>
      <c r="AF810" s="111"/>
    </row>
    <row r="811" spans="1:32" x14ac:dyDescent="0.2">
      <c r="A811" s="112">
        <v>560</v>
      </c>
      <c r="B811" s="113" t="s">
        <v>1204</v>
      </c>
      <c r="C811" s="114" t="s">
        <v>429</v>
      </c>
      <c r="D811" s="114" t="s">
        <v>17</v>
      </c>
      <c r="E811" s="115" t="s">
        <v>2124</v>
      </c>
      <c r="F811" s="115" t="s">
        <v>2125</v>
      </c>
      <c r="G811" s="115" t="s">
        <v>2369</v>
      </c>
      <c r="H811" s="113" t="s">
        <v>1922</v>
      </c>
      <c r="I811" s="114">
        <v>20.682359999999999</v>
      </c>
      <c r="J811" s="114">
        <v>-101.37253</v>
      </c>
      <c r="K811" s="113"/>
      <c r="L811" s="116" t="str">
        <f t="shared" si="39"/>
        <v>Ver en Google Maps</v>
      </c>
      <c r="M811" s="113">
        <v>1</v>
      </c>
      <c r="N811" s="129"/>
      <c r="O811" s="118"/>
      <c r="P811" s="118"/>
      <c r="Q811" s="118"/>
      <c r="R811" s="118"/>
      <c r="S811" s="118"/>
      <c r="T811" s="118"/>
      <c r="U811" s="118"/>
      <c r="V811" s="118"/>
      <c r="W811" s="118"/>
      <c r="X811" s="118"/>
      <c r="Y811" s="118"/>
      <c r="Z811" s="118"/>
      <c r="AA811" s="118"/>
      <c r="AB811" s="118"/>
      <c r="AC811" s="119"/>
      <c r="AD811" s="119"/>
      <c r="AE811" s="118"/>
      <c r="AF811" s="120"/>
    </row>
    <row r="812" spans="1:32" x14ac:dyDescent="0.2">
      <c r="A812" s="121">
        <v>562</v>
      </c>
      <c r="B812" s="122" t="s">
        <v>1204</v>
      </c>
      <c r="C812" s="123" t="s">
        <v>429</v>
      </c>
      <c r="D812" s="123" t="s">
        <v>17</v>
      </c>
      <c r="E812" s="124" t="s">
        <v>2126</v>
      </c>
      <c r="F812" s="124" t="s">
        <v>2127</v>
      </c>
      <c r="G812" s="124" t="s">
        <v>1029</v>
      </c>
      <c r="H812" s="122" t="s">
        <v>1922</v>
      </c>
      <c r="I812" s="123">
        <v>20.667249999999999</v>
      </c>
      <c r="J812" s="123">
        <v>-101.35714</v>
      </c>
      <c r="K812" s="122"/>
      <c r="L812" s="125" t="str">
        <f t="shared" si="39"/>
        <v>Ver en Google Maps</v>
      </c>
      <c r="M812" s="122">
        <v>1</v>
      </c>
      <c r="N812" s="130"/>
      <c r="O812" s="109"/>
      <c r="P812" s="109"/>
      <c r="Q812" s="109"/>
      <c r="R812" s="109"/>
      <c r="S812" s="109"/>
      <c r="T812" s="109"/>
      <c r="U812" s="109"/>
      <c r="V812" s="109"/>
      <c r="W812" s="109"/>
      <c r="X812" s="109"/>
      <c r="Y812" s="109"/>
      <c r="Z812" s="109"/>
      <c r="AA812" s="109"/>
      <c r="AB812" s="109"/>
      <c r="AC812" s="110"/>
      <c r="AD812" s="110"/>
      <c r="AE812" s="109"/>
      <c r="AF812" s="111"/>
    </row>
    <row r="813" spans="1:32" x14ac:dyDescent="0.2">
      <c r="A813" s="112">
        <v>565</v>
      </c>
      <c r="B813" s="113" t="s">
        <v>1204</v>
      </c>
      <c r="C813" s="114" t="s">
        <v>429</v>
      </c>
      <c r="D813" s="114" t="s">
        <v>17</v>
      </c>
      <c r="E813" s="115" t="s">
        <v>2128</v>
      </c>
      <c r="F813" s="115" t="s">
        <v>2129</v>
      </c>
      <c r="G813" s="115" t="s">
        <v>2379</v>
      </c>
      <c r="H813" s="113" t="s">
        <v>1922</v>
      </c>
      <c r="I813" s="114">
        <v>20.693629999999999</v>
      </c>
      <c r="J813" s="114">
        <v>-101.334093</v>
      </c>
      <c r="K813" s="113"/>
      <c r="L813" s="116" t="str">
        <f t="shared" si="39"/>
        <v>Ver en Google Maps</v>
      </c>
      <c r="M813" s="113">
        <v>1</v>
      </c>
      <c r="N813" s="129"/>
      <c r="O813" s="118"/>
      <c r="P813" s="118"/>
      <c r="Q813" s="118"/>
      <c r="R813" s="118"/>
      <c r="S813" s="118"/>
      <c r="T813" s="118"/>
      <c r="U813" s="118"/>
      <c r="V813" s="118"/>
      <c r="W813" s="118"/>
      <c r="X813" s="118"/>
      <c r="Y813" s="118"/>
      <c r="Z813" s="118"/>
      <c r="AA813" s="118"/>
      <c r="AB813" s="118"/>
      <c r="AC813" s="119"/>
      <c r="AD813" s="119"/>
      <c r="AE813" s="118"/>
      <c r="AF813" s="120"/>
    </row>
    <row r="814" spans="1:32" x14ac:dyDescent="0.2">
      <c r="A814" s="121">
        <v>579</v>
      </c>
      <c r="B814" s="122" t="s">
        <v>1204</v>
      </c>
      <c r="C814" s="123" t="s">
        <v>429</v>
      </c>
      <c r="D814" s="123" t="s">
        <v>17</v>
      </c>
      <c r="E814" s="124" t="s">
        <v>2130</v>
      </c>
      <c r="F814" s="124" t="s">
        <v>2131</v>
      </c>
      <c r="G814" s="124" t="s">
        <v>1056</v>
      </c>
      <c r="H814" s="122" t="s">
        <v>1922</v>
      </c>
      <c r="I814" s="123">
        <v>20.705169999999999</v>
      </c>
      <c r="J814" s="123">
        <v>-101.37272</v>
      </c>
      <c r="K814" s="122"/>
      <c r="L814" s="125" t="str">
        <f t="shared" si="39"/>
        <v>Ver en Google Maps</v>
      </c>
      <c r="M814" s="122">
        <v>1</v>
      </c>
      <c r="N814" s="130"/>
      <c r="O814" s="109"/>
      <c r="P814" s="109"/>
      <c r="Q814" s="109"/>
      <c r="R814" s="109"/>
      <c r="S814" s="109"/>
      <c r="T814" s="109"/>
      <c r="U814" s="109"/>
      <c r="V814" s="109"/>
      <c r="W814" s="109"/>
      <c r="X814" s="109"/>
      <c r="Y814" s="109"/>
      <c r="Z814" s="109"/>
      <c r="AA814" s="109"/>
      <c r="AB814" s="109"/>
      <c r="AC814" s="110"/>
      <c r="AD814" s="110"/>
      <c r="AE814" s="109"/>
      <c r="AF814" s="111"/>
    </row>
    <row r="815" spans="1:32" x14ac:dyDescent="0.2">
      <c r="A815" s="112">
        <v>583</v>
      </c>
      <c r="B815" s="113" t="s">
        <v>1204</v>
      </c>
      <c r="C815" s="114" t="s">
        <v>429</v>
      </c>
      <c r="D815" s="114" t="s">
        <v>17</v>
      </c>
      <c r="E815" s="115" t="s">
        <v>2132</v>
      </c>
      <c r="F815" s="115" t="s">
        <v>2133</v>
      </c>
      <c r="G815" s="115" t="s">
        <v>2380</v>
      </c>
      <c r="H815" s="113" t="s">
        <v>1922</v>
      </c>
      <c r="I815" s="114">
        <v>20.680420000000002</v>
      </c>
      <c r="J815" s="114">
        <v>-101.33308</v>
      </c>
      <c r="K815" s="113"/>
      <c r="L815" s="116" t="str">
        <f t="shared" si="39"/>
        <v>Ver en Google Maps</v>
      </c>
      <c r="M815" s="113">
        <v>1</v>
      </c>
      <c r="N815" s="129"/>
      <c r="O815" s="118"/>
      <c r="P815" s="118"/>
      <c r="Q815" s="118"/>
      <c r="R815" s="118"/>
      <c r="S815" s="118"/>
      <c r="T815" s="118"/>
      <c r="U815" s="118"/>
      <c r="V815" s="118"/>
      <c r="W815" s="118"/>
      <c r="X815" s="118"/>
      <c r="Y815" s="118"/>
      <c r="Z815" s="118"/>
      <c r="AA815" s="118"/>
      <c r="AB815" s="118"/>
      <c r="AC815" s="119"/>
      <c r="AD815" s="119"/>
      <c r="AE815" s="118"/>
      <c r="AF815" s="120"/>
    </row>
    <row r="816" spans="1:32" x14ac:dyDescent="0.2">
      <c r="A816" s="121">
        <v>584</v>
      </c>
      <c r="B816" s="122" t="s">
        <v>1204</v>
      </c>
      <c r="C816" s="123" t="s">
        <v>429</v>
      </c>
      <c r="D816" s="123" t="s">
        <v>17</v>
      </c>
      <c r="E816" s="124" t="s">
        <v>2134</v>
      </c>
      <c r="F816" s="124" t="s">
        <v>2135</v>
      </c>
      <c r="G816" s="124" t="s">
        <v>2370</v>
      </c>
      <c r="H816" s="122" t="s">
        <v>1922</v>
      </c>
      <c r="I816" s="123">
        <v>20.66086</v>
      </c>
      <c r="J816" s="123">
        <v>-101.37981000000001</v>
      </c>
      <c r="K816" s="122"/>
      <c r="L816" s="125" t="str">
        <f t="shared" si="39"/>
        <v>Ver en Google Maps</v>
      </c>
      <c r="M816" s="122">
        <v>1</v>
      </c>
      <c r="N816" s="130"/>
      <c r="O816" s="109"/>
      <c r="P816" s="109"/>
      <c r="Q816" s="109"/>
      <c r="R816" s="109"/>
      <c r="S816" s="109"/>
      <c r="T816" s="109"/>
      <c r="U816" s="109"/>
      <c r="V816" s="109"/>
      <c r="W816" s="109"/>
      <c r="X816" s="109"/>
      <c r="Y816" s="109"/>
      <c r="Z816" s="109"/>
      <c r="AA816" s="109"/>
      <c r="AB816" s="109"/>
      <c r="AC816" s="110"/>
      <c r="AD816" s="110"/>
      <c r="AE816" s="109"/>
      <c r="AF816" s="111"/>
    </row>
    <row r="817" spans="1:32" x14ac:dyDescent="0.2">
      <c r="A817" s="112">
        <v>586</v>
      </c>
      <c r="B817" s="113" t="s">
        <v>1204</v>
      </c>
      <c r="C817" s="114" t="s">
        <v>429</v>
      </c>
      <c r="D817" s="114" t="s">
        <v>17</v>
      </c>
      <c r="E817" s="115" t="s">
        <v>2136</v>
      </c>
      <c r="F817" s="115" t="s">
        <v>2137</v>
      </c>
      <c r="G817" s="115" t="s">
        <v>1896</v>
      </c>
      <c r="H817" s="113" t="s">
        <v>1922</v>
      </c>
      <c r="I817" s="114">
        <v>20.653639999999999</v>
      </c>
      <c r="J817" s="114">
        <v>-101.36366</v>
      </c>
      <c r="K817" s="113"/>
      <c r="L817" s="116" t="str">
        <f t="shared" si="39"/>
        <v>Ver en Google Maps</v>
      </c>
      <c r="M817" s="113">
        <v>1</v>
      </c>
      <c r="N817" s="129"/>
      <c r="O817" s="118"/>
      <c r="P817" s="118"/>
      <c r="Q817" s="118"/>
      <c r="R817" s="118"/>
      <c r="S817" s="118"/>
      <c r="T817" s="118"/>
      <c r="U817" s="118"/>
      <c r="V817" s="118"/>
      <c r="W817" s="118"/>
      <c r="X817" s="118"/>
      <c r="Y817" s="118"/>
      <c r="Z817" s="118"/>
      <c r="AA817" s="118"/>
      <c r="AB817" s="118"/>
      <c r="AC817" s="119"/>
      <c r="AD817" s="119"/>
      <c r="AE817" s="118"/>
      <c r="AF817" s="120"/>
    </row>
    <row r="818" spans="1:32" x14ac:dyDescent="0.2">
      <c r="A818" s="121">
        <v>589</v>
      </c>
      <c r="B818" s="122" t="s">
        <v>1204</v>
      </c>
      <c r="C818" s="123" t="s">
        <v>429</v>
      </c>
      <c r="D818" s="123" t="s">
        <v>17</v>
      </c>
      <c r="E818" s="124" t="s">
        <v>2138</v>
      </c>
      <c r="F818" s="124" t="s">
        <v>2139</v>
      </c>
      <c r="G818" s="124" t="s">
        <v>2381</v>
      </c>
      <c r="H818" s="122" t="s">
        <v>1922</v>
      </c>
      <c r="I818" s="123">
        <v>20.68225</v>
      </c>
      <c r="J818" s="123">
        <v>-101.32819000000001</v>
      </c>
      <c r="K818" s="122"/>
      <c r="L818" s="125" t="str">
        <f t="shared" si="39"/>
        <v>Ver en Google Maps</v>
      </c>
      <c r="M818" s="122">
        <v>1</v>
      </c>
      <c r="N818" s="130"/>
      <c r="O818" s="109"/>
      <c r="P818" s="109"/>
      <c r="Q818" s="109"/>
      <c r="R818" s="109"/>
      <c r="S818" s="109"/>
      <c r="T818" s="109"/>
      <c r="U818" s="109"/>
      <c r="V818" s="109"/>
      <c r="W818" s="109"/>
      <c r="X818" s="109"/>
      <c r="Y818" s="109"/>
      <c r="Z818" s="109"/>
      <c r="AA818" s="109"/>
      <c r="AB818" s="109"/>
      <c r="AC818" s="110"/>
      <c r="AD818" s="110"/>
      <c r="AE818" s="109"/>
      <c r="AF818" s="111"/>
    </row>
    <row r="819" spans="1:32" x14ac:dyDescent="0.2">
      <c r="A819" s="112">
        <v>590</v>
      </c>
      <c r="B819" s="113" t="s">
        <v>1204</v>
      </c>
      <c r="C819" s="114" t="s">
        <v>429</v>
      </c>
      <c r="D819" s="114" t="s">
        <v>17</v>
      </c>
      <c r="E819" s="115" t="s">
        <v>2140</v>
      </c>
      <c r="F819" s="115" t="s">
        <v>2141</v>
      </c>
      <c r="G819" s="115" t="s">
        <v>2311</v>
      </c>
      <c r="H819" s="113" t="s">
        <v>1922</v>
      </c>
      <c r="I819" s="114">
        <v>20.653755</v>
      </c>
      <c r="J819" s="114">
        <v>-101.338993</v>
      </c>
      <c r="K819" s="113" t="s">
        <v>139</v>
      </c>
      <c r="L819" s="116" t="str">
        <f t="shared" si="39"/>
        <v>Ver en Google Maps</v>
      </c>
      <c r="M819" s="113">
        <v>1</v>
      </c>
      <c r="N819" s="117">
        <v>45962</v>
      </c>
      <c r="O819" s="118">
        <f>DAY('BD2'!$N819)</f>
        <v>1</v>
      </c>
      <c r="P819" s="118">
        <f>MONTH('BD2'!$N819)</f>
        <v>11</v>
      </c>
      <c r="Q819" s="118">
        <f>YEAR('BD2'!$N819)</f>
        <v>2025</v>
      </c>
      <c r="R819" s="118">
        <v>2</v>
      </c>
      <c r="S819" s="118" t="s">
        <v>138</v>
      </c>
      <c r="T819" s="118" t="s">
        <v>138</v>
      </c>
      <c r="U819" s="118" t="s">
        <v>138</v>
      </c>
      <c r="V819" s="118" t="s">
        <v>138</v>
      </c>
      <c r="W819" s="118" t="s">
        <v>138</v>
      </c>
      <c r="X819" s="118" t="s">
        <v>138</v>
      </c>
      <c r="Y819" s="118" t="s">
        <v>138</v>
      </c>
      <c r="Z819" s="118" t="str">
        <f>IF('BD2'!$AA819 &lt; 14, "no", "si")</f>
        <v>si</v>
      </c>
      <c r="AA819" s="118">
        <v>61.1</v>
      </c>
      <c r="AB819" s="118">
        <v>55.3</v>
      </c>
      <c r="AC819" s="119" t="s">
        <v>967</v>
      </c>
      <c r="AD819" s="119" t="s">
        <v>2436</v>
      </c>
      <c r="AE819" s="118">
        <f t="shared" si="40"/>
        <v>8</v>
      </c>
      <c r="AF819" s="120" t="str">
        <f t="shared" si="41"/>
        <v>Estable</v>
      </c>
    </row>
    <row r="820" spans="1:32" x14ac:dyDescent="0.2">
      <c r="A820" s="121">
        <v>618</v>
      </c>
      <c r="B820" s="122" t="s">
        <v>1204</v>
      </c>
      <c r="C820" s="123" t="s">
        <v>429</v>
      </c>
      <c r="D820" s="123" t="s">
        <v>16</v>
      </c>
      <c r="E820" s="124" t="s">
        <v>2142</v>
      </c>
      <c r="F820" s="124" t="s">
        <v>2143</v>
      </c>
      <c r="G820" s="124" t="s">
        <v>2382</v>
      </c>
      <c r="H820" s="122" t="s">
        <v>1922</v>
      </c>
      <c r="I820" s="123">
        <v>20.704750000000001</v>
      </c>
      <c r="J820" s="123">
        <v>-101.35554</v>
      </c>
      <c r="K820" s="122"/>
      <c r="L820" s="125" t="str">
        <f t="shared" si="39"/>
        <v>Ver en Google Maps</v>
      </c>
      <c r="M820" s="122">
        <v>2</v>
      </c>
      <c r="N820" s="130"/>
      <c r="O820" s="109"/>
      <c r="P820" s="109"/>
      <c r="Q820" s="109"/>
      <c r="R820" s="109"/>
      <c r="S820" s="109"/>
      <c r="T820" s="109"/>
      <c r="U820" s="109"/>
      <c r="V820" s="109"/>
      <c r="W820" s="109"/>
      <c r="X820" s="109"/>
      <c r="Y820" s="109"/>
      <c r="Z820" s="109"/>
      <c r="AA820" s="109"/>
      <c r="AB820" s="109"/>
      <c r="AC820" s="110"/>
      <c r="AD820" s="110"/>
      <c r="AE820" s="109"/>
      <c r="AF820" s="111"/>
    </row>
    <row r="821" spans="1:32" x14ac:dyDescent="0.2">
      <c r="A821" s="112">
        <v>619</v>
      </c>
      <c r="B821" s="113" t="s">
        <v>1204</v>
      </c>
      <c r="C821" s="114" t="s">
        <v>429</v>
      </c>
      <c r="D821" s="114" t="s">
        <v>16</v>
      </c>
      <c r="E821" s="115" t="s">
        <v>2144</v>
      </c>
      <c r="F821" s="115" t="s">
        <v>2145</v>
      </c>
      <c r="G821" s="115" t="s">
        <v>2383</v>
      </c>
      <c r="H821" s="113" t="s">
        <v>1922</v>
      </c>
      <c r="I821" s="114">
        <v>20.671690000000002</v>
      </c>
      <c r="J821" s="114">
        <v>-101.36153</v>
      </c>
      <c r="K821" s="113"/>
      <c r="L821" s="116" t="str">
        <f t="shared" si="39"/>
        <v>Ver en Google Maps</v>
      </c>
      <c r="M821" s="113">
        <v>1</v>
      </c>
      <c r="N821" s="129"/>
      <c r="O821" s="118"/>
      <c r="P821" s="118"/>
      <c r="Q821" s="118"/>
      <c r="R821" s="118"/>
      <c r="S821" s="118"/>
      <c r="T821" s="118"/>
      <c r="U821" s="118"/>
      <c r="V821" s="118"/>
      <c r="W821" s="118"/>
      <c r="X821" s="118"/>
      <c r="Y821" s="118"/>
      <c r="Z821" s="118"/>
      <c r="AA821" s="118"/>
      <c r="AB821" s="118"/>
      <c r="AC821" s="119"/>
      <c r="AD821" s="119"/>
      <c r="AE821" s="118"/>
      <c r="AF821" s="120"/>
    </row>
    <row r="822" spans="1:32" x14ac:dyDescent="0.2">
      <c r="A822" s="121">
        <v>620</v>
      </c>
      <c r="B822" s="122" t="s">
        <v>1204</v>
      </c>
      <c r="C822" s="123" t="s">
        <v>429</v>
      </c>
      <c r="D822" s="123" t="s">
        <v>16</v>
      </c>
      <c r="E822" s="124" t="s">
        <v>2146</v>
      </c>
      <c r="F822" s="124" t="s">
        <v>2147</v>
      </c>
      <c r="G822" s="124" t="s">
        <v>2384</v>
      </c>
      <c r="H822" s="122" t="s">
        <v>1922</v>
      </c>
      <c r="I822" s="123">
        <v>20.672419999999999</v>
      </c>
      <c r="J822" s="123">
        <v>-101.36716</v>
      </c>
      <c r="K822" s="122"/>
      <c r="L822" s="125" t="str">
        <f t="shared" si="39"/>
        <v>Ver en Google Maps</v>
      </c>
      <c r="M822" s="122">
        <v>1</v>
      </c>
      <c r="N822" s="130"/>
      <c r="O822" s="109"/>
      <c r="P822" s="109"/>
      <c r="Q822" s="109"/>
      <c r="R822" s="109"/>
      <c r="S822" s="109"/>
      <c r="T822" s="109"/>
      <c r="U822" s="109"/>
      <c r="V822" s="109"/>
      <c r="W822" s="109"/>
      <c r="X822" s="109"/>
      <c r="Y822" s="109"/>
      <c r="Z822" s="109"/>
      <c r="AA822" s="109"/>
      <c r="AB822" s="109"/>
      <c r="AC822" s="110"/>
      <c r="AD822" s="110"/>
      <c r="AE822" s="109"/>
      <c r="AF822" s="111"/>
    </row>
    <row r="823" spans="1:32" x14ac:dyDescent="0.2">
      <c r="A823" s="112">
        <v>621</v>
      </c>
      <c r="B823" s="113" t="s">
        <v>1204</v>
      </c>
      <c r="C823" s="114" t="s">
        <v>429</v>
      </c>
      <c r="D823" s="114" t="s">
        <v>16</v>
      </c>
      <c r="E823" s="115" t="s">
        <v>2148</v>
      </c>
      <c r="F823" s="115" t="s">
        <v>2149</v>
      </c>
      <c r="G823" s="115" t="s">
        <v>2385</v>
      </c>
      <c r="H823" s="113" t="s">
        <v>1922</v>
      </c>
      <c r="I823" s="114">
        <v>20.673829999999999</v>
      </c>
      <c r="J823" s="114">
        <v>-101.35047</v>
      </c>
      <c r="K823" s="113"/>
      <c r="L823" s="116" t="str">
        <f t="shared" si="39"/>
        <v>Ver en Google Maps</v>
      </c>
      <c r="M823" s="113">
        <v>2</v>
      </c>
      <c r="N823" s="129"/>
      <c r="O823" s="118"/>
      <c r="P823" s="118"/>
      <c r="Q823" s="118"/>
      <c r="R823" s="118"/>
      <c r="S823" s="118"/>
      <c r="T823" s="118"/>
      <c r="U823" s="118"/>
      <c r="V823" s="118"/>
      <c r="W823" s="118"/>
      <c r="X823" s="118"/>
      <c r="Y823" s="118"/>
      <c r="Z823" s="118"/>
      <c r="AA823" s="118"/>
      <c r="AB823" s="118"/>
      <c r="AC823" s="119"/>
      <c r="AD823" s="119"/>
      <c r="AE823" s="118"/>
      <c r="AF823" s="120"/>
    </row>
    <row r="824" spans="1:32" x14ac:dyDescent="0.2">
      <c r="A824" s="121">
        <v>622</v>
      </c>
      <c r="B824" s="122" t="s">
        <v>1204</v>
      </c>
      <c r="C824" s="123" t="s">
        <v>429</v>
      </c>
      <c r="D824" s="123" t="s">
        <v>16</v>
      </c>
      <c r="E824" s="124" t="s">
        <v>2150</v>
      </c>
      <c r="F824" s="124" t="s">
        <v>2151</v>
      </c>
      <c r="G824" s="124" t="s">
        <v>1105</v>
      </c>
      <c r="H824" s="122" t="s">
        <v>1922</v>
      </c>
      <c r="I824" s="123">
        <v>20.675170000000001</v>
      </c>
      <c r="J824" s="123">
        <v>-101.346</v>
      </c>
      <c r="K824" s="122"/>
      <c r="L824" s="125" t="str">
        <f t="shared" si="39"/>
        <v>Ver en Google Maps</v>
      </c>
      <c r="M824" s="122">
        <v>2</v>
      </c>
      <c r="N824" s="130"/>
      <c r="O824" s="109"/>
      <c r="P824" s="109"/>
      <c r="Q824" s="109"/>
      <c r="R824" s="109"/>
      <c r="S824" s="109"/>
      <c r="T824" s="109"/>
      <c r="U824" s="109"/>
      <c r="V824" s="109"/>
      <c r="W824" s="109"/>
      <c r="X824" s="109"/>
      <c r="Y824" s="109"/>
      <c r="Z824" s="109"/>
      <c r="AA824" s="109"/>
      <c r="AB824" s="109"/>
      <c r="AC824" s="110"/>
      <c r="AD824" s="110"/>
      <c r="AE824" s="109"/>
      <c r="AF824" s="111"/>
    </row>
    <row r="825" spans="1:32" x14ac:dyDescent="0.2">
      <c r="A825" s="112">
        <v>623</v>
      </c>
      <c r="B825" s="113" t="s">
        <v>1204</v>
      </c>
      <c r="C825" s="114" t="s">
        <v>429</v>
      </c>
      <c r="D825" s="114" t="s">
        <v>404</v>
      </c>
      <c r="E825" s="115" t="s">
        <v>2152</v>
      </c>
      <c r="F825" s="115" t="s">
        <v>2153</v>
      </c>
      <c r="G825" s="115" t="s">
        <v>1302</v>
      </c>
      <c r="H825" s="113" t="s">
        <v>1922</v>
      </c>
      <c r="I825" s="114">
        <v>20.680351000000002</v>
      </c>
      <c r="J825" s="114">
        <v>-101.346355</v>
      </c>
      <c r="K825" s="113"/>
      <c r="L825" s="116" t="str">
        <f t="shared" si="39"/>
        <v>Ver en Google Maps</v>
      </c>
      <c r="M825" s="113">
        <v>2</v>
      </c>
      <c r="N825" s="129"/>
      <c r="O825" s="118"/>
      <c r="P825" s="118"/>
      <c r="Q825" s="118"/>
      <c r="R825" s="118"/>
      <c r="S825" s="118"/>
      <c r="T825" s="118"/>
      <c r="U825" s="118"/>
      <c r="V825" s="118"/>
      <c r="W825" s="118"/>
      <c r="X825" s="118"/>
      <c r="Y825" s="118"/>
      <c r="Z825" s="118"/>
      <c r="AA825" s="118"/>
      <c r="AB825" s="118"/>
      <c r="AC825" s="119"/>
      <c r="AD825" s="119"/>
      <c r="AE825" s="118"/>
      <c r="AF825" s="120"/>
    </row>
    <row r="826" spans="1:32" x14ac:dyDescent="0.2">
      <c r="A826" s="121">
        <v>624</v>
      </c>
      <c r="B826" s="122" t="s">
        <v>1204</v>
      </c>
      <c r="C826" s="123" t="s">
        <v>429</v>
      </c>
      <c r="D826" s="123" t="s">
        <v>16</v>
      </c>
      <c r="E826" s="124" t="s">
        <v>2154</v>
      </c>
      <c r="F826" s="124" t="s">
        <v>2155</v>
      </c>
      <c r="G826" s="124" t="s">
        <v>2386</v>
      </c>
      <c r="H826" s="122" t="s">
        <v>1922</v>
      </c>
      <c r="I826" s="123">
        <v>20.687280000000001</v>
      </c>
      <c r="J826" s="123">
        <v>-101.36136</v>
      </c>
      <c r="K826" s="122"/>
      <c r="L826" s="125" t="str">
        <f t="shared" si="39"/>
        <v>Ver en Google Maps</v>
      </c>
      <c r="M826" s="122">
        <v>2</v>
      </c>
      <c r="N826" s="130"/>
      <c r="O826" s="109"/>
      <c r="P826" s="109"/>
      <c r="Q826" s="109"/>
      <c r="R826" s="109"/>
      <c r="S826" s="109"/>
      <c r="T826" s="109"/>
      <c r="U826" s="109"/>
      <c r="V826" s="109"/>
      <c r="W826" s="109"/>
      <c r="X826" s="109"/>
      <c r="Y826" s="109"/>
      <c r="Z826" s="109"/>
      <c r="AA826" s="109"/>
      <c r="AB826" s="109"/>
      <c r="AC826" s="110"/>
      <c r="AD826" s="110"/>
      <c r="AE826" s="109"/>
      <c r="AF826" s="111"/>
    </row>
    <row r="827" spans="1:32" x14ac:dyDescent="0.2">
      <c r="A827" s="112">
        <v>625</v>
      </c>
      <c r="B827" s="113" t="s">
        <v>1204</v>
      </c>
      <c r="C827" s="114" t="s">
        <v>429</v>
      </c>
      <c r="D827" s="114" t="s">
        <v>16</v>
      </c>
      <c r="E827" s="115" t="s">
        <v>2156</v>
      </c>
      <c r="F827" s="115" t="s">
        <v>2157</v>
      </c>
      <c r="G827" s="115" t="s">
        <v>2387</v>
      </c>
      <c r="H827" s="113" t="s">
        <v>1922</v>
      </c>
      <c r="I827" s="114">
        <v>20.67728</v>
      </c>
      <c r="J827" s="114">
        <v>-101.36060999999999</v>
      </c>
      <c r="K827" s="113"/>
      <c r="L827" s="116" t="str">
        <f t="shared" si="39"/>
        <v>Ver en Google Maps</v>
      </c>
      <c r="M827" s="113">
        <v>2</v>
      </c>
      <c r="N827" s="129"/>
      <c r="O827" s="118"/>
      <c r="P827" s="118"/>
      <c r="Q827" s="118"/>
      <c r="R827" s="118"/>
      <c r="S827" s="118"/>
      <c r="T827" s="118"/>
      <c r="U827" s="118"/>
      <c r="V827" s="118"/>
      <c r="W827" s="118"/>
      <c r="X827" s="118"/>
      <c r="Y827" s="118"/>
      <c r="Z827" s="118"/>
      <c r="AA827" s="118"/>
      <c r="AB827" s="118"/>
      <c r="AC827" s="119"/>
      <c r="AD827" s="119"/>
      <c r="AE827" s="118"/>
      <c r="AF827" s="120"/>
    </row>
    <row r="828" spans="1:32" x14ac:dyDescent="0.2">
      <c r="A828" s="121">
        <v>626</v>
      </c>
      <c r="B828" s="122" t="s">
        <v>1204</v>
      </c>
      <c r="C828" s="123" t="s">
        <v>429</v>
      </c>
      <c r="D828" s="123" t="s">
        <v>16</v>
      </c>
      <c r="E828" s="124" t="s">
        <v>2158</v>
      </c>
      <c r="F828" s="124" t="s">
        <v>2159</v>
      </c>
      <c r="G828" s="124" t="s">
        <v>1105</v>
      </c>
      <c r="H828" s="122" t="s">
        <v>1922</v>
      </c>
      <c r="I828" s="123">
        <v>20.670829999999999</v>
      </c>
      <c r="J828" s="123">
        <v>-101.35014</v>
      </c>
      <c r="K828" s="122"/>
      <c r="L828" s="125" t="str">
        <f t="shared" si="39"/>
        <v>Ver en Google Maps</v>
      </c>
      <c r="M828" s="122">
        <v>1</v>
      </c>
      <c r="N828" s="130"/>
      <c r="O828" s="109"/>
      <c r="P828" s="109"/>
      <c r="Q828" s="109"/>
      <c r="R828" s="109"/>
      <c r="S828" s="109"/>
      <c r="T828" s="109"/>
      <c r="U828" s="109"/>
      <c r="V828" s="109"/>
      <c r="W828" s="109"/>
      <c r="X828" s="109"/>
      <c r="Y828" s="109"/>
      <c r="Z828" s="109"/>
      <c r="AA828" s="109"/>
      <c r="AB828" s="109"/>
      <c r="AC828" s="110"/>
      <c r="AD828" s="110"/>
      <c r="AE828" s="109"/>
      <c r="AF828" s="111"/>
    </row>
    <row r="829" spans="1:32" x14ac:dyDescent="0.2">
      <c r="A829" s="112">
        <v>627</v>
      </c>
      <c r="B829" s="113" t="s">
        <v>1204</v>
      </c>
      <c r="C829" s="114" t="s">
        <v>429</v>
      </c>
      <c r="D829" s="114" t="s">
        <v>16</v>
      </c>
      <c r="E829" s="115" t="s">
        <v>2160</v>
      </c>
      <c r="F829" s="115" t="s">
        <v>2161</v>
      </c>
      <c r="G829" s="115" t="s">
        <v>360</v>
      </c>
      <c r="H829" s="113" t="s">
        <v>1922</v>
      </c>
      <c r="I829" s="114">
        <v>20.668559999999999</v>
      </c>
      <c r="J829" s="114">
        <v>-101.34255</v>
      </c>
      <c r="K829" s="113"/>
      <c r="L829" s="116" t="str">
        <f t="shared" si="39"/>
        <v>Ver en Google Maps</v>
      </c>
      <c r="M829" s="113">
        <v>1</v>
      </c>
      <c r="N829" s="129"/>
      <c r="O829" s="118"/>
      <c r="P829" s="118"/>
      <c r="Q829" s="118"/>
      <c r="R829" s="118"/>
      <c r="S829" s="118"/>
      <c r="T829" s="118"/>
      <c r="U829" s="118"/>
      <c r="V829" s="118"/>
      <c r="W829" s="118"/>
      <c r="X829" s="118"/>
      <c r="Y829" s="118"/>
      <c r="Z829" s="118"/>
      <c r="AA829" s="118"/>
      <c r="AB829" s="118"/>
      <c r="AC829" s="119"/>
      <c r="AD829" s="119"/>
      <c r="AE829" s="118"/>
      <c r="AF829" s="120"/>
    </row>
    <row r="830" spans="1:32" x14ac:dyDescent="0.2">
      <c r="A830" s="121">
        <v>628</v>
      </c>
      <c r="B830" s="122" t="s">
        <v>1204</v>
      </c>
      <c r="C830" s="123" t="s">
        <v>429</v>
      </c>
      <c r="D830" s="123" t="s">
        <v>16</v>
      </c>
      <c r="E830" s="124" t="s">
        <v>2162</v>
      </c>
      <c r="F830" s="124" t="s">
        <v>2163</v>
      </c>
      <c r="G830" s="124" t="s">
        <v>2388</v>
      </c>
      <c r="H830" s="122" t="s">
        <v>1922</v>
      </c>
      <c r="I830" s="123">
        <v>20.679970000000001</v>
      </c>
      <c r="J830" s="123">
        <v>-101.33842</v>
      </c>
      <c r="K830" s="122"/>
      <c r="L830" s="125" t="str">
        <f t="shared" si="39"/>
        <v>Ver en Google Maps</v>
      </c>
      <c r="M830" s="122">
        <v>1</v>
      </c>
      <c r="N830" s="130"/>
      <c r="O830" s="109"/>
      <c r="P830" s="109"/>
      <c r="Q830" s="109"/>
      <c r="R830" s="109"/>
      <c r="S830" s="109"/>
      <c r="T830" s="109"/>
      <c r="U830" s="109"/>
      <c r="V830" s="109"/>
      <c r="W830" s="109"/>
      <c r="X830" s="109"/>
      <c r="Y830" s="109"/>
      <c r="Z830" s="109"/>
      <c r="AA830" s="109"/>
      <c r="AB830" s="109"/>
      <c r="AC830" s="110"/>
      <c r="AD830" s="110"/>
      <c r="AE830" s="109"/>
      <c r="AF830" s="111"/>
    </row>
    <row r="831" spans="1:32" x14ac:dyDescent="0.2">
      <c r="A831" s="112">
        <v>629</v>
      </c>
      <c r="B831" s="113" t="s">
        <v>1204</v>
      </c>
      <c r="C831" s="114" t="s">
        <v>429</v>
      </c>
      <c r="D831" s="114" t="s">
        <v>16</v>
      </c>
      <c r="E831" s="115" t="s">
        <v>2164</v>
      </c>
      <c r="F831" s="115" t="s">
        <v>2165</v>
      </c>
      <c r="G831" s="115" t="s">
        <v>2389</v>
      </c>
      <c r="H831" s="113" t="s">
        <v>1922</v>
      </c>
      <c r="I831" s="114">
        <v>20.668220000000002</v>
      </c>
      <c r="J831" s="114">
        <v>-101.34260999999999</v>
      </c>
      <c r="K831" s="113"/>
      <c r="L831" s="116" t="str">
        <f t="shared" si="39"/>
        <v>Ver en Google Maps</v>
      </c>
      <c r="M831" s="113">
        <v>2</v>
      </c>
      <c r="N831" s="129"/>
      <c r="O831" s="118"/>
      <c r="P831" s="118"/>
      <c r="Q831" s="118"/>
      <c r="R831" s="118"/>
      <c r="S831" s="118"/>
      <c r="T831" s="118"/>
      <c r="U831" s="118"/>
      <c r="V831" s="118"/>
      <c r="W831" s="118"/>
      <c r="X831" s="118"/>
      <c r="Y831" s="118"/>
      <c r="Z831" s="118"/>
      <c r="AA831" s="118"/>
      <c r="AB831" s="118"/>
      <c r="AC831" s="119"/>
      <c r="AD831" s="119"/>
      <c r="AE831" s="118"/>
      <c r="AF831" s="120"/>
    </row>
    <row r="832" spans="1:32" x14ac:dyDescent="0.2">
      <c r="A832" s="121">
        <v>630</v>
      </c>
      <c r="B832" s="122" t="s">
        <v>1204</v>
      </c>
      <c r="C832" s="123" t="s">
        <v>429</v>
      </c>
      <c r="D832" s="123" t="s">
        <v>16</v>
      </c>
      <c r="E832" s="124" t="s">
        <v>2166</v>
      </c>
      <c r="F832" s="124" t="s">
        <v>2167</v>
      </c>
      <c r="G832" s="124" t="s">
        <v>2304</v>
      </c>
      <c r="H832" s="122" t="s">
        <v>1922</v>
      </c>
      <c r="I832" s="123">
        <v>20.659690000000001</v>
      </c>
      <c r="J832" s="123">
        <v>-101.34011</v>
      </c>
      <c r="K832" s="122"/>
      <c r="L832" s="125" t="str">
        <f t="shared" si="39"/>
        <v>Ver en Google Maps</v>
      </c>
      <c r="M832" s="122">
        <v>2</v>
      </c>
      <c r="N832" s="130"/>
      <c r="O832" s="109"/>
      <c r="P832" s="109"/>
      <c r="Q832" s="109"/>
      <c r="R832" s="109"/>
      <c r="S832" s="109"/>
      <c r="T832" s="109"/>
      <c r="U832" s="109"/>
      <c r="V832" s="109"/>
      <c r="W832" s="109"/>
      <c r="X832" s="109"/>
      <c r="Y832" s="109"/>
      <c r="Z832" s="109"/>
      <c r="AA832" s="109"/>
      <c r="AB832" s="109"/>
      <c r="AC832" s="110"/>
      <c r="AD832" s="110"/>
      <c r="AE832" s="109"/>
      <c r="AF832" s="111"/>
    </row>
    <row r="833" spans="1:32" x14ac:dyDescent="0.2">
      <c r="A833" s="112">
        <v>631</v>
      </c>
      <c r="B833" s="113" t="s">
        <v>1204</v>
      </c>
      <c r="C833" s="114" t="s">
        <v>429</v>
      </c>
      <c r="D833" s="114" t="s">
        <v>16</v>
      </c>
      <c r="E833" s="115" t="s">
        <v>2168</v>
      </c>
      <c r="F833" s="115" t="s">
        <v>2169</v>
      </c>
      <c r="G833" s="115" t="s">
        <v>2390</v>
      </c>
      <c r="H833" s="113" t="s">
        <v>1922</v>
      </c>
      <c r="I833" s="114">
        <v>20.686344999999999</v>
      </c>
      <c r="J833" s="114">
        <v>-101.34888599999999</v>
      </c>
      <c r="K833" s="113"/>
      <c r="L833" s="116" t="str">
        <f t="shared" si="39"/>
        <v>Ver en Google Maps</v>
      </c>
      <c r="M833" s="113">
        <v>2</v>
      </c>
      <c r="N833" s="129"/>
      <c r="O833" s="118"/>
      <c r="P833" s="118"/>
      <c r="Q833" s="118"/>
      <c r="R833" s="118"/>
      <c r="S833" s="118"/>
      <c r="T833" s="118"/>
      <c r="U833" s="118"/>
      <c r="V833" s="118"/>
      <c r="W833" s="118"/>
      <c r="X833" s="118"/>
      <c r="Y833" s="118"/>
      <c r="Z833" s="118"/>
      <c r="AA833" s="118"/>
      <c r="AB833" s="118"/>
      <c r="AC833" s="119"/>
      <c r="AD833" s="119"/>
      <c r="AE833" s="118"/>
      <c r="AF833" s="120"/>
    </row>
    <row r="834" spans="1:32" x14ac:dyDescent="0.2">
      <c r="A834" s="121">
        <v>659</v>
      </c>
      <c r="B834" s="122" t="s">
        <v>1204</v>
      </c>
      <c r="C834" s="123" t="s">
        <v>429</v>
      </c>
      <c r="D834" s="123" t="s">
        <v>16</v>
      </c>
      <c r="E834" s="124" t="s">
        <v>2170</v>
      </c>
      <c r="F834" s="124" t="s">
        <v>2171</v>
      </c>
      <c r="G834" s="124" t="s">
        <v>1105</v>
      </c>
      <c r="H834" s="122" t="s">
        <v>1922</v>
      </c>
      <c r="I834" s="123">
        <v>20.673670000000001</v>
      </c>
      <c r="J834" s="123">
        <v>-101.35</v>
      </c>
      <c r="K834" s="122"/>
      <c r="L834" s="125" t="str">
        <f t="shared" si="39"/>
        <v>Ver en Google Maps</v>
      </c>
      <c r="M834" s="122">
        <v>1</v>
      </c>
      <c r="N834" s="130"/>
      <c r="O834" s="109"/>
      <c r="P834" s="109"/>
      <c r="Q834" s="109"/>
      <c r="R834" s="109"/>
      <c r="S834" s="109"/>
      <c r="T834" s="109"/>
      <c r="U834" s="109"/>
      <c r="V834" s="109"/>
      <c r="W834" s="109"/>
      <c r="X834" s="109"/>
      <c r="Y834" s="109"/>
      <c r="Z834" s="109"/>
      <c r="AA834" s="109"/>
      <c r="AB834" s="109"/>
      <c r="AC834" s="110"/>
      <c r="AD834" s="110"/>
      <c r="AE834" s="109"/>
      <c r="AF834" s="111"/>
    </row>
    <row r="835" spans="1:32" x14ac:dyDescent="0.2">
      <c r="A835" s="112">
        <v>665</v>
      </c>
      <c r="B835" s="113" t="s">
        <v>1204</v>
      </c>
      <c r="C835" s="114" t="s">
        <v>429</v>
      </c>
      <c r="D835" s="114" t="s">
        <v>16</v>
      </c>
      <c r="E835" s="115" t="s">
        <v>2172</v>
      </c>
      <c r="F835" s="115" t="s">
        <v>2173</v>
      </c>
      <c r="G835" s="115" t="s">
        <v>1892</v>
      </c>
      <c r="H835" s="113" t="s">
        <v>1922</v>
      </c>
      <c r="I835" s="114">
        <v>20.667818</v>
      </c>
      <c r="J835" s="114">
        <v>-101.34801400000001</v>
      </c>
      <c r="K835" s="113"/>
      <c r="L835" s="116" t="str">
        <f t="shared" si="39"/>
        <v>Ver en Google Maps</v>
      </c>
      <c r="M835" s="113">
        <v>1</v>
      </c>
      <c r="N835" s="129"/>
      <c r="O835" s="118"/>
      <c r="P835" s="118"/>
      <c r="Q835" s="118"/>
      <c r="R835" s="118"/>
      <c r="S835" s="118"/>
      <c r="T835" s="118"/>
      <c r="U835" s="118"/>
      <c r="V835" s="118"/>
      <c r="W835" s="118"/>
      <c r="X835" s="118"/>
      <c r="Y835" s="118"/>
      <c r="Z835" s="118"/>
      <c r="AA835" s="118"/>
      <c r="AB835" s="118"/>
      <c r="AC835" s="119"/>
      <c r="AD835" s="119"/>
      <c r="AE835" s="118"/>
      <c r="AF835" s="120"/>
    </row>
    <row r="836" spans="1:32" x14ac:dyDescent="0.2">
      <c r="A836" s="121">
        <v>666</v>
      </c>
      <c r="B836" s="122" t="s">
        <v>1204</v>
      </c>
      <c r="C836" s="123" t="s">
        <v>429</v>
      </c>
      <c r="D836" s="123" t="s">
        <v>16</v>
      </c>
      <c r="E836" s="124" t="s">
        <v>2174</v>
      </c>
      <c r="F836" s="124" t="s">
        <v>2175</v>
      </c>
      <c r="G836" s="124" t="s">
        <v>1059</v>
      </c>
      <c r="H836" s="122" t="s">
        <v>1922</v>
      </c>
      <c r="I836" s="123">
        <v>20.658239999999999</v>
      </c>
      <c r="J836" s="123">
        <v>-101.34876</v>
      </c>
      <c r="K836" s="122"/>
      <c r="L836" s="125" t="str">
        <f t="shared" si="39"/>
        <v>Ver en Google Maps</v>
      </c>
      <c r="M836" s="122">
        <v>2</v>
      </c>
      <c r="N836" s="130"/>
      <c r="O836" s="109"/>
      <c r="P836" s="109"/>
      <c r="Q836" s="109"/>
      <c r="R836" s="109"/>
      <c r="S836" s="109"/>
      <c r="T836" s="109"/>
      <c r="U836" s="109"/>
      <c r="V836" s="109"/>
      <c r="W836" s="109"/>
      <c r="X836" s="109"/>
      <c r="Y836" s="109"/>
      <c r="Z836" s="109"/>
      <c r="AA836" s="109"/>
      <c r="AB836" s="109"/>
      <c r="AC836" s="110"/>
      <c r="AD836" s="110"/>
      <c r="AE836" s="109"/>
      <c r="AF836" s="111"/>
    </row>
    <row r="837" spans="1:32" x14ac:dyDescent="0.2">
      <c r="A837" s="112">
        <v>668</v>
      </c>
      <c r="B837" s="113" t="s">
        <v>1204</v>
      </c>
      <c r="C837" s="114" t="s">
        <v>429</v>
      </c>
      <c r="D837" s="114" t="s">
        <v>16</v>
      </c>
      <c r="E837" s="115" t="s">
        <v>2176</v>
      </c>
      <c r="F837" s="115" t="s">
        <v>2177</v>
      </c>
      <c r="G837" s="115" t="s">
        <v>2391</v>
      </c>
      <c r="H837" s="113" t="s">
        <v>1922</v>
      </c>
      <c r="I837" s="114">
        <v>20.694330000000001</v>
      </c>
      <c r="J837" s="114">
        <v>-101.3523</v>
      </c>
      <c r="K837" s="113"/>
      <c r="L837" s="116" t="str">
        <f t="shared" si="39"/>
        <v>Ver en Google Maps</v>
      </c>
      <c r="M837" s="113">
        <v>2</v>
      </c>
      <c r="N837" s="129"/>
      <c r="O837" s="118"/>
      <c r="P837" s="118"/>
      <c r="Q837" s="118"/>
      <c r="R837" s="118"/>
      <c r="S837" s="118"/>
      <c r="T837" s="118"/>
      <c r="U837" s="118"/>
      <c r="V837" s="118"/>
      <c r="W837" s="118"/>
      <c r="X837" s="118"/>
      <c r="Y837" s="118"/>
      <c r="Z837" s="118"/>
      <c r="AA837" s="118"/>
      <c r="AB837" s="118"/>
      <c r="AC837" s="119"/>
      <c r="AD837" s="119"/>
      <c r="AE837" s="118"/>
      <c r="AF837" s="120"/>
    </row>
    <row r="838" spans="1:32" x14ac:dyDescent="0.2">
      <c r="A838" s="121">
        <v>675</v>
      </c>
      <c r="B838" s="122" t="s">
        <v>1204</v>
      </c>
      <c r="C838" s="123" t="s">
        <v>429</v>
      </c>
      <c r="D838" s="123" t="s">
        <v>16</v>
      </c>
      <c r="E838" s="124" t="s">
        <v>2178</v>
      </c>
      <c r="F838" s="124" t="s">
        <v>2179</v>
      </c>
      <c r="G838" s="124" t="s">
        <v>2392</v>
      </c>
      <c r="H838" s="122" t="s">
        <v>1922</v>
      </c>
      <c r="I838" s="123">
        <v>20.68214</v>
      </c>
      <c r="J838" s="123">
        <v>-101.32850000000001</v>
      </c>
      <c r="K838" s="122"/>
      <c r="L838" s="125" t="str">
        <f t="shared" si="39"/>
        <v>Ver en Google Maps</v>
      </c>
      <c r="M838" s="122">
        <v>1</v>
      </c>
      <c r="N838" s="130"/>
      <c r="O838" s="109"/>
      <c r="P838" s="109"/>
      <c r="Q838" s="109"/>
      <c r="R838" s="109"/>
      <c r="S838" s="109"/>
      <c r="T838" s="109"/>
      <c r="U838" s="109"/>
      <c r="V838" s="109"/>
      <c r="W838" s="109"/>
      <c r="X838" s="109"/>
      <c r="Y838" s="109"/>
      <c r="Z838" s="109"/>
      <c r="AA838" s="109"/>
      <c r="AB838" s="109"/>
      <c r="AC838" s="110"/>
      <c r="AD838" s="110"/>
      <c r="AE838" s="109"/>
      <c r="AF838" s="111"/>
    </row>
    <row r="839" spans="1:32" x14ac:dyDescent="0.2">
      <c r="A839" s="112">
        <v>680</v>
      </c>
      <c r="B839" s="113" t="s">
        <v>1204</v>
      </c>
      <c r="C839" s="114" t="s">
        <v>429</v>
      </c>
      <c r="D839" s="114" t="s">
        <v>16</v>
      </c>
      <c r="E839" s="115" t="s">
        <v>2180</v>
      </c>
      <c r="F839" s="115" t="s">
        <v>2181</v>
      </c>
      <c r="G839" s="115" t="s">
        <v>2393</v>
      </c>
      <c r="H839" s="113" t="s">
        <v>1922</v>
      </c>
      <c r="I839" s="114">
        <v>20.683720000000001</v>
      </c>
      <c r="J839" s="114">
        <v>-101.32408</v>
      </c>
      <c r="K839" s="113"/>
      <c r="L839" s="116" t="str">
        <f t="shared" si="39"/>
        <v>Ver en Google Maps</v>
      </c>
      <c r="M839" s="113">
        <v>1</v>
      </c>
      <c r="N839" s="129"/>
      <c r="O839" s="118"/>
      <c r="P839" s="118"/>
      <c r="Q839" s="118"/>
      <c r="R839" s="118"/>
      <c r="S839" s="118"/>
      <c r="T839" s="118"/>
      <c r="U839" s="118"/>
      <c r="V839" s="118"/>
      <c r="W839" s="118"/>
      <c r="X839" s="118"/>
      <c r="Y839" s="118"/>
      <c r="Z839" s="118"/>
      <c r="AA839" s="118"/>
      <c r="AB839" s="118"/>
      <c r="AC839" s="119"/>
      <c r="AD839" s="119"/>
      <c r="AE839" s="118"/>
      <c r="AF839" s="120"/>
    </row>
    <row r="840" spans="1:32" x14ac:dyDescent="0.2">
      <c r="A840" s="121">
        <v>683</v>
      </c>
      <c r="B840" s="122" t="s">
        <v>1204</v>
      </c>
      <c r="C840" s="123" t="s">
        <v>429</v>
      </c>
      <c r="D840" s="123" t="s">
        <v>16</v>
      </c>
      <c r="E840" s="124" t="s">
        <v>2182</v>
      </c>
      <c r="F840" s="124" t="s">
        <v>2183</v>
      </c>
      <c r="G840" s="124" t="s">
        <v>2394</v>
      </c>
      <c r="H840" s="122" t="s">
        <v>1922</v>
      </c>
      <c r="I840" s="123">
        <v>20.680389999999999</v>
      </c>
      <c r="J840" s="123">
        <v>-101.33365999999999</v>
      </c>
      <c r="K840" s="122"/>
      <c r="L840" s="125" t="str">
        <f t="shared" si="39"/>
        <v>Ver en Google Maps</v>
      </c>
      <c r="M840" s="122">
        <v>2</v>
      </c>
      <c r="N840" s="130"/>
      <c r="O840" s="109"/>
      <c r="P840" s="109"/>
      <c r="Q840" s="109"/>
      <c r="R840" s="109"/>
      <c r="S840" s="109"/>
      <c r="T840" s="109"/>
      <c r="U840" s="109"/>
      <c r="V840" s="109"/>
      <c r="W840" s="109"/>
      <c r="X840" s="109"/>
      <c r="Y840" s="109"/>
      <c r="Z840" s="109"/>
      <c r="AA840" s="109"/>
      <c r="AB840" s="109"/>
      <c r="AC840" s="110"/>
      <c r="AD840" s="110"/>
      <c r="AE840" s="109"/>
      <c r="AF840" s="111"/>
    </row>
    <row r="841" spans="1:32" x14ac:dyDescent="0.2">
      <c r="A841" s="112">
        <v>694</v>
      </c>
      <c r="B841" s="113" t="s">
        <v>1204</v>
      </c>
      <c r="C841" s="114" t="s">
        <v>429</v>
      </c>
      <c r="D841" s="114" t="s">
        <v>16</v>
      </c>
      <c r="E841" s="115" t="s">
        <v>2184</v>
      </c>
      <c r="F841" s="115" t="s">
        <v>2185</v>
      </c>
      <c r="G841" s="115" t="s">
        <v>1008</v>
      </c>
      <c r="H841" s="113" t="s">
        <v>1922</v>
      </c>
      <c r="I841" s="114">
        <v>20.70731</v>
      </c>
      <c r="J841" s="114">
        <v>-101.35531</v>
      </c>
      <c r="K841" s="113"/>
      <c r="L841" s="116" t="str">
        <f t="shared" si="39"/>
        <v>Ver en Google Maps</v>
      </c>
      <c r="M841" s="113">
        <v>1</v>
      </c>
      <c r="N841" s="129"/>
      <c r="O841" s="118"/>
      <c r="P841" s="118"/>
      <c r="Q841" s="118"/>
      <c r="R841" s="118"/>
      <c r="S841" s="118"/>
      <c r="T841" s="118"/>
      <c r="U841" s="118"/>
      <c r="V841" s="118"/>
      <c r="W841" s="118"/>
      <c r="X841" s="118"/>
      <c r="Y841" s="118"/>
      <c r="Z841" s="118"/>
      <c r="AA841" s="118"/>
      <c r="AB841" s="118"/>
      <c r="AC841" s="119"/>
      <c r="AD841" s="119"/>
      <c r="AE841" s="118"/>
      <c r="AF841" s="120"/>
    </row>
    <row r="842" spans="1:32" x14ac:dyDescent="0.2">
      <c r="A842" s="121">
        <v>701</v>
      </c>
      <c r="B842" s="122" t="s">
        <v>1204</v>
      </c>
      <c r="C842" s="123" t="s">
        <v>429</v>
      </c>
      <c r="D842" s="123" t="s">
        <v>15</v>
      </c>
      <c r="E842" s="124" t="s">
        <v>2186</v>
      </c>
      <c r="F842" s="124" t="s">
        <v>2187</v>
      </c>
      <c r="G842" s="124" t="s">
        <v>1105</v>
      </c>
      <c r="H842" s="122" t="s">
        <v>1922</v>
      </c>
      <c r="I842" s="123">
        <v>20.669689999999999</v>
      </c>
      <c r="J842" s="123">
        <v>-101.34225000000001</v>
      </c>
      <c r="K842" s="122"/>
      <c r="L842" s="125" t="str">
        <f t="shared" si="39"/>
        <v>Ver en Google Maps</v>
      </c>
      <c r="M842" s="122">
        <v>2</v>
      </c>
      <c r="N842" s="130"/>
      <c r="O842" s="109"/>
      <c r="P842" s="109"/>
      <c r="Q842" s="109"/>
      <c r="R842" s="109"/>
      <c r="S842" s="109"/>
      <c r="T842" s="109"/>
      <c r="U842" s="109"/>
      <c r="V842" s="109"/>
      <c r="W842" s="109"/>
      <c r="X842" s="109"/>
      <c r="Y842" s="109"/>
      <c r="Z842" s="109"/>
      <c r="AA842" s="109"/>
      <c r="AB842" s="109"/>
      <c r="AC842" s="110"/>
      <c r="AD842" s="110"/>
      <c r="AE842" s="109"/>
      <c r="AF842" s="111"/>
    </row>
    <row r="843" spans="1:32" x14ac:dyDescent="0.2">
      <c r="A843" s="112">
        <v>702</v>
      </c>
      <c r="B843" s="113" t="s">
        <v>1204</v>
      </c>
      <c r="C843" s="114" t="s">
        <v>429</v>
      </c>
      <c r="D843" s="114" t="s">
        <v>15</v>
      </c>
      <c r="E843" s="115" t="s">
        <v>2188</v>
      </c>
      <c r="F843" s="115" t="s">
        <v>2189</v>
      </c>
      <c r="G843" s="115" t="s">
        <v>2313</v>
      </c>
      <c r="H843" s="113" t="s">
        <v>1922</v>
      </c>
      <c r="I843" s="114">
        <v>20.667940000000002</v>
      </c>
      <c r="J843" s="114">
        <v>-101.35142</v>
      </c>
      <c r="K843" s="113"/>
      <c r="L843" s="116" t="str">
        <f t="shared" si="39"/>
        <v>Ver en Google Maps</v>
      </c>
      <c r="M843" s="113">
        <v>2</v>
      </c>
      <c r="N843" s="129"/>
      <c r="O843" s="118"/>
      <c r="P843" s="118"/>
      <c r="Q843" s="118"/>
      <c r="R843" s="118"/>
      <c r="S843" s="118"/>
      <c r="T843" s="118"/>
      <c r="U843" s="118"/>
      <c r="V843" s="118"/>
      <c r="W843" s="118"/>
      <c r="X843" s="118"/>
      <c r="Y843" s="118"/>
      <c r="Z843" s="118"/>
      <c r="AA843" s="118"/>
      <c r="AB843" s="118"/>
      <c r="AC843" s="119"/>
      <c r="AD843" s="119"/>
      <c r="AE843" s="118"/>
      <c r="AF843" s="120"/>
    </row>
    <row r="844" spans="1:32" x14ac:dyDescent="0.2">
      <c r="A844" s="121">
        <v>703</v>
      </c>
      <c r="B844" s="122" t="s">
        <v>1204</v>
      </c>
      <c r="C844" s="123" t="s">
        <v>429</v>
      </c>
      <c r="D844" s="123" t="s">
        <v>15</v>
      </c>
      <c r="E844" s="124" t="s">
        <v>2190</v>
      </c>
      <c r="F844" s="124" t="s">
        <v>2191</v>
      </c>
      <c r="G844" s="124" t="s">
        <v>2299</v>
      </c>
      <c r="H844" s="122" t="s">
        <v>1922</v>
      </c>
      <c r="I844" s="123">
        <v>20.695029999999999</v>
      </c>
      <c r="J844" s="123">
        <v>-101.371</v>
      </c>
      <c r="K844" s="122"/>
      <c r="L844" s="125" t="str">
        <f t="shared" si="39"/>
        <v>Ver en Google Maps</v>
      </c>
      <c r="M844" s="122">
        <v>2</v>
      </c>
      <c r="N844" s="130"/>
      <c r="O844" s="109"/>
      <c r="P844" s="109"/>
      <c r="Q844" s="109"/>
      <c r="R844" s="109"/>
      <c r="S844" s="109"/>
      <c r="T844" s="109"/>
      <c r="U844" s="109"/>
      <c r="V844" s="109"/>
      <c r="W844" s="109"/>
      <c r="X844" s="109"/>
      <c r="Y844" s="109"/>
      <c r="Z844" s="109"/>
      <c r="AA844" s="109"/>
      <c r="AB844" s="109"/>
      <c r="AC844" s="110"/>
      <c r="AD844" s="110"/>
      <c r="AE844" s="109"/>
      <c r="AF844" s="111"/>
    </row>
    <row r="845" spans="1:32" x14ac:dyDescent="0.2">
      <c r="A845" s="112">
        <v>721</v>
      </c>
      <c r="B845" s="113" t="s">
        <v>1204</v>
      </c>
      <c r="C845" s="114" t="s">
        <v>429</v>
      </c>
      <c r="D845" s="114" t="s">
        <v>15</v>
      </c>
      <c r="E845" s="115" t="s">
        <v>2192</v>
      </c>
      <c r="F845" s="115" t="s">
        <v>2193</v>
      </c>
      <c r="G845" s="115" t="s">
        <v>2395</v>
      </c>
      <c r="H845" s="113" t="s">
        <v>1922</v>
      </c>
      <c r="I845" s="114">
        <v>20.664359999999999</v>
      </c>
      <c r="J845" s="114">
        <v>-101.35142</v>
      </c>
      <c r="K845" s="113"/>
      <c r="L845" s="116" t="str">
        <f t="shared" si="39"/>
        <v>Ver en Google Maps</v>
      </c>
      <c r="M845" s="113">
        <v>2</v>
      </c>
      <c r="N845" s="129"/>
      <c r="O845" s="118"/>
      <c r="P845" s="118"/>
      <c r="Q845" s="118"/>
      <c r="R845" s="118"/>
      <c r="S845" s="118"/>
      <c r="T845" s="118"/>
      <c r="U845" s="118"/>
      <c r="V845" s="118"/>
      <c r="W845" s="118"/>
      <c r="X845" s="118"/>
      <c r="Y845" s="118"/>
      <c r="Z845" s="118"/>
      <c r="AA845" s="118"/>
      <c r="AB845" s="118"/>
      <c r="AC845" s="119"/>
      <c r="AD845" s="119"/>
      <c r="AE845" s="118"/>
      <c r="AF845" s="120"/>
    </row>
    <row r="846" spans="1:32" x14ac:dyDescent="0.2">
      <c r="A846" s="121">
        <v>735</v>
      </c>
      <c r="B846" s="122" t="s">
        <v>1204</v>
      </c>
      <c r="C846" s="123" t="s">
        <v>429</v>
      </c>
      <c r="D846" s="123" t="s">
        <v>15</v>
      </c>
      <c r="E846" s="124" t="s">
        <v>2194</v>
      </c>
      <c r="F846" s="124" t="s">
        <v>2195</v>
      </c>
      <c r="G846" s="124" t="s">
        <v>2392</v>
      </c>
      <c r="H846" s="122" t="s">
        <v>1922</v>
      </c>
      <c r="I846" s="123">
        <v>20.682566999999999</v>
      </c>
      <c r="J846" s="123">
        <v>-101.327668</v>
      </c>
      <c r="K846" s="122"/>
      <c r="L846" s="125" t="str">
        <f t="shared" si="39"/>
        <v>Ver en Google Maps</v>
      </c>
      <c r="M846" s="122">
        <v>2</v>
      </c>
      <c r="N846" s="130"/>
      <c r="O846" s="109"/>
      <c r="P846" s="109"/>
      <c r="Q846" s="109"/>
      <c r="R846" s="109"/>
      <c r="S846" s="109"/>
      <c r="T846" s="109"/>
      <c r="U846" s="109"/>
      <c r="V846" s="109"/>
      <c r="W846" s="109"/>
      <c r="X846" s="109"/>
      <c r="Y846" s="109"/>
      <c r="Z846" s="109"/>
      <c r="AA846" s="109"/>
      <c r="AB846" s="109"/>
      <c r="AC846" s="110"/>
      <c r="AD846" s="110"/>
      <c r="AE846" s="109"/>
      <c r="AF846" s="111"/>
    </row>
    <row r="847" spans="1:32" x14ac:dyDescent="0.2">
      <c r="A847" s="112">
        <v>741</v>
      </c>
      <c r="B847" s="113" t="s">
        <v>1204</v>
      </c>
      <c r="C847" s="114" t="s">
        <v>429</v>
      </c>
      <c r="D847" s="114" t="s">
        <v>16</v>
      </c>
      <c r="E847" s="115" t="s">
        <v>2196</v>
      </c>
      <c r="F847" s="115" t="s">
        <v>2197</v>
      </c>
      <c r="G847" s="115" t="s">
        <v>2396</v>
      </c>
      <c r="H847" s="113" t="s">
        <v>1922</v>
      </c>
      <c r="I847" s="114">
        <v>20.671986</v>
      </c>
      <c r="J847" s="114">
        <v>-101.332499</v>
      </c>
      <c r="K847" s="113"/>
      <c r="L847" s="116" t="str">
        <f t="shared" ref="L847:L910" si="42">HYPERLINK("https://www.google.com/maps?q=" &amp; I847 &amp; "," &amp; J847, "Ver en Google Maps")</f>
        <v>Ver en Google Maps</v>
      </c>
      <c r="M847" s="113">
        <v>2</v>
      </c>
      <c r="N847" s="129"/>
      <c r="O847" s="118"/>
      <c r="P847" s="118"/>
      <c r="Q847" s="118"/>
      <c r="R847" s="118"/>
      <c r="S847" s="118"/>
      <c r="T847" s="118"/>
      <c r="U847" s="118"/>
      <c r="V847" s="118"/>
      <c r="W847" s="118"/>
      <c r="X847" s="118"/>
      <c r="Y847" s="118"/>
      <c r="Z847" s="118"/>
      <c r="AA847" s="118"/>
      <c r="AB847" s="118"/>
      <c r="AC847" s="119"/>
      <c r="AD847" s="119"/>
      <c r="AE847" s="118"/>
      <c r="AF847" s="120"/>
    </row>
    <row r="848" spans="1:32" x14ac:dyDescent="0.2">
      <c r="A848" s="121">
        <v>742</v>
      </c>
      <c r="B848" s="122" t="s">
        <v>1204</v>
      </c>
      <c r="C848" s="123" t="s">
        <v>429</v>
      </c>
      <c r="D848" s="123" t="s">
        <v>16</v>
      </c>
      <c r="E848" s="124" t="s">
        <v>2198</v>
      </c>
      <c r="F848" s="124" t="s">
        <v>2199</v>
      </c>
      <c r="G848" s="124" t="s">
        <v>2333</v>
      </c>
      <c r="H848" s="122" t="s">
        <v>1922</v>
      </c>
      <c r="I848" s="123">
        <v>20.691123999999999</v>
      </c>
      <c r="J848" s="123">
        <v>-101.337028</v>
      </c>
      <c r="K848" s="122"/>
      <c r="L848" s="125" t="str">
        <f t="shared" si="42"/>
        <v>Ver en Google Maps</v>
      </c>
      <c r="M848" s="122">
        <v>2</v>
      </c>
      <c r="N848" s="130"/>
      <c r="O848" s="109"/>
      <c r="P848" s="109"/>
      <c r="Q848" s="109"/>
      <c r="R848" s="109"/>
      <c r="S848" s="109"/>
      <c r="T848" s="109"/>
      <c r="U848" s="109"/>
      <c r="V848" s="109"/>
      <c r="W848" s="109"/>
      <c r="X848" s="109"/>
      <c r="Y848" s="109"/>
      <c r="Z848" s="109"/>
      <c r="AA848" s="109"/>
      <c r="AB848" s="109"/>
      <c r="AC848" s="110"/>
      <c r="AD848" s="110"/>
      <c r="AE848" s="109"/>
      <c r="AF848" s="111"/>
    </row>
    <row r="849" spans="1:32" x14ac:dyDescent="0.2">
      <c r="A849" s="112">
        <v>754</v>
      </c>
      <c r="B849" s="113" t="s">
        <v>1204</v>
      </c>
      <c r="C849" s="114" t="s">
        <v>429</v>
      </c>
      <c r="D849" s="114" t="s">
        <v>16</v>
      </c>
      <c r="E849" s="115" t="s">
        <v>2200</v>
      </c>
      <c r="F849" s="115" t="s">
        <v>2201</v>
      </c>
      <c r="G849" s="115" t="s">
        <v>2350</v>
      </c>
      <c r="H849" s="113" t="s">
        <v>1922</v>
      </c>
      <c r="I849" s="114">
        <v>20.700634000000001</v>
      </c>
      <c r="J849" s="114">
        <v>-101.34314000000001</v>
      </c>
      <c r="K849" s="113"/>
      <c r="L849" s="116" t="str">
        <f t="shared" si="42"/>
        <v>Ver en Google Maps</v>
      </c>
      <c r="M849" s="113">
        <v>1</v>
      </c>
      <c r="N849" s="129"/>
      <c r="O849" s="118"/>
      <c r="P849" s="118"/>
      <c r="Q849" s="118"/>
      <c r="R849" s="118"/>
      <c r="S849" s="118"/>
      <c r="T849" s="118"/>
      <c r="U849" s="118"/>
      <c r="V849" s="118"/>
      <c r="W849" s="118"/>
      <c r="X849" s="118"/>
      <c r="Y849" s="118"/>
      <c r="Z849" s="118"/>
      <c r="AA849" s="118"/>
      <c r="AB849" s="118"/>
      <c r="AC849" s="119"/>
      <c r="AD849" s="119"/>
      <c r="AE849" s="118"/>
      <c r="AF849" s="120"/>
    </row>
    <row r="850" spans="1:32" x14ac:dyDescent="0.2">
      <c r="A850" s="121">
        <v>766</v>
      </c>
      <c r="B850" s="122" t="s">
        <v>1204</v>
      </c>
      <c r="C850" s="123" t="s">
        <v>429</v>
      </c>
      <c r="D850" s="123" t="s">
        <v>17</v>
      </c>
      <c r="E850" s="124" t="s">
        <v>2202</v>
      </c>
      <c r="F850" s="124" t="s">
        <v>2203</v>
      </c>
      <c r="G850" s="124" t="s">
        <v>2303</v>
      </c>
      <c r="H850" s="122" t="s">
        <v>1922</v>
      </c>
      <c r="I850" s="123">
        <v>20.696107999999999</v>
      </c>
      <c r="J850" s="123">
        <v>-101.338618</v>
      </c>
      <c r="K850" s="122"/>
      <c r="L850" s="125" t="str">
        <f t="shared" si="42"/>
        <v>Ver en Google Maps</v>
      </c>
      <c r="M850" s="122">
        <v>1</v>
      </c>
      <c r="N850" s="130"/>
      <c r="O850" s="109"/>
      <c r="P850" s="109"/>
      <c r="Q850" s="109"/>
      <c r="R850" s="109"/>
      <c r="S850" s="109"/>
      <c r="T850" s="109"/>
      <c r="U850" s="109"/>
      <c r="V850" s="109"/>
      <c r="W850" s="109"/>
      <c r="X850" s="109"/>
      <c r="Y850" s="109"/>
      <c r="Z850" s="109"/>
      <c r="AA850" s="109"/>
      <c r="AB850" s="109"/>
      <c r="AC850" s="110"/>
      <c r="AD850" s="110"/>
      <c r="AE850" s="109"/>
      <c r="AF850" s="111"/>
    </row>
    <row r="851" spans="1:32" x14ac:dyDescent="0.2">
      <c r="A851" s="112">
        <v>771</v>
      </c>
      <c r="B851" s="113" t="s">
        <v>1204</v>
      </c>
      <c r="C851" s="114" t="s">
        <v>18</v>
      </c>
      <c r="D851" s="114" t="s">
        <v>404</v>
      </c>
      <c r="E851" s="115" t="s">
        <v>2204</v>
      </c>
      <c r="F851" s="115" t="s">
        <v>2205</v>
      </c>
      <c r="G851" s="115" t="s">
        <v>1105</v>
      </c>
      <c r="H851" s="113" t="s">
        <v>1922</v>
      </c>
      <c r="I851" s="114">
        <v>20.673960000000001</v>
      </c>
      <c r="J851" s="114">
        <v>-101.34792</v>
      </c>
      <c r="K851" s="113"/>
      <c r="L851" s="116" t="str">
        <f t="shared" si="42"/>
        <v>Ver en Google Maps</v>
      </c>
      <c r="M851" s="113">
        <v>2</v>
      </c>
      <c r="N851" s="129"/>
      <c r="O851" s="118"/>
      <c r="P851" s="118"/>
      <c r="Q851" s="118"/>
      <c r="R851" s="118"/>
      <c r="S851" s="118"/>
      <c r="T851" s="118"/>
      <c r="U851" s="118"/>
      <c r="V851" s="118"/>
      <c r="W851" s="118"/>
      <c r="X851" s="118"/>
      <c r="Y851" s="118"/>
      <c r="Z851" s="118"/>
      <c r="AA851" s="118"/>
      <c r="AB851" s="118"/>
      <c r="AC851" s="119"/>
      <c r="AD851" s="119"/>
      <c r="AE851" s="118"/>
      <c r="AF851" s="120"/>
    </row>
    <row r="852" spans="1:32" x14ac:dyDescent="0.2">
      <c r="A852" s="121">
        <v>775</v>
      </c>
      <c r="B852" s="122" t="s">
        <v>1204</v>
      </c>
      <c r="C852" s="123" t="s">
        <v>7</v>
      </c>
      <c r="D852" s="123" t="s">
        <v>404</v>
      </c>
      <c r="E852" s="124" t="s">
        <v>2206</v>
      </c>
      <c r="F852" s="124" t="s">
        <v>2207</v>
      </c>
      <c r="G852" s="124" t="s">
        <v>2397</v>
      </c>
      <c r="H852" s="122" t="s">
        <v>1922</v>
      </c>
      <c r="I852" s="123">
        <v>20.643889999999999</v>
      </c>
      <c r="J852" s="123">
        <v>-101.388493</v>
      </c>
      <c r="K852" s="122" t="s">
        <v>139</v>
      </c>
      <c r="L852" s="125" t="str">
        <f t="shared" si="42"/>
        <v>Ver en Google Maps</v>
      </c>
      <c r="M852" s="122">
        <v>1</v>
      </c>
      <c r="N852" s="108">
        <v>45962</v>
      </c>
      <c r="O852" s="109">
        <f>DAY('BD2'!$N852)</f>
        <v>1</v>
      </c>
      <c r="P852" s="109">
        <f>MONTH('BD2'!$N852)</f>
        <v>11</v>
      </c>
      <c r="Q852" s="109">
        <f>YEAR('BD2'!$N852)</f>
        <v>2025</v>
      </c>
      <c r="R852" s="109">
        <v>2</v>
      </c>
      <c r="S852" s="109" t="s">
        <v>138</v>
      </c>
      <c r="T852" s="109" t="s">
        <v>138</v>
      </c>
      <c r="U852" s="109" t="s">
        <v>138</v>
      </c>
      <c r="V852" s="109" t="s">
        <v>138</v>
      </c>
      <c r="W852" s="109" t="s">
        <v>138</v>
      </c>
      <c r="X852" s="109" t="s">
        <v>138</v>
      </c>
      <c r="Y852" s="109" t="s">
        <v>138</v>
      </c>
      <c r="Z852" s="109" t="str">
        <f>IF('BD2'!$AA852 &lt; 14, "no", "si")</f>
        <v>si</v>
      </c>
      <c r="AA852" s="109">
        <v>32.299999999999997</v>
      </c>
      <c r="AB852" s="109">
        <v>31.8</v>
      </c>
      <c r="AC852" s="110" t="s">
        <v>967</v>
      </c>
      <c r="AD852" s="110" t="s">
        <v>2436</v>
      </c>
      <c r="AE852" s="109">
        <f t="shared" ref="AE852:AE897" si="43">COUNTIF(S852:Z852, "si")</f>
        <v>8</v>
      </c>
      <c r="AF852" s="111" t="str">
        <f t="shared" ref="AF836:AF899" si="44">IF(AE852=8,"Estable",(IF(AE852=7,"Funcional con observaciones", (IF(AE852=6,"Funcional con observaciones",(IF(AE852=5,"Rendimiento bajo",(IF(AE852=4,"Parcialmente funcional",(IF(AE852=3,"Parcialmente funcional",(IF(AE852=2,"Inoperativo",(IF(AE852=1,"Inoperativo","Crítico")))))))))))))))</f>
        <v>Estable</v>
      </c>
    </row>
    <row r="853" spans="1:32" x14ac:dyDescent="0.2">
      <c r="A853" s="112">
        <v>777</v>
      </c>
      <c r="B853" s="113" t="s">
        <v>1204</v>
      </c>
      <c r="C853" s="114" t="s">
        <v>429</v>
      </c>
      <c r="D853" s="114" t="s">
        <v>17</v>
      </c>
      <c r="E853" s="115" t="s">
        <v>2208</v>
      </c>
      <c r="F853" s="115" t="s">
        <v>2209</v>
      </c>
      <c r="G853" s="115" t="s">
        <v>2398</v>
      </c>
      <c r="H853" s="113" t="s">
        <v>1922</v>
      </c>
      <c r="I853" s="114">
        <v>20.679207999999999</v>
      </c>
      <c r="J853" s="114">
        <v>-101.35606199999999</v>
      </c>
      <c r="K853" s="113"/>
      <c r="L853" s="116" t="str">
        <f t="shared" si="42"/>
        <v>Ver en Google Maps</v>
      </c>
      <c r="M853" s="113">
        <v>1</v>
      </c>
      <c r="N853" s="129"/>
      <c r="O853" s="118"/>
      <c r="P853" s="118"/>
      <c r="Q853" s="118"/>
      <c r="R853" s="118"/>
      <c r="S853" s="118"/>
      <c r="T853" s="118"/>
      <c r="U853" s="118"/>
      <c r="V853" s="118"/>
      <c r="W853" s="118"/>
      <c r="X853" s="118"/>
      <c r="Y853" s="118"/>
      <c r="Z853" s="118"/>
      <c r="AA853" s="118"/>
      <c r="AB853" s="118"/>
      <c r="AC853" s="119"/>
      <c r="AD853" s="119"/>
      <c r="AE853" s="118"/>
      <c r="AF853" s="120"/>
    </row>
    <row r="854" spans="1:32" x14ac:dyDescent="0.2">
      <c r="A854" s="121">
        <v>778</v>
      </c>
      <c r="B854" s="122" t="s">
        <v>1204</v>
      </c>
      <c r="C854" s="123" t="s">
        <v>429</v>
      </c>
      <c r="D854" s="123" t="s">
        <v>17</v>
      </c>
      <c r="E854" s="124" t="s">
        <v>2210</v>
      </c>
      <c r="F854" s="124" t="s">
        <v>2211</v>
      </c>
      <c r="G854" s="124" t="s">
        <v>1840</v>
      </c>
      <c r="H854" s="122" t="s">
        <v>1922</v>
      </c>
      <c r="I854" s="123">
        <v>20.66206</v>
      </c>
      <c r="J854" s="123">
        <v>-101.3467</v>
      </c>
      <c r="K854" s="122"/>
      <c r="L854" s="125" t="str">
        <f t="shared" si="42"/>
        <v>Ver en Google Maps</v>
      </c>
      <c r="M854" s="122">
        <v>1</v>
      </c>
      <c r="N854" s="130"/>
      <c r="O854" s="109"/>
      <c r="P854" s="109"/>
      <c r="Q854" s="109"/>
      <c r="R854" s="109"/>
      <c r="S854" s="109"/>
      <c r="T854" s="109"/>
      <c r="U854" s="109"/>
      <c r="V854" s="109"/>
      <c r="W854" s="109"/>
      <c r="X854" s="109"/>
      <c r="Y854" s="109"/>
      <c r="Z854" s="109"/>
      <c r="AA854" s="109"/>
      <c r="AB854" s="109"/>
      <c r="AC854" s="110"/>
      <c r="AD854" s="110"/>
      <c r="AE854" s="109"/>
      <c r="AF854" s="111"/>
    </row>
    <row r="855" spans="1:32" x14ac:dyDescent="0.2">
      <c r="A855" s="112">
        <v>779</v>
      </c>
      <c r="B855" s="113" t="s">
        <v>1204</v>
      </c>
      <c r="C855" s="114" t="s">
        <v>429</v>
      </c>
      <c r="D855" s="114" t="s">
        <v>17</v>
      </c>
      <c r="E855" s="115" t="s">
        <v>2212</v>
      </c>
      <c r="F855" s="115" t="s">
        <v>2213</v>
      </c>
      <c r="G855" s="115" t="s">
        <v>2384</v>
      </c>
      <c r="H855" s="113" t="s">
        <v>1922</v>
      </c>
      <c r="I855" s="114">
        <v>20.673459999999999</v>
      </c>
      <c r="J855" s="114">
        <v>-101.36483</v>
      </c>
      <c r="K855" s="113"/>
      <c r="L855" s="116" t="str">
        <f t="shared" si="42"/>
        <v>Ver en Google Maps</v>
      </c>
      <c r="M855" s="113">
        <v>1</v>
      </c>
      <c r="N855" s="129"/>
      <c r="O855" s="118"/>
      <c r="P855" s="118"/>
      <c r="Q855" s="118"/>
      <c r="R855" s="118"/>
      <c r="S855" s="118"/>
      <c r="T855" s="118"/>
      <c r="U855" s="118"/>
      <c r="V855" s="118"/>
      <c r="W855" s="118"/>
      <c r="X855" s="118"/>
      <c r="Y855" s="118"/>
      <c r="Z855" s="118"/>
      <c r="AA855" s="118"/>
      <c r="AB855" s="118"/>
      <c r="AC855" s="119"/>
      <c r="AD855" s="119"/>
      <c r="AE855" s="118"/>
      <c r="AF855" s="120"/>
    </row>
    <row r="856" spans="1:32" x14ac:dyDescent="0.2">
      <c r="A856" s="121">
        <v>796</v>
      </c>
      <c r="B856" s="122" t="s">
        <v>1204</v>
      </c>
      <c r="C856" s="123" t="s">
        <v>429</v>
      </c>
      <c r="D856" s="123" t="s">
        <v>16</v>
      </c>
      <c r="E856" s="124" t="s">
        <v>2214</v>
      </c>
      <c r="F856" s="124" t="s">
        <v>2215</v>
      </c>
      <c r="G856" s="124" t="s">
        <v>2399</v>
      </c>
      <c r="H856" s="122" t="s">
        <v>1922</v>
      </c>
      <c r="I856" s="123">
        <v>20.690332000000001</v>
      </c>
      <c r="J856" s="123">
        <v>-101.313411</v>
      </c>
      <c r="K856" s="122"/>
      <c r="L856" s="125" t="str">
        <f t="shared" si="42"/>
        <v>Ver en Google Maps</v>
      </c>
      <c r="M856" s="122">
        <v>1</v>
      </c>
      <c r="N856" s="130"/>
      <c r="O856" s="109"/>
      <c r="P856" s="109"/>
      <c r="Q856" s="109"/>
      <c r="R856" s="109"/>
      <c r="S856" s="109"/>
      <c r="T856" s="109"/>
      <c r="U856" s="109"/>
      <c r="V856" s="109"/>
      <c r="W856" s="109"/>
      <c r="X856" s="109"/>
      <c r="Y856" s="109"/>
      <c r="Z856" s="109"/>
      <c r="AA856" s="109"/>
      <c r="AB856" s="109"/>
      <c r="AC856" s="110"/>
      <c r="AD856" s="110"/>
      <c r="AE856" s="109"/>
      <c r="AF856" s="111"/>
    </row>
    <row r="857" spans="1:32" x14ac:dyDescent="0.2">
      <c r="A857" s="112">
        <v>813</v>
      </c>
      <c r="B857" s="113" t="s">
        <v>1204</v>
      </c>
      <c r="C857" s="114" t="s">
        <v>429</v>
      </c>
      <c r="D857" s="114" t="s">
        <v>17</v>
      </c>
      <c r="E857" s="115" t="s">
        <v>2216</v>
      </c>
      <c r="F857" s="115" t="s">
        <v>2217</v>
      </c>
      <c r="G857" s="115" t="s">
        <v>999</v>
      </c>
      <c r="H857" s="113" t="s">
        <v>1922</v>
      </c>
      <c r="I857" s="114">
        <v>20.65164</v>
      </c>
      <c r="J857" s="114">
        <v>-101.38218999999999</v>
      </c>
      <c r="K857" s="113"/>
      <c r="L857" s="116" t="str">
        <f t="shared" si="42"/>
        <v>Ver en Google Maps</v>
      </c>
      <c r="M857" s="113">
        <v>1</v>
      </c>
      <c r="N857" s="129"/>
      <c r="O857" s="118"/>
      <c r="P857" s="118"/>
      <c r="Q857" s="118"/>
      <c r="R857" s="118"/>
      <c r="S857" s="118"/>
      <c r="T857" s="118"/>
      <c r="U857" s="118"/>
      <c r="V857" s="118"/>
      <c r="W857" s="118"/>
      <c r="X857" s="118"/>
      <c r="Y857" s="118"/>
      <c r="Z857" s="118"/>
      <c r="AA857" s="118"/>
      <c r="AB857" s="118"/>
      <c r="AC857" s="119"/>
      <c r="AD857" s="119"/>
      <c r="AE857" s="118"/>
      <c r="AF857" s="120"/>
    </row>
    <row r="858" spans="1:32" x14ac:dyDescent="0.2">
      <c r="A858" s="121">
        <v>814</v>
      </c>
      <c r="B858" s="122" t="s">
        <v>1204</v>
      </c>
      <c r="C858" s="123" t="s">
        <v>429</v>
      </c>
      <c r="D858" s="123" t="s">
        <v>17</v>
      </c>
      <c r="E858" s="124" t="s">
        <v>2218</v>
      </c>
      <c r="F858" s="124" t="s">
        <v>2219</v>
      </c>
      <c r="G858" s="124" t="s">
        <v>2399</v>
      </c>
      <c r="H858" s="122" t="s">
        <v>1922</v>
      </c>
      <c r="I858" s="123">
        <v>20.691478</v>
      </c>
      <c r="J858" s="123">
        <v>-101.313548</v>
      </c>
      <c r="K858" s="122"/>
      <c r="L858" s="125" t="str">
        <f t="shared" si="42"/>
        <v>Ver en Google Maps</v>
      </c>
      <c r="M858" s="122">
        <v>1</v>
      </c>
      <c r="N858" s="130"/>
      <c r="O858" s="109"/>
      <c r="P858" s="109"/>
      <c r="Q858" s="109"/>
      <c r="R858" s="109"/>
      <c r="S858" s="109"/>
      <c r="T858" s="109"/>
      <c r="U858" s="109"/>
      <c r="V858" s="109"/>
      <c r="W858" s="109"/>
      <c r="X858" s="109"/>
      <c r="Y858" s="109"/>
      <c r="Z858" s="109"/>
      <c r="AA858" s="109"/>
      <c r="AB858" s="109"/>
      <c r="AC858" s="110"/>
      <c r="AD858" s="110"/>
      <c r="AE858" s="109"/>
      <c r="AF858" s="111"/>
    </row>
    <row r="859" spans="1:32" x14ac:dyDescent="0.2">
      <c r="A859" s="112">
        <v>815</v>
      </c>
      <c r="B859" s="113" t="s">
        <v>1204</v>
      </c>
      <c r="C859" s="114" t="s">
        <v>429</v>
      </c>
      <c r="D859" s="114" t="s">
        <v>17</v>
      </c>
      <c r="E859" s="115" t="s">
        <v>2220</v>
      </c>
      <c r="F859" s="115" t="s">
        <v>2221</v>
      </c>
      <c r="G859" s="115" t="s">
        <v>2372</v>
      </c>
      <c r="H859" s="113" t="s">
        <v>1922</v>
      </c>
      <c r="I859" s="114">
        <v>20.652419999999999</v>
      </c>
      <c r="J859" s="114">
        <v>-101.37505</v>
      </c>
      <c r="K859" s="113"/>
      <c r="L859" s="116" t="str">
        <f t="shared" si="42"/>
        <v>Ver en Google Maps</v>
      </c>
      <c r="M859" s="113">
        <v>1</v>
      </c>
      <c r="N859" s="129"/>
      <c r="O859" s="118"/>
      <c r="P859" s="118"/>
      <c r="Q859" s="118"/>
      <c r="R859" s="118"/>
      <c r="S859" s="118"/>
      <c r="T859" s="118"/>
      <c r="U859" s="118"/>
      <c r="V859" s="118"/>
      <c r="W859" s="118"/>
      <c r="X859" s="118"/>
      <c r="Y859" s="118"/>
      <c r="Z859" s="118"/>
      <c r="AA859" s="118"/>
      <c r="AB859" s="118"/>
      <c r="AC859" s="119"/>
      <c r="AD859" s="119"/>
      <c r="AE859" s="118"/>
      <c r="AF859" s="120"/>
    </row>
    <row r="860" spans="1:32" x14ac:dyDescent="0.2">
      <c r="A860" s="121" t="s">
        <v>2432</v>
      </c>
      <c r="B860" s="122" t="s">
        <v>1204</v>
      </c>
      <c r="C860" s="123" t="s">
        <v>7</v>
      </c>
      <c r="D860" s="123" t="s">
        <v>404</v>
      </c>
      <c r="E860" s="124" t="s">
        <v>2222</v>
      </c>
      <c r="F860" s="124" t="s">
        <v>2223</v>
      </c>
      <c r="G860" s="124" t="s">
        <v>2400</v>
      </c>
      <c r="H860" s="122" t="s">
        <v>1922</v>
      </c>
      <c r="I860" s="123">
        <v>20.657236000000001</v>
      </c>
      <c r="J860" s="123">
        <v>-101.362144</v>
      </c>
      <c r="K860" s="122" t="s">
        <v>139</v>
      </c>
      <c r="L860" s="125" t="str">
        <f t="shared" si="42"/>
        <v>Ver en Google Maps</v>
      </c>
      <c r="M860" s="122">
        <v>1</v>
      </c>
      <c r="N860" s="108"/>
      <c r="O860" s="109">
        <f>DAY('BD2'!$N860)</f>
        <v>0</v>
      </c>
      <c r="P860" s="109">
        <f>MONTH('BD2'!$N860)</f>
        <v>1</v>
      </c>
      <c r="Q860" s="109">
        <f>YEAR('BD2'!$N860)</f>
        <v>1900</v>
      </c>
      <c r="R860" s="109">
        <v>2</v>
      </c>
      <c r="S860" s="109" t="s">
        <v>138</v>
      </c>
      <c r="T860" s="109" t="s">
        <v>138</v>
      </c>
      <c r="U860" s="109" t="s">
        <v>138</v>
      </c>
      <c r="V860" s="109" t="s">
        <v>138</v>
      </c>
      <c r="W860" s="109" t="s">
        <v>138</v>
      </c>
      <c r="X860" s="109" t="s">
        <v>138</v>
      </c>
      <c r="Y860" s="109" t="s">
        <v>138</v>
      </c>
      <c r="Z860" s="109" t="str">
        <f>IF('BD2'!$AA860 &lt; 14, "no", "si")</f>
        <v>no</v>
      </c>
      <c r="AA860" s="109"/>
      <c r="AB860" s="109"/>
      <c r="AC860" s="110" t="s">
        <v>967</v>
      </c>
      <c r="AD860" s="110" t="s">
        <v>2436</v>
      </c>
      <c r="AE860" s="109">
        <f t="shared" si="43"/>
        <v>7</v>
      </c>
      <c r="AF860" s="111" t="str">
        <f t="shared" si="44"/>
        <v>Funcional con observaciones</v>
      </c>
    </row>
    <row r="861" spans="1:32" x14ac:dyDescent="0.2">
      <c r="A861" s="112" t="s">
        <v>2433</v>
      </c>
      <c r="B861" s="113" t="s">
        <v>1204</v>
      </c>
      <c r="C861" s="114" t="s">
        <v>7</v>
      </c>
      <c r="D861" s="114" t="s">
        <v>404</v>
      </c>
      <c r="E861" s="115" t="s">
        <v>2222</v>
      </c>
      <c r="F861" s="115" t="s">
        <v>2223</v>
      </c>
      <c r="G861" s="115" t="s">
        <v>2400</v>
      </c>
      <c r="H861" s="113" t="s">
        <v>1922</v>
      </c>
      <c r="I861" s="114">
        <v>20.657236000000001</v>
      </c>
      <c r="J861" s="114">
        <v>-101.362144</v>
      </c>
      <c r="K861" s="113" t="s">
        <v>139</v>
      </c>
      <c r="L861" s="116" t="str">
        <f t="shared" si="42"/>
        <v>Ver en Google Maps</v>
      </c>
      <c r="M861" s="113">
        <v>1</v>
      </c>
      <c r="N861" s="117"/>
      <c r="O861" s="118">
        <f>DAY('BD2'!$N861)</f>
        <v>0</v>
      </c>
      <c r="P861" s="118">
        <f>MONTH('BD2'!$N861)</f>
        <v>1</v>
      </c>
      <c r="Q861" s="118">
        <f>YEAR('BD2'!$N861)</f>
        <v>1900</v>
      </c>
      <c r="R861" s="118">
        <v>2</v>
      </c>
      <c r="S861" s="118" t="s">
        <v>138</v>
      </c>
      <c r="T861" s="118" t="s">
        <v>138</v>
      </c>
      <c r="U861" s="118" t="s">
        <v>138</v>
      </c>
      <c r="V861" s="118" t="s">
        <v>138</v>
      </c>
      <c r="W861" s="118" t="s">
        <v>138</v>
      </c>
      <c r="X861" s="118" t="s">
        <v>138</v>
      </c>
      <c r="Y861" s="118" t="s">
        <v>138</v>
      </c>
      <c r="Z861" s="118" t="str">
        <f>IF('BD2'!$AA861 &lt; 14, "no", "si")</f>
        <v>no</v>
      </c>
      <c r="AA861" s="118"/>
      <c r="AB861" s="118"/>
      <c r="AC861" s="119" t="s">
        <v>2442</v>
      </c>
      <c r="AD861" s="119" t="s">
        <v>2436</v>
      </c>
      <c r="AE861" s="118">
        <f t="shared" si="43"/>
        <v>7</v>
      </c>
      <c r="AF861" s="120" t="str">
        <f t="shared" si="44"/>
        <v>Funcional con observaciones</v>
      </c>
    </row>
    <row r="862" spans="1:32" x14ac:dyDescent="0.2">
      <c r="A862" s="121">
        <v>835</v>
      </c>
      <c r="B862" s="122" t="s">
        <v>1204</v>
      </c>
      <c r="C862" s="123" t="s">
        <v>7</v>
      </c>
      <c r="D862" s="123" t="s">
        <v>404</v>
      </c>
      <c r="E862" s="124" t="s">
        <v>2224</v>
      </c>
      <c r="F862" s="124" t="s">
        <v>2225</v>
      </c>
      <c r="G862" s="124" t="s">
        <v>2401</v>
      </c>
      <c r="H862" s="122" t="s">
        <v>1922</v>
      </c>
      <c r="I862" s="123">
        <v>20.665317999999999</v>
      </c>
      <c r="J862" s="123">
        <v>-101.372298</v>
      </c>
      <c r="K862" s="122" t="s">
        <v>139</v>
      </c>
      <c r="L862" s="125" t="str">
        <f t="shared" si="42"/>
        <v>Ver en Google Maps</v>
      </c>
      <c r="M862" s="122">
        <v>1</v>
      </c>
      <c r="N862" s="108"/>
      <c r="O862" s="109">
        <f>DAY('BD2'!$N862)</f>
        <v>0</v>
      </c>
      <c r="P862" s="109">
        <f>MONTH('BD2'!$N862)</f>
        <v>1</v>
      </c>
      <c r="Q862" s="109">
        <f>YEAR('BD2'!$N862)</f>
        <v>1900</v>
      </c>
      <c r="R862" s="109">
        <v>2</v>
      </c>
      <c r="S862" s="109" t="s">
        <v>138</v>
      </c>
      <c r="T862" s="109" t="s">
        <v>138</v>
      </c>
      <c r="U862" s="109" t="s">
        <v>138</v>
      </c>
      <c r="V862" s="109" t="s">
        <v>138</v>
      </c>
      <c r="W862" s="109" t="s">
        <v>138</v>
      </c>
      <c r="X862" s="109" t="s">
        <v>138</v>
      </c>
      <c r="Y862" s="109" t="s">
        <v>138</v>
      </c>
      <c r="Z862" s="109" t="str">
        <f>IF('BD2'!$AA862 &lt; 14, "no", "si")</f>
        <v>no</v>
      </c>
      <c r="AA862" s="109"/>
      <c r="AB862" s="109"/>
      <c r="AC862" s="110" t="s">
        <v>967</v>
      </c>
      <c r="AD862" s="110" t="s">
        <v>2436</v>
      </c>
      <c r="AE862" s="109">
        <f t="shared" si="43"/>
        <v>7</v>
      </c>
      <c r="AF862" s="111" t="str">
        <f t="shared" si="44"/>
        <v>Funcional con observaciones</v>
      </c>
    </row>
    <row r="863" spans="1:32" x14ac:dyDescent="0.2">
      <c r="A863" s="112">
        <v>852</v>
      </c>
      <c r="B863" s="113" t="s">
        <v>1204</v>
      </c>
      <c r="C863" s="114" t="s">
        <v>14</v>
      </c>
      <c r="D863" s="114" t="s">
        <v>404</v>
      </c>
      <c r="E863" s="115" t="s">
        <v>2226</v>
      </c>
      <c r="F863" s="115" t="s">
        <v>2227</v>
      </c>
      <c r="G863" s="115" t="s">
        <v>2402</v>
      </c>
      <c r="H863" s="113" t="s">
        <v>1922</v>
      </c>
      <c r="I863" s="114">
        <v>20.714970000000001</v>
      </c>
      <c r="J863" s="114">
        <v>-101.36973</v>
      </c>
      <c r="K863" s="113"/>
      <c r="L863" s="116" t="str">
        <f t="shared" si="42"/>
        <v>Ver en Google Maps</v>
      </c>
      <c r="M863" s="113">
        <v>2</v>
      </c>
      <c r="N863" s="129"/>
      <c r="O863" s="118"/>
      <c r="P863" s="118"/>
      <c r="Q863" s="118"/>
      <c r="R863" s="118"/>
      <c r="S863" s="118"/>
      <c r="T863" s="118"/>
      <c r="U863" s="118"/>
      <c r="V863" s="118"/>
      <c r="W863" s="118"/>
      <c r="X863" s="118"/>
      <c r="Y863" s="118"/>
      <c r="Z863" s="118"/>
      <c r="AA863" s="118"/>
      <c r="AB863" s="118"/>
      <c r="AC863" s="119"/>
      <c r="AD863" s="119"/>
      <c r="AE863" s="118"/>
      <c r="AF863" s="120"/>
    </row>
    <row r="864" spans="1:32" x14ac:dyDescent="0.2">
      <c r="A864" s="121">
        <v>854</v>
      </c>
      <c r="B864" s="122" t="s">
        <v>1204</v>
      </c>
      <c r="C864" s="123" t="s">
        <v>14</v>
      </c>
      <c r="D864" s="123" t="s">
        <v>404</v>
      </c>
      <c r="E864" s="124" t="s">
        <v>2228</v>
      </c>
      <c r="F864" s="124" t="s">
        <v>2229</v>
      </c>
      <c r="G864" s="124" t="s">
        <v>2314</v>
      </c>
      <c r="H864" s="122" t="s">
        <v>1922</v>
      </c>
      <c r="I864" s="123">
        <v>20.652678999999999</v>
      </c>
      <c r="J864" s="123">
        <v>-101.338733</v>
      </c>
      <c r="K864" s="122" t="s">
        <v>139</v>
      </c>
      <c r="L864" s="125" t="str">
        <f t="shared" si="42"/>
        <v>Ver en Google Maps</v>
      </c>
      <c r="M864" s="122">
        <v>1</v>
      </c>
      <c r="N864" s="108">
        <v>45962</v>
      </c>
      <c r="O864" s="109">
        <f>DAY('BD2'!$N864)</f>
        <v>1</v>
      </c>
      <c r="P864" s="109">
        <f>MONTH('BD2'!$N864)</f>
        <v>11</v>
      </c>
      <c r="Q864" s="109">
        <f>YEAR('BD2'!$N864)</f>
        <v>2025</v>
      </c>
      <c r="R864" s="109">
        <v>2</v>
      </c>
      <c r="S864" s="109" t="s">
        <v>138</v>
      </c>
      <c r="T864" s="109" t="s">
        <v>138</v>
      </c>
      <c r="U864" s="109" t="s">
        <v>138</v>
      </c>
      <c r="V864" s="109" t="s">
        <v>138</v>
      </c>
      <c r="W864" s="109" t="s">
        <v>138</v>
      </c>
      <c r="X864" s="109" t="s">
        <v>138</v>
      </c>
      <c r="Y864" s="109" t="s">
        <v>138</v>
      </c>
      <c r="Z864" s="109" t="str">
        <f>IF('BD2'!$AA864 &lt; 14, "no", "si")</f>
        <v>si</v>
      </c>
      <c r="AA864" s="109">
        <v>19.600000000000001</v>
      </c>
      <c r="AB864" s="109">
        <v>15</v>
      </c>
      <c r="AC864" s="110" t="s">
        <v>967</v>
      </c>
      <c r="AD864" s="110" t="s">
        <v>2436</v>
      </c>
      <c r="AE864" s="109">
        <f t="shared" si="43"/>
        <v>8</v>
      </c>
      <c r="AF864" s="111" t="str">
        <f t="shared" si="44"/>
        <v>Estable</v>
      </c>
    </row>
    <row r="865" spans="1:32" x14ac:dyDescent="0.2">
      <c r="A865" s="112">
        <v>866</v>
      </c>
      <c r="B865" s="113" t="s">
        <v>1204</v>
      </c>
      <c r="C865" s="114" t="s">
        <v>14</v>
      </c>
      <c r="D865" s="114" t="s">
        <v>735</v>
      </c>
      <c r="E865" s="115" t="s">
        <v>2230</v>
      </c>
      <c r="F865" s="115" t="s">
        <v>2231</v>
      </c>
      <c r="G865" s="115" t="s">
        <v>1853</v>
      </c>
      <c r="H865" s="113" t="s">
        <v>1922</v>
      </c>
      <c r="I865" s="114">
        <v>20.666772000000002</v>
      </c>
      <c r="J865" s="114">
        <v>-101.37279700000001</v>
      </c>
      <c r="K865" s="113" t="s">
        <v>139</v>
      </c>
      <c r="L865" s="116" t="str">
        <f t="shared" si="42"/>
        <v>Ver en Google Maps</v>
      </c>
      <c r="M865" s="113">
        <v>2</v>
      </c>
      <c r="N865" s="117"/>
      <c r="O865" s="118">
        <f>DAY('BD2'!$N865)</f>
        <v>0</v>
      </c>
      <c r="P865" s="118">
        <f>MONTH('BD2'!$N865)</f>
        <v>1</v>
      </c>
      <c r="Q865" s="118">
        <f>YEAR('BD2'!$N865)</f>
        <v>1900</v>
      </c>
      <c r="R865" s="118">
        <v>2</v>
      </c>
      <c r="S865" s="118" t="s">
        <v>138</v>
      </c>
      <c r="T865" s="118" t="s">
        <v>138</v>
      </c>
      <c r="U865" s="118" t="s">
        <v>138</v>
      </c>
      <c r="V865" s="118" t="s">
        <v>138</v>
      </c>
      <c r="W865" s="118" t="s">
        <v>138</v>
      </c>
      <c r="X865" s="118" t="s">
        <v>138</v>
      </c>
      <c r="Y865" s="118" t="s">
        <v>138</v>
      </c>
      <c r="Z865" s="118" t="str">
        <f>IF('BD2'!$AA865 &lt; 14, "no", "si")</f>
        <v>no</v>
      </c>
      <c r="AA865" s="118"/>
      <c r="AB865" s="118"/>
      <c r="AC865" s="119" t="s">
        <v>967</v>
      </c>
      <c r="AD865" s="119" t="s">
        <v>2436</v>
      </c>
      <c r="AE865" s="118">
        <f t="shared" si="43"/>
        <v>7</v>
      </c>
      <c r="AF865" s="120" t="str">
        <f t="shared" si="44"/>
        <v>Funcional con observaciones</v>
      </c>
    </row>
    <row r="866" spans="1:32" x14ac:dyDescent="0.2">
      <c r="A866" s="121">
        <v>867</v>
      </c>
      <c r="B866" s="122" t="s">
        <v>1204</v>
      </c>
      <c r="C866" s="123" t="s">
        <v>14</v>
      </c>
      <c r="D866" s="123" t="s">
        <v>735</v>
      </c>
      <c r="E866" s="124" t="s">
        <v>2232</v>
      </c>
      <c r="F866" s="124" t="s">
        <v>2233</v>
      </c>
      <c r="G866" s="124" t="s">
        <v>2315</v>
      </c>
      <c r="H866" s="122" t="s">
        <v>1922</v>
      </c>
      <c r="I866" s="123">
        <v>20.692679999999999</v>
      </c>
      <c r="J866" s="123">
        <v>-101.376879</v>
      </c>
      <c r="K866" s="122"/>
      <c r="L866" s="125" t="str">
        <f t="shared" si="42"/>
        <v>Ver en Google Maps</v>
      </c>
      <c r="M866" s="122">
        <v>2</v>
      </c>
      <c r="N866" s="130"/>
      <c r="O866" s="109"/>
      <c r="P866" s="109"/>
      <c r="Q866" s="109"/>
      <c r="R866" s="109"/>
      <c r="S866" s="109"/>
      <c r="T866" s="109"/>
      <c r="U866" s="109"/>
      <c r="V866" s="109"/>
      <c r="W866" s="109"/>
      <c r="X866" s="109"/>
      <c r="Y866" s="109"/>
      <c r="Z866" s="109"/>
      <c r="AA866" s="109"/>
      <c r="AB866" s="109"/>
      <c r="AC866" s="110"/>
      <c r="AD866" s="110"/>
      <c r="AE866" s="109"/>
      <c r="AF866" s="111"/>
    </row>
    <row r="867" spans="1:32" x14ac:dyDescent="0.2">
      <c r="A867" s="112">
        <v>886</v>
      </c>
      <c r="B867" s="113" t="s">
        <v>1204</v>
      </c>
      <c r="C867" s="114" t="s">
        <v>7</v>
      </c>
      <c r="D867" s="114" t="s">
        <v>404</v>
      </c>
      <c r="E867" s="115" t="s">
        <v>2234</v>
      </c>
      <c r="F867" s="115" t="s">
        <v>2235</v>
      </c>
      <c r="G867" s="115" t="s">
        <v>2403</v>
      </c>
      <c r="H867" s="113" t="s">
        <v>1922</v>
      </c>
      <c r="I867" s="114">
        <v>20.682825000000001</v>
      </c>
      <c r="J867" s="114">
        <v>-101.334149</v>
      </c>
      <c r="K867" s="113" t="s">
        <v>139</v>
      </c>
      <c r="L867" s="116" t="str">
        <f t="shared" si="42"/>
        <v>Ver en Google Maps</v>
      </c>
      <c r="M867" s="113">
        <v>1</v>
      </c>
      <c r="N867" s="117"/>
      <c r="O867" s="118">
        <f>DAY('BD2'!$N867)</f>
        <v>0</v>
      </c>
      <c r="P867" s="118">
        <f>MONTH('BD2'!$N867)</f>
        <v>1</v>
      </c>
      <c r="Q867" s="118">
        <f>YEAR('BD2'!$N867)</f>
        <v>1900</v>
      </c>
      <c r="R867" s="118">
        <v>2</v>
      </c>
      <c r="S867" s="118" t="s">
        <v>138</v>
      </c>
      <c r="T867" s="118" t="s">
        <v>138</v>
      </c>
      <c r="U867" s="118" t="s">
        <v>138</v>
      </c>
      <c r="V867" s="118" t="s">
        <v>138</v>
      </c>
      <c r="W867" s="118" t="s">
        <v>138</v>
      </c>
      <c r="X867" s="118" t="s">
        <v>138</v>
      </c>
      <c r="Y867" s="118" t="s">
        <v>138</v>
      </c>
      <c r="Z867" s="118" t="str">
        <f>IF('BD2'!$AA867 &lt; 14, "no", "si")</f>
        <v>no</v>
      </c>
      <c r="AA867" s="118"/>
      <c r="AB867" s="118"/>
      <c r="AC867" s="119" t="s">
        <v>967</v>
      </c>
      <c r="AD867" s="119" t="s">
        <v>2436</v>
      </c>
      <c r="AE867" s="118">
        <f t="shared" si="43"/>
        <v>7</v>
      </c>
      <c r="AF867" s="120" t="str">
        <f t="shared" si="44"/>
        <v>Funcional con observaciones</v>
      </c>
    </row>
    <row r="868" spans="1:32" x14ac:dyDescent="0.2">
      <c r="A868" s="121">
        <v>887</v>
      </c>
      <c r="B868" s="122" t="s">
        <v>1204</v>
      </c>
      <c r="C868" s="123" t="s">
        <v>14</v>
      </c>
      <c r="D868" s="123" t="s">
        <v>404</v>
      </c>
      <c r="E868" s="124" t="s">
        <v>2236</v>
      </c>
      <c r="F868" s="124" t="s">
        <v>2237</v>
      </c>
      <c r="G868" s="124" t="s">
        <v>2332</v>
      </c>
      <c r="H868" s="122" t="s">
        <v>1922</v>
      </c>
      <c r="I868" s="123">
        <v>20.71585</v>
      </c>
      <c r="J868" s="123">
        <v>-101.33444</v>
      </c>
      <c r="K868" s="122"/>
      <c r="L868" s="125" t="str">
        <f t="shared" si="42"/>
        <v>Ver en Google Maps</v>
      </c>
      <c r="M868" s="122">
        <v>1</v>
      </c>
      <c r="N868" s="130"/>
      <c r="O868" s="109"/>
      <c r="P868" s="109"/>
      <c r="Q868" s="109"/>
      <c r="R868" s="109"/>
      <c r="S868" s="109"/>
      <c r="T868" s="109"/>
      <c r="U868" s="109"/>
      <c r="V868" s="109"/>
      <c r="W868" s="109"/>
      <c r="X868" s="109"/>
      <c r="Y868" s="109"/>
      <c r="Z868" s="109"/>
      <c r="AA868" s="109"/>
      <c r="AB868" s="109"/>
      <c r="AC868" s="110"/>
      <c r="AD868" s="110"/>
      <c r="AE868" s="109"/>
      <c r="AF868" s="111"/>
    </row>
    <row r="869" spans="1:32" x14ac:dyDescent="0.2">
      <c r="A869" s="112">
        <v>890</v>
      </c>
      <c r="B869" s="113" t="s">
        <v>1204</v>
      </c>
      <c r="C869" s="114" t="s">
        <v>14</v>
      </c>
      <c r="D869" s="114" t="s">
        <v>404</v>
      </c>
      <c r="E869" s="115" t="s">
        <v>2238</v>
      </c>
      <c r="F869" s="115" t="s">
        <v>2239</v>
      </c>
      <c r="G869" s="115" t="s">
        <v>2324</v>
      </c>
      <c r="H869" s="113" t="s">
        <v>1922</v>
      </c>
      <c r="I869" s="114">
        <v>20.688217000000002</v>
      </c>
      <c r="J869" s="114">
        <v>-101.349701</v>
      </c>
      <c r="K869" s="113"/>
      <c r="L869" s="116" t="str">
        <f t="shared" si="42"/>
        <v>Ver en Google Maps</v>
      </c>
      <c r="M869" s="113">
        <v>1</v>
      </c>
      <c r="N869" s="129"/>
      <c r="O869" s="118"/>
      <c r="P869" s="118"/>
      <c r="Q869" s="118"/>
      <c r="R869" s="118"/>
      <c r="S869" s="118"/>
      <c r="T869" s="118"/>
      <c r="U869" s="118"/>
      <c r="V869" s="118"/>
      <c r="W869" s="118"/>
      <c r="X869" s="118"/>
      <c r="Y869" s="118"/>
      <c r="Z869" s="118"/>
      <c r="AA869" s="118"/>
      <c r="AB869" s="118"/>
      <c r="AC869" s="119"/>
      <c r="AD869" s="119"/>
      <c r="AE869" s="118"/>
      <c r="AF869" s="120"/>
    </row>
    <row r="870" spans="1:32" x14ac:dyDescent="0.2">
      <c r="A870" s="121">
        <v>892</v>
      </c>
      <c r="B870" s="122" t="s">
        <v>1204</v>
      </c>
      <c r="C870" s="123" t="s">
        <v>14</v>
      </c>
      <c r="D870" s="123" t="s">
        <v>404</v>
      </c>
      <c r="E870" s="124" t="s">
        <v>2240</v>
      </c>
      <c r="F870" s="124" t="s">
        <v>2241</v>
      </c>
      <c r="G870" s="124" t="s">
        <v>2324</v>
      </c>
      <c r="H870" s="122" t="s">
        <v>1922</v>
      </c>
      <c r="I870" s="123">
        <v>20.688817</v>
      </c>
      <c r="J870" s="123">
        <v>-101.34902099999999</v>
      </c>
      <c r="K870" s="122"/>
      <c r="L870" s="125" t="str">
        <f t="shared" si="42"/>
        <v>Ver en Google Maps</v>
      </c>
      <c r="M870" s="122">
        <v>1</v>
      </c>
      <c r="N870" s="130"/>
      <c r="O870" s="109"/>
      <c r="P870" s="109"/>
      <c r="Q870" s="109"/>
      <c r="R870" s="109"/>
      <c r="S870" s="109"/>
      <c r="T870" s="109"/>
      <c r="U870" s="109"/>
      <c r="V870" s="109"/>
      <c r="W870" s="109"/>
      <c r="X870" s="109"/>
      <c r="Y870" s="109"/>
      <c r="Z870" s="109"/>
      <c r="AA870" s="109"/>
      <c r="AB870" s="109"/>
      <c r="AC870" s="110"/>
      <c r="AD870" s="110"/>
      <c r="AE870" s="109"/>
      <c r="AF870" s="111"/>
    </row>
    <row r="871" spans="1:32" x14ac:dyDescent="0.2">
      <c r="A871" s="112">
        <v>897</v>
      </c>
      <c r="B871" s="113" t="s">
        <v>1204</v>
      </c>
      <c r="C871" s="114" t="s">
        <v>14</v>
      </c>
      <c r="D871" s="114" t="s">
        <v>404</v>
      </c>
      <c r="E871" s="115" t="s">
        <v>2242</v>
      </c>
      <c r="F871" s="115" t="s">
        <v>2243</v>
      </c>
      <c r="G871" s="115" t="s">
        <v>360</v>
      </c>
      <c r="H871" s="113" t="s">
        <v>1922</v>
      </c>
      <c r="I871" s="114">
        <v>20.672070999999999</v>
      </c>
      <c r="J871" s="114">
        <v>-101.345479</v>
      </c>
      <c r="K871" s="113"/>
      <c r="L871" s="116" t="str">
        <f t="shared" si="42"/>
        <v>Ver en Google Maps</v>
      </c>
      <c r="M871" s="113">
        <v>2</v>
      </c>
      <c r="N871" s="129"/>
      <c r="O871" s="118"/>
      <c r="P871" s="118"/>
      <c r="Q871" s="118"/>
      <c r="R871" s="118"/>
      <c r="S871" s="118"/>
      <c r="T871" s="118"/>
      <c r="U871" s="118"/>
      <c r="V871" s="118"/>
      <c r="W871" s="118"/>
      <c r="X871" s="118"/>
      <c r="Y871" s="118"/>
      <c r="Z871" s="118"/>
      <c r="AA871" s="118"/>
      <c r="AB871" s="118"/>
      <c r="AC871" s="119"/>
      <c r="AD871" s="119"/>
      <c r="AE871" s="118"/>
      <c r="AF871" s="120"/>
    </row>
    <row r="872" spans="1:32" x14ac:dyDescent="0.2">
      <c r="A872" s="121">
        <v>903</v>
      </c>
      <c r="B872" s="122" t="s">
        <v>1204</v>
      </c>
      <c r="C872" s="123" t="s">
        <v>14</v>
      </c>
      <c r="D872" s="123" t="s">
        <v>404</v>
      </c>
      <c r="E872" s="124" t="s">
        <v>2244</v>
      </c>
      <c r="F872" s="124" t="s">
        <v>2245</v>
      </c>
      <c r="G872" s="124" t="s">
        <v>2404</v>
      </c>
      <c r="H872" s="122" t="s">
        <v>1922</v>
      </c>
      <c r="I872" s="123">
        <v>20.68769</v>
      </c>
      <c r="J872" s="123">
        <v>-101.34683</v>
      </c>
      <c r="K872" s="122"/>
      <c r="L872" s="125" t="str">
        <f t="shared" si="42"/>
        <v>Ver en Google Maps</v>
      </c>
      <c r="M872" s="122">
        <v>1</v>
      </c>
      <c r="N872" s="130"/>
      <c r="O872" s="109"/>
      <c r="P872" s="109"/>
      <c r="Q872" s="109"/>
      <c r="R872" s="109"/>
      <c r="S872" s="109"/>
      <c r="T872" s="109"/>
      <c r="U872" s="109"/>
      <c r="V872" s="109"/>
      <c r="W872" s="109"/>
      <c r="X872" s="109"/>
      <c r="Y872" s="109"/>
      <c r="Z872" s="109"/>
      <c r="AA872" s="109"/>
      <c r="AB872" s="109"/>
      <c r="AC872" s="110"/>
      <c r="AD872" s="110"/>
      <c r="AE872" s="109"/>
      <c r="AF872" s="111"/>
    </row>
    <row r="873" spans="1:32" x14ac:dyDescent="0.2">
      <c r="A873" s="112">
        <v>904</v>
      </c>
      <c r="B873" s="113" t="s">
        <v>1204</v>
      </c>
      <c r="C873" s="114" t="s">
        <v>14</v>
      </c>
      <c r="D873" s="114" t="s">
        <v>404</v>
      </c>
      <c r="E873" s="115" t="s">
        <v>2246</v>
      </c>
      <c r="F873" s="115" t="s">
        <v>2247</v>
      </c>
      <c r="G873" s="115" t="s">
        <v>2357</v>
      </c>
      <c r="H873" s="113" t="s">
        <v>1922</v>
      </c>
      <c r="I873" s="114">
        <v>20.665075999999999</v>
      </c>
      <c r="J873" s="114">
        <v>-101.373392</v>
      </c>
      <c r="K873" s="113" t="s">
        <v>139</v>
      </c>
      <c r="L873" s="116" t="str">
        <f t="shared" si="42"/>
        <v>Ver en Google Maps</v>
      </c>
      <c r="M873" s="113">
        <v>1</v>
      </c>
      <c r="N873" s="117"/>
      <c r="O873" s="118">
        <f>DAY('BD2'!$N873)</f>
        <v>0</v>
      </c>
      <c r="P873" s="118">
        <f>MONTH('BD2'!$N873)</f>
        <v>1</v>
      </c>
      <c r="Q873" s="118">
        <f>YEAR('BD2'!$N873)</f>
        <v>1900</v>
      </c>
      <c r="R873" s="118">
        <v>2</v>
      </c>
      <c r="S873" s="118" t="s">
        <v>138</v>
      </c>
      <c r="T873" s="118" t="s">
        <v>138</v>
      </c>
      <c r="U873" s="118" t="s">
        <v>138</v>
      </c>
      <c r="V873" s="118" t="s">
        <v>138</v>
      </c>
      <c r="W873" s="118" t="s">
        <v>138</v>
      </c>
      <c r="X873" s="118" t="s">
        <v>138</v>
      </c>
      <c r="Y873" s="118" t="s">
        <v>138</v>
      </c>
      <c r="Z873" s="118" t="str">
        <f>IF('BD2'!$AA873 &lt; 14, "no", "si")</f>
        <v>no</v>
      </c>
      <c r="AA873" s="118"/>
      <c r="AB873" s="118"/>
      <c r="AC873" s="119" t="s">
        <v>967</v>
      </c>
      <c r="AD873" s="119" t="s">
        <v>2436</v>
      </c>
      <c r="AE873" s="118">
        <f t="shared" si="43"/>
        <v>7</v>
      </c>
      <c r="AF873" s="120" t="str">
        <f t="shared" si="44"/>
        <v>Funcional con observaciones</v>
      </c>
    </row>
    <row r="874" spans="1:32" x14ac:dyDescent="0.2">
      <c r="A874" s="121">
        <v>905</v>
      </c>
      <c r="B874" s="122" t="s">
        <v>1204</v>
      </c>
      <c r="C874" s="123" t="s">
        <v>7</v>
      </c>
      <c r="D874" s="123" t="s">
        <v>404</v>
      </c>
      <c r="E874" s="124" t="s">
        <v>1920</v>
      </c>
      <c r="F874" s="124" t="s">
        <v>1921</v>
      </c>
      <c r="G874" s="124" t="s">
        <v>2405</v>
      </c>
      <c r="H874" s="122" t="s">
        <v>1922</v>
      </c>
      <c r="I874" s="123">
        <v>20.685174</v>
      </c>
      <c r="J874" s="123">
        <v>-101.359486</v>
      </c>
      <c r="K874" s="122" t="s">
        <v>139</v>
      </c>
      <c r="L874" s="125" t="str">
        <f t="shared" si="42"/>
        <v>Ver en Google Maps</v>
      </c>
      <c r="M874" s="122">
        <v>1</v>
      </c>
      <c r="N874" s="108"/>
      <c r="O874" s="109">
        <f>DAY('BD2'!$N874)</f>
        <v>0</v>
      </c>
      <c r="P874" s="109">
        <f>MONTH('BD2'!$N874)</f>
        <v>1</v>
      </c>
      <c r="Q874" s="109">
        <f>YEAR('BD2'!$N874)</f>
        <v>1900</v>
      </c>
      <c r="R874" s="109">
        <v>2</v>
      </c>
      <c r="S874" s="109" t="s">
        <v>138</v>
      </c>
      <c r="T874" s="109" t="s">
        <v>138</v>
      </c>
      <c r="U874" s="109" t="s">
        <v>138</v>
      </c>
      <c r="V874" s="109" t="s">
        <v>138</v>
      </c>
      <c r="W874" s="109" t="s">
        <v>138</v>
      </c>
      <c r="X874" s="109" t="s">
        <v>138</v>
      </c>
      <c r="Y874" s="109" t="s">
        <v>138</v>
      </c>
      <c r="Z874" s="109" t="str">
        <f>IF('BD2'!$AA874 &lt; 14, "no", "si")</f>
        <v>no</v>
      </c>
      <c r="AA874" s="109"/>
      <c r="AB874" s="109"/>
      <c r="AC874" s="110" t="s">
        <v>967</v>
      </c>
      <c r="AD874" s="110" t="s">
        <v>2436</v>
      </c>
      <c r="AE874" s="109">
        <f t="shared" si="43"/>
        <v>7</v>
      </c>
      <c r="AF874" s="111" t="str">
        <f t="shared" si="44"/>
        <v>Funcional con observaciones</v>
      </c>
    </row>
    <row r="875" spans="1:32" x14ac:dyDescent="0.2">
      <c r="A875" s="112">
        <v>906</v>
      </c>
      <c r="B875" s="113" t="s">
        <v>1204</v>
      </c>
      <c r="C875" s="114" t="s">
        <v>14</v>
      </c>
      <c r="D875" s="114" t="s">
        <v>404</v>
      </c>
      <c r="E875" s="115" t="s">
        <v>2248</v>
      </c>
      <c r="F875" s="115" t="s">
        <v>2249</v>
      </c>
      <c r="G875" s="115" t="s">
        <v>2406</v>
      </c>
      <c r="H875" s="113" t="s">
        <v>1922</v>
      </c>
      <c r="I875" s="114">
        <v>20.679279999999999</v>
      </c>
      <c r="J875" s="114">
        <v>-101.337</v>
      </c>
      <c r="K875" s="113"/>
      <c r="L875" s="116" t="str">
        <f t="shared" si="42"/>
        <v>Ver en Google Maps</v>
      </c>
      <c r="M875" s="113">
        <v>1</v>
      </c>
      <c r="N875" s="129"/>
      <c r="O875" s="118"/>
      <c r="P875" s="118"/>
      <c r="Q875" s="118"/>
      <c r="R875" s="118"/>
      <c r="S875" s="118"/>
      <c r="T875" s="118"/>
      <c r="U875" s="118"/>
      <c r="V875" s="118"/>
      <c r="W875" s="118"/>
      <c r="X875" s="118"/>
      <c r="Y875" s="118"/>
      <c r="Z875" s="118"/>
      <c r="AA875" s="118"/>
      <c r="AB875" s="118"/>
      <c r="AC875" s="119"/>
      <c r="AD875" s="119"/>
      <c r="AE875" s="118"/>
      <c r="AF875" s="120"/>
    </row>
    <row r="876" spans="1:32" x14ac:dyDescent="0.2">
      <c r="A876" s="121">
        <v>927</v>
      </c>
      <c r="B876" s="122" t="s">
        <v>1204</v>
      </c>
      <c r="C876" s="123" t="s">
        <v>429</v>
      </c>
      <c r="D876" s="123" t="s">
        <v>336</v>
      </c>
      <c r="E876" s="124" t="s">
        <v>2250</v>
      </c>
      <c r="F876" s="124" t="s">
        <v>2251</v>
      </c>
      <c r="G876" s="124" t="s">
        <v>2407</v>
      </c>
      <c r="H876" s="122" t="s">
        <v>1922</v>
      </c>
      <c r="I876" s="123">
        <v>20.654014</v>
      </c>
      <c r="J876" s="123">
        <v>-101.34995000000001</v>
      </c>
      <c r="K876" s="122"/>
      <c r="L876" s="125" t="str">
        <f t="shared" si="42"/>
        <v>Ver en Google Maps</v>
      </c>
      <c r="M876" s="122">
        <v>2</v>
      </c>
      <c r="N876" s="130"/>
      <c r="O876" s="109"/>
      <c r="P876" s="109"/>
      <c r="Q876" s="109"/>
      <c r="R876" s="109"/>
      <c r="S876" s="109"/>
      <c r="T876" s="109"/>
      <c r="U876" s="109"/>
      <c r="V876" s="109"/>
      <c r="W876" s="109"/>
      <c r="X876" s="109"/>
      <c r="Y876" s="109"/>
      <c r="Z876" s="109"/>
      <c r="AA876" s="109"/>
      <c r="AB876" s="109"/>
      <c r="AC876" s="110"/>
      <c r="AD876" s="110"/>
      <c r="AE876" s="109"/>
      <c r="AF876" s="111"/>
    </row>
    <row r="877" spans="1:32" x14ac:dyDescent="0.2">
      <c r="A877" s="112">
        <v>932</v>
      </c>
      <c r="B877" s="113" t="s">
        <v>1204</v>
      </c>
      <c r="C877" s="114" t="s">
        <v>429</v>
      </c>
      <c r="D877" s="114" t="s">
        <v>336</v>
      </c>
      <c r="E877" s="115" t="s">
        <v>2252</v>
      </c>
      <c r="F877" s="115" t="s">
        <v>2253</v>
      </c>
      <c r="G877" s="115" t="s">
        <v>2316</v>
      </c>
      <c r="H877" s="113" t="s">
        <v>1922</v>
      </c>
      <c r="I877" s="114">
        <v>20.66366</v>
      </c>
      <c r="J877" s="114">
        <v>-101.42324000000001</v>
      </c>
      <c r="K877" s="113"/>
      <c r="L877" s="116" t="str">
        <f t="shared" si="42"/>
        <v>Ver en Google Maps</v>
      </c>
      <c r="M877" s="113">
        <v>2</v>
      </c>
      <c r="N877" s="129"/>
      <c r="O877" s="118"/>
      <c r="P877" s="118"/>
      <c r="Q877" s="118"/>
      <c r="R877" s="118"/>
      <c r="S877" s="118"/>
      <c r="T877" s="118"/>
      <c r="U877" s="118"/>
      <c r="V877" s="118"/>
      <c r="W877" s="118"/>
      <c r="X877" s="118"/>
      <c r="Y877" s="118"/>
      <c r="Z877" s="118"/>
      <c r="AA877" s="118"/>
      <c r="AB877" s="118"/>
      <c r="AC877" s="119"/>
      <c r="AD877" s="119"/>
      <c r="AE877" s="118"/>
      <c r="AF877" s="120"/>
    </row>
    <row r="878" spans="1:32" x14ac:dyDescent="0.2">
      <c r="A878" s="121">
        <v>945</v>
      </c>
      <c r="B878" s="122" t="s">
        <v>1204</v>
      </c>
      <c r="C878" s="123" t="s">
        <v>429</v>
      </c>
      <c r="D878" s="123" t="s">
        <v>132</v>
      </c>
      <c r="E878" s="124" t="s">
        <v>2254</v>
      </c>
      <c r="F878" s="124" t="s">
        <v>2255</v>
      </c>
      <c r="G878" s="124" t="s">
        <v>2408</v>
      </c>
      <c r="H878" s="122" t="s">
        <v>1922</v>
      </c>
      <c r="I878" s="123">
        <v>20.755644</v>
      </c>
      <c r="J878" s="123">
        <v>-101.331361</v>
      </c>
      <c r="K878" s="122"/>
      <c r="L878" s="125" t="str">
        <f t="shared" si="42"/>
        <v>Ver en Google Maps</v>
      </c>
      <c r="M878" s="122">
        <v>2</v>
      </c>
      <c r="N878" s="130"/>
      <c r="O878" s="109"/>
      <c r="P878" s="109"/>
      <c r="Q878" s="109"/>
      <c r="R878" s="109"/>
      <c r="S878" s="109"/>
      <c r="T878" s="109"/>
      <c r="U878" s="109"/>
      <c r="V878" s="109"/>
      <c r="W878" s="109"/>
      <c r="X878" s="109"/>
      <c r="Y878" s="109"/>
      <c r="Z878" s="109"/>
      <c r="AA878" s="109"/>
      <c r="AB878" s="109"/>
      <c r="AC878" s="110"/>
      <c r="AD878" s="110"/>
      <c r="AE878" s="109"/>
      <c r="AF878" s="111"/>
    </row>
    <row r="879" spans="1:32" x14ac:dyDescent="0.2">
      <c r="A879" s="112">
        <v>946</v>
      </c>
      <c r="B879" s="113" t="s">
        <v>1204</v>
      </c>
      <c r="C879" s="114" t="s">
        <v>429</v>
      </c>
      <c r="D879" s="114" t="s">
        <v>132</v>
      </c>
      <c r="E879" s="115" t="s">
        <v>2256</v>
      </c>
      <c r="F879" s="115" t="s">
        <v>2257</v>
      </c>
      <c r="G879" s="115" t="s">
        <v>2316</v>
      </c>
      <c r="H879" s="113" t="s">
        <v>1922</v>
      </c>
      <c r="I879" s="114">
        <v>20.663578999999999</v>
      </c>
      <c r="J879" s="114">
        <v>-101.423513</v>
      </c>
      <c r="K879" s="113"/>
      <c r="L879" s="116" t="str">
        <f t="shared" si="42"/>
        <v>Ver en Google Maps</v>
      </c>
      <c r="M879" s="113">
        <v>2</v>
      </c>
      <c r="N879" s="129"/>
      <c r="O879" s="118"/>
      <c r="P879" s="118"/>
      <c r="Q879" s="118"/>
      <c r="R879" s="118"/>
      <c r="S879" s="118"/>
      <c r="T879" s="118"/>
      <c r="U879" s="118"/>
      <c r="V879" s="118"/>
      <c r="W879" s="118"/>
      <c r="X879" s="118"/>
      <c r="Y879" s="118"/>
      <c r="Z879" s="118"/>
      <c r="AA879" s="118"/>
      <c r="AB879" s="118"/>
      <c r="AC879" s="119"/>
      <c r="AD879" s="119"/>
      <c r="AE879" s="118"/>
      <c r="AF879" s="120"/>
    </row>
    <row r="880" spans="1:32" x14ac:dyDescent="0.2">
      <c r="A880" s="121">
        <v>947</v>
      </c>
      <c r="B880" s="122" t="s">
        <v>1204</v>
      </c>
      <c r="C880" s="123" t="s">
        <v>429</v>
      </c>
      <c r="D880" s="123" t="s">
        <v>132</v>
      </c>
      <c r="E880" s="124" t="s">
        <v>2258</v>
      </c>
      <c r="F880" s="124" t="s">
        <v>2259</v>
      </c>
      <c r="G880" s="124" t="s">
        <v>999</v>
      </c>
      <c r="H880" s="122" t="s">
        <v>1922</v>
      </c>
      <c r="I880" s="123">
        <v>20.651344000000002</v>
      </c>
      <c r="J880" s="123">
        <v>-101.38309599999999</v>
      </c>
      <c r="K880" s="122"/>
      <c r="L880" s="125" t="str">
        <f t="shared" si="42"/>
        <v>Ver en Google Maps</v>
      </c>
      <c r="M880" s="122">
        <v>2</v>
      </c>
      <c r="N880" s="130"/>
      <c r="O880" s="109"/>
      <c r="P880" s="109"/>
      <c r="Q880" s="109"/>
      <c r="R880" s="109"/>
      <c r="S880" s="109"/>
      <c r="T880" s="109"/>
      <c r="U880" s="109"/>
      <c r="V880" s="109"/>
      <c r="W880" s="109"/>
      <c r="X880" s="109"/>
      <c r="Y880" s="109"/>
      <c r="Z880" s="109"/>
      <c r="AA880" s="109"/>
      <c r="AB880" s="109"/>
      <c r="AC880" s="110"/>
      <c r="AD880" s="110"/>
      <c r="AE880" s="109"/>
      <c r="AF880" s="111"/>
    </row>
    <row r="881" spans="1:32" x14ac:dyDescent="0.2">
      <c r="A881" s="112">
        <v>951</v>
      </c>
      <c r="B881" s="113" t="s">
        <v>1204</v>
      </c>
      <c r="C881" s="114" t="s">
        <v>429</v>
      </c>
      <c r="D881" s="114" t="s">
        <v>132</v>
      </c>
      <c r="E881" s="115" t="s">
        <v>2260</v>
      </c>
      <c r="F881" s="115" t="s">
        <v>2261</v>
      </c>
      <c r="G881" s="115" t="s">
        <v>2328</v>
      </c>
      <c r="H881" s="113" t="s">
        <v>1922</v>
      </c>
      <c r="I881" s="114">
        <v>20.647120000000001</v>
      </c>
      <c r="J881" s="114">
        <v>-101.34528299999999</v>
      </c>
      <c r="K881" s="113"/>
      <c r="L881" s="116" t="str">
        <f t="shared" si="42"/>
        <v>Ver en Google Maps</v>
      </c>
      <c r="M881" s="113">
        <v>3</v>
      </c>
      <c r="N881" s="129"/>
      <c r="O881" s="118"/>
      <c r="P881" s="118"/>
      <c r="Q881" s="118"/>
      <c r="R881" s="118"/>
      <c r="S881" s="118"/>
      <c r="T881" s="118"/>
      <c r="U881" s="118"/>
      <c r="V881" s="118"/>
      <c r="W881" s="118"/>
      <c r="X881" s="118"/>
      <c r="Y881" s="118"/>
      <c r="Z881" s="118"/>
      <c r="AA881" s="118"/>
      <c r="AB881" s="118"/>
      <c r="AC881" s="119"/>
      <c r="AD881" s="119"/>
      <c r="AE881" s="118"/>
      <c r="AF881" s="120"/>
    </row>
    <row r="882" spans="1:32" x14ac:dyDescent="0.2">
      <c r="A882" s="121">
        <v>963</v>
      </c>
      <c r="B882" s="122" t="s">
        <v>1204</v>
      </c>
      <c r="C882" s="123" t="s">
        <v>87</v>
      </c>
      <c r="D882" s="123" t="s">
        <v>782</v>
      </c>
      <c r="E882" s="124" t="s">
        <v>2262</v>
      </c>
      <c r="F882" s="124" t="s">
        <v>2263</v>
      </c>
      <c r="G882" s="124" t="s">
        <v>2405</v>
      </c>
      <c r="H882" s="122" t="s">
        <v>1922</v>
      </c>
      <c r="I882" s="123">
        <v>20.686834000000001</v>
      </c>
      <c r="J882" s="123">
        <v>-101.357274</v>
      </c>
      <c r="K882" s="122"/>
      <c r="L882" s="125" t="str">
        <f t="shared" si="42"/>
        <v>Ver en Google Maps</v>
      </c>
      <c r="M882" s="122">
        <v>4</v>
      </c>
      <c r="N882" s="130"/>
      <c r="O882" s="109"/>
      <c r="P882" s="109"/>
      <c r="Q882" s="109"/>
      <c r="R882" s="109"/>
      <c r="S882" s="109"/>
      <c r="T882" s="109"/>
      <c r="U882" s="109"/>
      <c r="V882" s="109"/>
      <c r="W882" s="109"/>
      <c r="X882" s="109"/>
      <c r="Y882" s="109"/>
      <c r="Z882" s="109"/>
      <c r="AA882" s="109"/>
      <c r="AB882" s="109"/>
      <c r="AC882" s="110"/>
      <c r="AD882" s="110"/>
      <c r="AE882" s="109"/>
      <c r="AF882" s="111"/>
    </row>
    <row r="883" spans="1:32" x14ac:dyDescent="0.2">
      <c r="A883" s="112">
        <v>964</v>
      </c>
      <c r="B883" s="113" t="s">
        <v>1204</v>
      </c>
      <c r="C883" s="114" t="s">
        <v>429</v>
      </c>
      <c r="D883" s="114" t="s">
        <v>336</v>
      </c>
      <c r="E883" s="115" t="s">
        <v>2264</v>
      </c>
      <c r="F883" s="115" t="s">
        <v>2265</v>
      </c>
      <c r="G883" s="115" t="s">
        <v>2317</v>
      </c>
      <c r="H883" s="113" t="s">
        <v>1922</v>
      </c>
      <c r="I883" s="114">
        <v>20.67869</v>
      </c>
      <c r="J883" s="114">
        <v>-101.370257</v>
      </c>
      <c r="K883" s="113"/>
      <c r="L883" s="116" t="str">
        <f t="shared" si="42"/>
        <v>Ver en Google Maps</v>
      </c>
      <c r="M883" s="113">
        <v>2</v>
      </c>
      <c r="N883" s="129"/>
      <c r="O883" s="118"/>
      <c r="P883" s="118"/>
      <c r="Q883" s="118"/>
      <c r="R883" s="118"/>
      <c r="S883" s="118"/>
      <c r="T883" s="118"/>
      <c r="U883" s="118"/>
      <c r="V883" s="118"/>
      <c r="W883" s="118"/>
      <c r="X883" s="118"/>
      <c r="Y883" s="118"/>
      <c r="Z883" s="118"/>
      <c r="AA883" s="118"/>
      <c r="AB883" s="118"/>
      <c r="AC883" s="119"/>
      <c r="AD883" s="119"/>
      <c r="AE883" s="118"/>
      <c r="AF883" s="120"/>
    </row>
    <row r="884" spans="1:32" x14ac:dyDescent="0.2">
      <c r="A884" s="121">
        <v>965</v>
      </c>
      <c r="B884" s="122" t="s">
        <v>1204</v>
      </c>
      <c r="C884" s="123" t="s">
        <v>14</v>
      </c>
      <c r="D884" s="123" t="s">
        <v>404</v>
      </c>
      <c r="E884" s="124" t="s">
        <v>2266</v>
      </c>
      <c r="F884" s="124" t="s">
        <v>2267</v>
      </c>
      <c r="G884" s="124" t="s">
        <v>2390</v>
      </c>
      <c r="H884" s="122" t="s">
        <v>1922</v>
      </c>
      <c r="I884" s="123">
        <v>20.693390000000001</v>
      </c>
      <c r="J884" s="123">
        <v>-101.3523</v>
      </c>
      <c r="K884" s="122"/>
      <c r="L884" s="125" t="str">
        <f t="shared" si="42"/>
        <v>Ver en Google Maps</v>
      </c>
      <c r="M884" s="122">
        <v>1</v>
      </c>
      <c r="N884" s="130"/>
      <c r="O884" s="109"/>
      <c r="P884" s="109"/>
      <c r="Q884" s="109"/>
      <c r="R884" s="109"/>
      <c r="S884" s="109"/>
      <c r="T884" s="109"/>
      <c r="U884" s="109"/>
      <c r="V884" s="109"/>
      <c r="W884" s="109"/>
      <c r="X884" s="109"/>
      <c r="Y884" s="109"/>
      <c r="Z884" s="109"/>
      <c r="AA884" s="109"/>
      <c r="AB884" s="109"/>
      <c r="AC884" s="110"/>
      <c r="AD884" s="110"/>
      <c r="AE884" s="109"/>
      <c r="AF884" s="111"/>
    </row>
    <row r="885" spans="1:32" x14ac:dyDescent="0.2">
      <c r="A885" s="112">
        <v>1000</v>
      </c>
      <c r="B885" s="113" t="s">
        <v>1204</v>
      </c>
      <c r="C885" s="114" t="s">
        <v>87</v>
      </c>
      <c r="D885" s="114" t="s">
        <v>805</v>
      </c>
      <c r="E885" s="115" t="s">
        <v>2268</v>
      </c>
      <c r="F885" s="115" t="s">
        <v>2269</v>
      </c>
      <c r="G885" s="115" t="s">
        <v>2409</v>
      </c>
      <c r="H885" s="113" t="s">
        <v>1922</v>
      </c>
      <c r="I885" s="114">
        <v>20.666156000000001</v>
      </c>
      <c r="J885" s="114">
        <v>-101.372714</v>
      </c>
      <c r="K885" s="113" t="s">
        <v>139</v>
      </c>
      <c r="L885" s="116" t="str">
        <f t="shared" si="42"/>
        <v>Ver en Google Maps</v>
      </c>
      <c r="M885" s="113">
        <v>2</v>
      </c>
      <c r="N885" s="117"/>
      <c r="O885" s="118">
        <f>DAY('BD2'!$N885)</f>
        <v>0</v>
      </c>
      <c r="P885" s="118">
        <f>MONTH('BD2'!$N885)</f>
        <v>1</v>
      </c>
      <c r="Q885" s="118">
        <f>YEAR('BD2'!$N885)</f>
        <v>1900</v>
      </c>
      <c r="R885" s="118">
        <v>2</v>
      </c>
      <c r="S885" s="118" t="s">
        <v>138</v>
      </c>
      <c r="T885" s="118" t="s">
        <v>138</v>
      </c>
      <c r="U885" s="118" t="s">
        <v>138</v>
      </c>
      <c r="V885" s="118" t="s">
        <v>138</v>
      </c>
      <c r="W885" s="118" t="s">
        <v>138</v>
      </c>
      <c r="X885" s="118" t="s">
        <v>138</v>
      </c>
      <c r="Y885" s="118" t="s">
        <v>138</v>
      </c>
      <c r="Z885" s="118" t="str">
        <f>IF('BD2'!$AA885 &lt; 14, "no", "si")</f>
        <v>no</v>
      </c>
      <c r="AA885" s="118"/>
      <c r="AB885" s="118"/>
      <c r="AC885" s="119" t="s">
        <v>2445</v>
      </c>
      <c r="AD885" s="119" t="s">
        <v>2436</v>
      </c>
      <c r="AE885" s="118">
        <f t="shared" si="43"/>
        <v>7</v>
      </c>
      <c r="AF885" s="120" t="str">
        <f t="shared" si="44"/>
        <v>Funcional con observaciones</v>
      </c>
    </row>
    <row r="886" spans="1:32" x14ac:dyDescent="0.2">
      <c r="A886" s="121">
        <v>1001</v>
      </c>
      <c r="B886" s="122" t="s">
        <v>1204</v>
      </c>
      <c r="C886" s="123" t="s">
        <v>87</v>
      </c>
      <c r="D886" s="123" t="s">
        <v>805</v>
      </c>
      <c r="E886" s="124" t="s">
        <v>2270</v>
      </c>
      <c r="F886" s="124" t="s">
        <v>2271</v>
      </c>
      <c r="G886" s="124" t="s">
        <v>2410</v>
      </c>
      <c r="H886" s="122" t="s">
        <v>1922</v>
      </c>
      <c r="I886" s="123">
        <v>20.666585999999999</v>
      </c>
      <c r="J886" s="123">
        <v>-101.35790299999999</v>
      </c>
      <c r="K886" s="122"/>
      <c r="L886" s="125" t="str">
        <f t="shared" si="42"/>
        <v>Ver en Google Maps</v>
      </c>
      <c r="M886" s="122">
        <v>2</v>
      </c>
      <c r="N886" s="130"/>
      <c r="O886" s="109"/>
      <c r="P886" s="109"/>
      <c r="Q886" s="109"/>
      <c r="R886" s="109"/>
      <c r="S886" s="109"/>
      <c r="T886" s="109"/>
      <c r="U886" s="109"/>
      <c r="V886" s="109"/>
      <c r="W886" s="109"/>
      <c r="X886" s="109"/>
      <c r="Y886" s="109"/>
      <c r="Z886" s="109"/>
      <c r="AA886" s="109"/>
      <c r="AB886" s="109"/>
      <c r="AC886" s="110"/>
      <c r="AD886" s="110"/>
      <c r="AE886" s="109"/>
      <c r="AF886" s="111"/>
    </row>
    <row r="887" spans="1:32" x14ac:dyDescent="0.2">
      <c r="A887" s="112">
        <v>1009</v>
      </c>
      <c r="B887" s="113" t="s">
        <v>1204</v>
      </c>
      <c r="C887" s="114" t="s">
        <v>87</v>
      </c>
      <c r="D887" s="114" t="s">
        <v>1772</v>
      </c>
      <c r="E887" s="115" t="s">
        <v>2272</v>
      </c>
      <c r="F887" s="115" t="s">
        <v>2273</v>
      </c>
      <c r="G887" s="115" t="s">
        <v>2411</v>
      </c>
      <c r="H887" s="113" t="s">
        <v>1922</v>
      </c>
      <c r="I887" s="114">
        <v>20.653092000000001</v>
      </c>
      <c r="J887" s="114">
        <v>-101.338616</v>
      </c>
      <c r="K887" s="113" t="s">
        <v>3057</v>
      </c>
      <c r="L887" s="116" t="str">
        <f t="shared" si="42"/>
        <v>Ver en Google Maps</v>
      </c>
      <c r="M887" s="113">
        <v>2</v>
      </c>
      <c r="N887" s="117">
        <v>45962</v>
      </c>
      <c r="O887" s="118">
        <f>DAY('BD2'!$N887)</f>
        <v>1</v>
      </c>
      <c r="P887" s="118">
        <f>MONTH('BD2'!$N887)</f>
        <v>11</v>
      </c>
      <c r="Q887" s="118">
        <f>YEAR('BD2'!$N887)</f>
        <v>2025</v>
      </c>
      <c r="R887" s="118">
        <v>2</v>
      </c>
      <c r="S887" s="118" t="s">
        <v>138</v>
      </c>
      <c r="T887" s="118" t="s">
        <v>138</v>
      </c>
      <c r="U887" s="118" t="s">
        <v>138</v>
      </c>
      <c r="V887" s="118" t="s">
        <v>138</v>
      </c>
      <c r="W887" s="118" t="s">
        <v>138</v>
      </c>
      <c r="X887" s="118" t="s">
        <v>138</v>
      </c>
      <c r="Y887" s="118" t="s">
        <v>138</v>
      </c>
      <c r="Z887" s="118" t="str">
        <f>IF('BD2'!$AA887 &lt; 14, "no", "si")</f>
        <v>si</v>
      </c>
      <c r="AA887" s="118">
        <v>36.299999999999997</v>
      </c>
      <c r="AB887" s="118">
        <v>10.199999999999999</v>
      </c>
      <c r="AC887" s="119" t="s">
        <v>967</v>
      </c>
      <c r="AD887" s="119" t="s">
        <v>2436</v>
      </c>
      <c r="AE887" s="118">
        <f t="shared" si="43"/>
        <v>8</v>
      </c>
      <c r="AF887" s="120" t="str">
        <f t="shared" si="44"/>
        <v>Estable</v>
      </c>
    </row>
    <row r="888" spans="1:32" x14ac:dyDescent="0.2">
      <c r="A888" s="121">
        <v>1019</v>
      </c>
      <c r="B888" s="122" t="s">
        <v>1204</v>
      </c>
      <c r="C888" s="123" t="s">
        <v>87</v>
      </c>
      <c r="D888" s="123" t="s">
        <v>805</v>
      </c>
      <c r="E888" s="124" t="s">
        <v>2274</v>
      </c>
      <c r="F888" s="124" t="s">
        <v>2275</v>
      </c>
      <c r="G888" s="124" t="s">
        <v>2318</v>
      </c>
      <c r="H888" s="122" t="s">
        <v>1922</v>
      </c>
      <c r="I888" s="123">
        <v>20.671585</v>
      </c>
      <c r="J888" s="123">
        <v>-101.355632</v>
      </c>
      <c r="K888" s="122"/>
      <c r="L888" s="125" t="str">
        <f t="shared" si="42"/>
        <v>Ver en Google Maps</v>
      </c>
      <c r="M888" s="122">
        <v>2</v>
      </c>
      <c r="N888" s="130"/>
      <c r="O888" s="109"/>
      <c r="P888" s="109"/>
      <c r="Q888" s="109"/>
      <c r="R888" s="109"/>
      <c r="S888" s="109"/>
      <c r="T888" s="109"/>
      <c r="U888" s="109"/>
      <c r="V888" s="109"/>
      <c r="W888" s="109"/>
      <c r="X888" s="109"/>
      <c r="Y888" s="109"/>
      <c r="Z888" s="109"/>
      <c r="AA888" s="109"/>
      <c r="AB888" s="109"/>
      <c r="AC888" s="110"/>
      <c r="AD888" s="110"/>
      <c r="AE888" s="109"/>
      <c r="AF888" s="111"/>
    </row>
    <row r="889" spans="1:32" x14ac:dyDescent="0.2">
      <c r="A889" s="112">
        <v>1046</v>
      </c>
      <c r="B889" s="113" t="s">
        <v>1204</v>
      </c>
      <c r="C889" s="114" t="s">
        <v>87</v>
      </c>
      <c r="D889" s="114" t="s">
        <v>805</v>
      </c>
      <c r="E889" s="115" t="s">
        <v>2276</v>
      </c>
      <c r="F889" s="115" t="s">
        <v>2277</v>
      </c>
      <c r="G889" s="115" t="s">
        <v>2412</v>
      </c>
      <c r="H889" s="113" t="s">
        <v>1922</v>
      </c>
      <c r="I889" s="114">
        <v>20.721</v>
      </c>
      <c r="J889" s="114">
        <v>-101.365641</v>
      </c>
      <c r="K889" s="113"/>
      <c r="L889" s="116" t="str">
        <f t="shared" si="42"/>
        <v>Ver en Google Maps</v>
      </c>
      <c r="M889" s="113">
        <v>3</v>
      </c>
      <c r="N889" s="129"/>
      <c r="O889" s="118"/>
      <c r="P889" s="118"/>
      <c r="Q889" s="118"/>
      <c r="R889" s="118"/>
      <c r="S889" s="118"/>
      <c r="T889" s="118"/>
      <c r="U889" s="118"/>
      <c r="V889" s="118"/>
      <c r="W889" s="118"/>
      <c r="X889" s="118"/>
      <c r="Y889" s="118"/>
      <c r="Z889" s="118"/>
      <c r="AA889" s="118"/>
      <c r="AB889" s="118"/>
      <c r="AC889" s="119"/>
      <c r="AD889" s="119"/>
      <c r="AE889" s="118"/>
      <c r="AF889" s="120"/>
    </row>
    <row r="890" spans="1:32" x14ac:dyDescent="0.2">
      <c r="A890" s="121">
        <v>1050</v>
      </c>
      <c r="B890" s="122" t="s">
        <v>1204</v>
      </c>
      <c r="C890" s="123" t="s">
        <v>87</v>
      </c>
      <c r="D890" s="123" t="s">
        <v>805</v>
      </c>
      <c r="E890" s="124" t="s">
        <v>2278</v>
      </c>
      <c r="F890" s="124" t="s">
        <v>2279</v>
      </c>
      <c r="G890" s="124" t="s">
        <v>2397</v>
      </c>
      <c r="H890" s="122" t="s">
        <v>1922</v>
      </c>
      <c r="I890" s="123">
        <v>20.64386</v>
      </c>
      <c r="J890" s="123">
        <v>-101.390384</v>
      </c>
      <c r="K890" s="122" t="s">
        <v>139</v>
      </c>
      <c r="L890" s="125" t="str">
        <f t="shared" si="42"/>
        <v>Ver en Google Maps</v>
      </c>
      <c r="M890" s="122">
        <v>2</v>
      </c>
      <c r="N890" s="108">
        <v>45962</v>
      </c>
      <c r="O890" s="109">
        <f>DAY('BD2'!$N890)</f>
        <v>1</v>
      </c>
      <c r="P890" s="109">
        <f>MONTH('BD2'!$N890)</f>
        <v>11</v>
      </c>
      <c r="Q890" s="109">
        <f>YEAR('BD2'!$N890)</f>
        <v>2025</v>
      </c>
      <c r="R890" s="109">
        <v>2</v>
      </c>
      <c r="S890" s="109" t="s">
        <v>138</v>
      </c>
      <c r="T890" s="109" t="s">
        <v>138</v>
      </c>
      <c r="U890" s="109" t="s">
        <v>138</v>
      </c>
      <c r="V890" s="109" t="s">
        <v>138</v>
      </c>
      <c r="W890" s="109" t="s">
        <v>138</v>
      </c>
      <c r="X890" s="109" t="s">
        <v>138</v>
      </c>
      <c r="Y890" s="109" t="s">
        <v>138</v>
      </c>
      <c r="Z890" s="109" t="str">
        <f>IF('BD2'!$AA890 &lt; 14, "no", "si")</f>
        <v>no</v>
      </c>
      <c r="AA890" s="109">
        <v>7.73</v>
      </c>
      <c r="AB890" s="109">
        <v>3.32</v>
      </c>
      <c r="AC890" s="110" t="s">
        <v>1412</v>
      </c>
      <c r="AD890" s="110" t="s">
        <v>2436</v>
      </c>
      <c r="AE890" s="109">
        <f t="shared" si="43"/>
        <v>7</v>
      </c>
      <c r="AF890" s="111" t="str">
        <f t="shared" si="44"/>
        <v>Funcional con observaciones</v>
      </c>
    </row>
    <row r="891" spans="1:32" x14ac:dyDescent="0.2">
      <c r="A891" s="112">
        <v>1052</v>
      </c>
      <c r="B891" s="113" t="s">
        <v>1204</v>
      </c>
      <c r="C891" s="114" t="s">
        <v>87</v>
      </c>
      <c r="D891" s="114" t="s">
        <v>404</v>
      </c>
      <c r="E891" s="115" t="s">
        <v>2280</v>
      </c>
      <c r="F891" s="115" t="s">
        <v>2281</v>
      </c>
      <c r="G891" s="115" t="s">
        <v>2319</v>
      </c>
      <c r="H891" s="113" t="s">
        <v>1922</v>
      </c>
      <c r="I891" s="114">
        <v>20.643791</v>
      </c>
      <c r="J891" s="114">
        <v>-101.389595</v>
      </c>
      <c r="K891" s="113" t="s">
        <v>139</v>
      </c>
      <c r="L891" s="116" t="str">
        <f t="shared" si="42"/>
        <v>Ver en Google Maps</v>
      </c>
      <c r="M891" s="113">
        <v>2</v>
      </c>
      <c r="N891" s="117">
        <v>45962</v>
      </c>
      <c r="O891" s="118">
        <f>DAY('BD2'!$N891)</f>
        <v>1</v>
      </c>
      <c r="P891" s="118">
        <f>MONTH('BD2'!$N891)</f>
        <v>11</v>
      </c>
      <c r="Q891" s="118">
        <f>YEAR('BD2'!$N891)</f>
        <v>2025</v>
      </c>
      <c r="R891" s="118">
        <v>2</v>
      </c>
      <c r="S891" s="118" t="s">
        <v>138</v>
      </c>
      <c r="T891" s="118" t="s">
        <v>138</v>
      </c>
      <c r="U891" s="118" t="s">
        <v>138</v>
      </c>
      <c r="V891" s="118" t="s">
        <v>138</v>
      </c>
      <c r="W891" s="118" t="s">
        <v>138</v>
      </c>
      <c r="X891" s="118" t="s">
        <v>138</v>
      </c>
      <c r="Y891" s="118" t="s">
        <v>138</v>
      </c>
      <c r="Z891" s="118" t="str">
        <f>IF('BD2'!$AA891 &lt; 14, "no", "si")</f>
        <v>si</v>
      </c>
      <c r="AA891" s="118">
        <v>34.1</v>
      </c>
      <c r="AB891" s="118">
        <v>5.42</v>
      </c>
      <c r="AC891" s="119" t="s">
        <v>967</v>
      </c>
      <c r="AD891" s="119" t="s">
        <v>2436</v>
      </c>
      <c r="AE891" s="118">
        <f t="shared" si="43"/>
        <v>8</v>
      </c>
      <c r="AF891" s="120" t="str">
        <f t="shared" si="44"/>
        <v>Estable</v>
      </c>
    </row>
    <row r="892" spans="1:32" x14ac:dyDescent="0.2">
      <c r="A892" s="121">
        <v>1053</v>
      </c>
      <c r="B892" s="122" t="s">
        <v>1204</v>
      </c>
      <c r="C892" s="123" t="s">
        <v>87</v>
      </c>
      <c r="D892" s="123" t="s">
        <v>842</v>
      </c>
      <c r="E892" s="124" t="s">
        <v>2282</v>
      </c>
      <c r="F892" s="124" t="s">
        <v>2283</v>
      </c>
      <c r="G892" s="124" t="s">
        <v>2320</v>
      </c>
      <c r="H892" s="122" t="s">
        <v>1922</v>
      </c>
      <c r="I892" s="123">
        <v>20.643896000000002</v>
      </c>
      <c r="J892" s="123">
        <v>-101.38999200000001</v>
      </c>
      <c r="K892" s="122" t="s">
        <v>139</v>
      </c>
      <c r="L892" s="125" t="str">
        <f t="shared" si="42"/>
        <v>Ver en Google Maps</v>
      </c>
      <c r="M892" s="122">
        <v>2</v>
      </c>
      <c r="N892" s="108">
        <v>45962</v>
      </c>
      <c r="O892" s="109">
        <f>DAY('BD2'!$N892)</f>
        <v>1</v>
      </c>
      <c r="P892" s="109">
        <f>MONTH('BD2'!$N892)</f>
        <v>11</v>
      </c>
      <c r="Q892" s="109">
        <f>YEAR('BD2'!$N892)</f>
        <v>2025</v>
      </c>
      <c r="R892" s="109">
        <v>2</v>
      </c>
      <c r="S892" s="109" t="s">
        <v>138</v>
      </c>
      <c r="T892" s="109" t="s">
        <v>138</v>
      </c>
      <c r="U892" s="109" t="s">
        <v>138</v>
      </c>
      <c r="V892" s="109" t="s">
        <v>138</v>
      </c>
      <c r="W892" s="109" t="s">
        <v>138</v>
      </c>
      <c r="X892" s="109" t="s">
        <v>138</v>
      </c>
      <c r="Y892" s="109" t="s">
        <v>138</v>
      </c>
      <c r="Z892" s="109" t="str">
        <f>IF('BD2'!$AA892 &lt; 14, "no", "si")</f>
        <v>si</v>
      </c>
      <c r="AA892" s="109">
        <v>58.2</v>
      </c>
      <c r="AB892" s="109">
        <v>42.8</v>
      </c>
      <c r="AC892" s="110" t="s">
        <v>967</v>
      </c>
      <c r="AD892" s="110" t="s">
        <v>2436</v>
      </c>
      <c r="AE892" s="109">
        <f t="shared" si="43"/>
        <v>8</v>
      </c>
      <c r="AF892" s="111" t="str">
        <f t="shared" si="44"/>
        <v>Estable</v>
      </c>
    </row>
    <row r="893" spans="1:32" x14ac:dyDescent="0.2">
      <c r="A893" s="112">
        <v>1075</v>
      </c>
      <c r="B893" s="113" t="s">
        <v>1204</v>
      </c>
      <c r="C893" s="114" t="s">
        <v>429</v>
      </c>
      <c r="D893" s="114" t="s">
        <v>132</v>
      </c>
      <c r="E893" s="115" t="s">
        <v>2284</v>
      </c>
      <c r="F893" s="115" t="s">
        <v>2285</v>
      </c>
      <c r="G893" s="115" t="s">
        <v>2321</v>
      </c>
      <c r="H893" s="113" t="s">
        <v>1922</v>
      </c>
      <c r="I893" s="114">
        <v>20.660352</v>
      </c>
      <c r="J893" s="114">
        <v>-101.336877</v>
      </c>
      <c r="K893" s="113"/>
      <c r="L893" s="116" t="str">
        <f t="shared" si="42"/>
        <v>Ver en Google Maps</v>
      </c>
      <c r="M893" s="113">
        <v>2</v>
      </c>
      <c r="N893" s="129"/>
      <c r="O893" s="118"/>
      <c r="P893" s="118"/>
      <c r="Q893" s="118"/>
      <c r="R893" s="118"/>
      <c r="S893" s="118"/>
      <c r="T893" s="118"/>
      <c r="U893" s="118"/>
      <c r="V893" s="118"/>
      <c r="W893" s="118"/>
      <c r="X893" s="118"/>
      <c r="Y893" s="118"/>
      <c r="Z893" s="118"/>
      <c r="AA893" s="118"/>
      <c r="AB893" s="118"/>
      <c r="AC893" s="119"/>
      <c r="AD893" s="119"/>
      <c r="AE893" s="118"/>
      <c r="AF893" s="120"/>
    </row>
    <row r="894" spans="1:32" x14ac:dyDescent="0.2">
      <c r="A894" s="121">
        <v>1085</v>
      </c>
      <c r="B894" s="122" t="s">
        <v>1204</v>
      </c>
      <c r="C894" s="123" t="s">
        <v>18</v>
      </c>
      <c r="D894" s="123" t="s">
        <v>404</v>
      </c>
      <c r="E894" s="124" t="s">
        <v>2286</v>
      </c>
      <c r="F894" s="124" t="s">
        <v>2287</v>
      </c>
      <c r="G894" s="124" t="s">
        <v>2322</v>
      </c>
      <c r="H894" s="122" t="s">
        <v>1922</v>
      </c>
      <c r="I894" s="123">
        <v>20.720413000000001</v>
      </c>
      <c r="J894" s="123">
        <v>-101.32916899999999</v>
      </c>
      <c r="K894" s="122"/>
      <c r="L894" s="125" t="str">
        <f t="shared" si="42"/>
        <v>Ver en Google Maps</v>
      </c>
      <c r="M894" s="122">
        <v>2</v>
      </c>
      <c r="N894" s="130"/>
      <c r="O894" s="109"/>
      <c r="P894" s="109"/>
      <c r="Q894" s="109"/>
      <c r="R894" s="109"/>
      <c r="S894" s="109"/>
      <c r="T894" s="109"/>
      <c r="U894" s="109"/>
      <c r="V894" s="109"/>
      <c r="W894" s="109"/>
      <c r="X894" s="109"/>
      <c r="Y894" s="109"/>
      <c r="Z894" s="109"/>
      <c r="AA894" s="109"/>
      <c r="AB894" s="109"/>
      <c r="AC894" s="110"/>
      <c r="AD894" s="110"/>
      <c r="AE894" s="109"/>
      <c r="AF894" s="111"/>
    </row>
    <row r="895" spans="1:32" x14ac:dyDescent="0.2">
      <c r="A895" s="112">
        <v>1091</v>
      </c>
      <c r="B895" s="113" t="s">
        <v>1204</v>
      </c>
      <c r="C895" s="114" t="s">
        <v>426</v>
      </c>
      <c r="D895" s="114" t="s">
        <v>404</v>
      </c>
      <c r="E895" s="115" t="s">
        <v>2288</v>
      </c>
      <c r="F895" s="115" t="s">
        <v>2289</v>
      </c>
      <c r="G895" s="115" t="s">
        <v>360</v>
      </c>
      <c r="H895" s="113" t="s">
        <v>1922</v>
      </c>
      <c r="I895" s="114">
        <v>20.672595999999999</v>
      </c>
      <c r="J895" s="114">
        <v>-101.34747299999999</v>
      </c>
      <c r="K895" s="113"/>
      <c r="L895" s="116" t="str">
        <f t="shared" si="42"/>
        <v>Ver en Google Maps</v>
      </c>
      <c r="M895" s="113">
        <v>3</v>
      </c>
      <c r="N895" s="129"/>
      <c r="O895" s="118"/>
      <c r="P895" s="118"/>
      <c r="Q895" s="118"/>
      <c r="R895" s="118"/>
      <c r="S895" s="118"/>
      <c r="T895" s="118"/>
      <c r="U895" s="118"/>
      <c r="V895" s="118"/>
      <c r="W895" s="118"/>
      <c r="X895" s="118"/>
      <c r="Y895" s="118"/>
      <c r="Z895" s="118"/>
      <c r="AA895" s="118"/>
      <c r="AB895" s="118"/>
      <c r="AC895" s="119"/>
      <c r="AD895" s="119"/>
      <c r="AE895" s="118"/>
      <c r="AF895" s="120"/>
    </row>
    <row r="896" spans="1:32" x14ac:dyDescent="0.2">
      <c r="A896" s="121">
        <v>1093</v>
      </c>
      <c r="B896" s="122" t="s">
        <v>1204</v>
      </c>
      <c r="C896" s="123" t="s">
        <v>14</v>
      </c>
      <c r="D896" s="123" t="s">
        <v>404</v>
      </c>
      <c r="E896" s="124" t="s">
        <v>2290</v>
      </c>
      <c r="F896" s="124" t="s">
        <v>2291</v>
      </c>
      <c r="G896" s="124" t="s">
        <v>2323</v>
      </c>
      <c r="H896" s="122" t="s">
        <v>1922</v>
      </c>
      <c r="I896" s="123">
        <v>20.689312000000001</v>
      </c>
      <c r="J896" s="123">
        <v>-101.355498</v>
      </c>
      <c r="K896" s="122"/>
      <c r="L896" s="125" t="str">
        <f t="shared" si="42"/>
        <v>Ver en Google Maps</v>
      </c>
      <c r="M896" s="122">
        <v>1</v>
      </c>
      <c r="N896" s="130"/>
      <c r="O896" s="109"/>
      <c r="P896" s="109"/>
      <c r="Q896" s="109"/>
      <c r="R896" s="109"/>
      <c r="S896" s="109"/>
      <c r="T896" s="109"/>
      <c r="U896" s="109"/>
      <c r="V896" s="109"/>
      <c r="W896" s="109"/>
      <c r="X896" s="109"/>
      <c r="Y896" s="109"/>
      <c r="Z896" s="109"/>
      <c r="AA896" s="109"/>
      <c r="AB896" s="109"/>
      <c r="AC896" s="110"/>
      <c r="AD896" s="110"/>
      <c r="AE896" s="109"/>
      <c r="AF896" s="111"/>
    </row>
    <row r="897" spans="1:32" x14ac:dyDescent="0.2">
      <c r="A897" s="112">
        <v>1096</v>
      </c>
      <c r="B897" s="113" t="s">
        <v>1204</v>
      </c>
      <c r="C897" s="114" t="s">
        <v>7</v>
      </c>
      <c r="D897" s="114" t="s">
        <v>404</v>
      </c>
      <c r="E897" s="115" t="s">
        <v>2292</v>
      </c>
      <c r="F897" s="115" t="s">
        <v>2293</v>
      </c>
      <c r="G897" s="115" t="s">
        <v>2413</v>
      </c>
      <c r="H897" s="113" t="s">
        <v>1922</v>
      </c>
      <c r="I897" s="114">
        <v>20.671575000000001</v>
      </c>
      <c r="J897" s="114">
        <v>-101.348878</v>
      </c>
      <c r="K897" s="113" t="s">
        <v>139</v>
      </c>
      <c r="L897" s="116" t="str">
        <f t="shared" si="42"/>
        <v>Ver en Google Maps</v>
      </c>
      <c r="M897" s="113">
        <v>1</v>
      </c>
      <c r="N897" s="117"/>
      <c r="O897" s="118">
        <f>DAY('BD2'!$N897)</f>
        <v>0</v>
      </c>
      <c r="P897" s="118">
        <f>MONTH('BD2'!$N897)</f>
        <v>1</v>
      </c>
      <c r="Q897" s="118">
        <f>YEAR('BD2'!$N897)</f>
        <v>1900</v>
      </c>
      <c r="R897" s="118">
        <v>2</v>
      </c>
      <c r="S897" s="118" t="s">
        <v>138</v>
      </c>
      <c r="T897" s="118" t="s">
        <v>138</v>
      </c>
      <c r="U897" s="118" t="s">
        <v>138</v>
      </c>
      <c r="V897" s="118" t="s">
        <v>138</v>
      </c>
      <c r="W897" s="118" t="s">
        <v>138</v>
      </c>
      <c r="X897" s="118" t="s">
        <v>138</v>
      </c>
      <c r="Y897" s="118" t="s">
        <v>138</v>
      </c>
      <c r="Z897" s="118" t="str">
        <f>IF('BD2'!$AA897 &lt; 14, "no", "si")</f>
        <v>no</v>
      </c>
      <c r="AA897" s="118"/>
      <c r="AB897" s="118"/>
      <c r="AC897" s="119" t="s">
        <v>967</v>
      </c>
      <c r="AD897" s="119" t="s">
        <v>2436</v>
      </c>
      <c r="AE897" s="118">
        <f t="shared" si="43"/>
        <v>7</v>
      </c>
      <c r="AF897" s="120" t="str">
        <f t="shared" si="44"/>
        <v>Funcional con observaciones</v>
      </c>
    </row>
    <row r="898" spans="1:32" x14ac:dyDescent="0.2">
      <c r="A898" s="121">
        <v>1097</v>
      </c>
      <c r="B898" s="122" t="s">
        <v>1204</v>
      </c>
      <c r="C898" s="123" t="s">
        <v>14</v>
      </c>
      <c r="D898" s="123" t="s">
        <v>404</v>
      </c>
      <c r="E898" s="124" t="s">
        <v>2294</v>
      </c>
      <c r="F898" s="124" t="s">
        <v>2295</v>
      </c>
      <c r="G898" s="124" t="s">
        <v>2324</v>
      </c>
      <c r="H898" s="122" t="s">
        <v>1922</v>
      </c>
      <c r="I898" s="123">
        <v>20.688230000000001</v>
      </c>
      <c r="J898" s="123">
        <v>-101.34976</v>
      </c>
      <c r="K898" s="122"/>
      <c r="L898" s="125" t="str">
        <f t="shared" si="42"/>
        <v>Ver en Google Maps</v>
      </c>
      <c r="M898" s="122">
        <v>1</v>
      </c>
      <c r="N898" s="130"/>
      <c r="O898" s="109"/>
      <c r="P898" s="109"/>
      <c r="Q898" s="109"/>
      <c r="R898" s="109"/>
      <c r="S898" s="109"/>
      <c r="T898" s="109"/>
      <c r="U898" s="109"/>
      <c r="V898" s="109"/>
      <c r="W898" s="109"/>
      <c r="X898" s="109"/>
      <c r="Y898" s="109"/>
      <c r="Z898" s="109"/>
      <c r="AA898" s="109"/>
      <c r="AB898" s="109"/>
      <c r="AC898" s="110"/>
      <c r="AD898" s="110"/>
      <c r="AE898" s="109"/>
      <c r="AF898" s="111"/>
    </row>
    <row r="899" spans="1:32" x14ac:dyDescent="0.2">
      <c r="A899" s="112">
        <v>1102</v>
      </c>
      <c r="B899" s="113" t="s">
        <v>1204</v>
      </c>
      <c r="C899" s="114" t="s">
        <v>429</v>
      </c>
      <c r="D899" s="114" t="s">
        <v>336</v>
      </c>
      <c r="E899" s="115" t="s">
        <v>2296</v>
      </c>
      <c r="F899" s="115" t="s">
        <v>2297</v>
      </c>
      <c r="G899" s="115" t="s">
        <v>2396</v>
      </c>
      <c r="H899" s="113" t="s">
        <v>1922</v>
      </c>
      <c r="I899" s="114">
        <v>20.673047</v>
      </c>
      <c r="J899" s="114">
        <v>-101.33107800000001</v>
      </c>
      <c r="K899" s="113"/>
      <c r="L899" s="116" t="str">
        <f t="shared" si="42"/>
        <v>Ver en Google Maps</v>
      </c>
      <c r="M899" s="113">
        <v>2</v>
      </c>
      <c r="N899" s="129"/>
      <c r="O899" s="118"/>
      <c r="P899" s="118"/>
      <c r="Q899" s="118"/>
      <c r="R899" s="118"/>
      <c r="S899" s="118"/>
      <c r="T899" s="118"/>
      <c r="U899" s="118"/>
      <c r="V899" s="118"/>
      <c r="W899" s="118"/>
      <c r="X899" s="118"/>
      <c r="Y899" s="118"/>
      <c r="Z899" s="118"/>
      <c r="AA899" s="118"/>
      <c r="AB899" s="118"/>
      <c r="AC899" s="119"/>
      <c r="AD899" s="119"/>
      <c r="AE899" s="118"/>
      <c r="AF899" s="120"/>
    </row>
    <row r="900" spans="1:32" ht="12.75" thickBot="1" x14ac:dyDescent="0.25">
      <c r="A900" s="121">
        <v>1119</v>
      </c>
      <c r="B900" s="122" t="s">
        <v>1204</v>
      </c>
      <c r="C900" s="123" t="s">
        <v>18</v>
      </c>
      <c r="D900" s="123" t="s">
        <v>404</v>
      </c>
      <c r="E900" s="124" t="s">
        <v>2298</v>
      </c>
      <c r="F900" s="124" t="s">
        <v>2287</v>
      </c>
      <c r="G900" s="124" t="s">
        <v>2322</v>
      </c>
      <c r="H900" s="122" t="s">
        <v>1922</v>
      </c>
      <c r="I900" s="123">
        <v>20.72024</v>
      </c>
      <c r="J900" s="123">
        <v>-101.33228</v>
      </c>
      <c r="K900" s="122"/>
      <c r="L900" s="125" t="str">
        <f t="shared" si="42"/>
        <v>Ver en Google Maps</v>
      </c>
      <c r="M900" s="122">
        <v>2</v>
      </c>
      <c r="N900" s="130"/>
      <c r="O900" s="109"/>
      <c r="P900" s="109"/>
      <c r="Q900" s="109"/>
      <c r="R900" s="109"/>
      <c r="S900" s="109"/>
      <c r="T900" s="109"/>
      <c r="U900" s="109"/>
      <c r="V900" s="109"/>
      <c r="W900" s="109"/>
      <c r="X900" s="109"/>
      <c r="Y900" s="109"/>
      <c r="Z900" s="109"/>
      <c r="AA900" s="109"/>
      <c r="AB900" s="109"/>
      <c r="AC900" s="110"/>
      <c r="AD900" s="110"/>
      <c r="AE900" s="109"/>
      <c r="AF900" s="111"/>
    </row>
    <row r="901" spans="1:32" x14ac:dyDescent="0.2">
      <c r="A901" s="132">
        <v>17</v>
      </c>
      <c r="B901" s="133" t="s">
        <v>1204</v>
      </c>
      <c r="C901" s="134" t="s">
        <v>429</v>
      </c>
      <c r="D901" s="134" t="s">
        <v>15</v>
      </c>
      <c r="E901" s="134" t="s">
        <v>2447</v>
      </c>
      <c r="F901" s="135" t="s">
        <v>2448</v>
      </c>
      <c r="G901" s="135" t="s">
        <v>2636</v>
      </c>
      <c r="H901" s="135" t="s">
        <v>2449</v>
      </c>
      <c r="I901" s="134">
        <v>20.588695999999999</v>
      </c>
      <c r="J901" s="134">
        <v>-101.216317</v>
      </c>
      <c r="K901" s="133"/>
      <c r="L901" s="136" t="str">
        <f t="shared" si="42"/>
        <v>Ver en Google Maps</v>
      </c>
      <c r="M901" s="136">
        <v>1</v>
      </c>
      <c r="N901" s="129"/>
      <c r="O901" s="118"/>
      <c r="P901" s="118"/>
      <c r="Q901" s="118"/>
      <c r="R901" s="118"/>
      <c r="S901" s="118"/>
      <c r="T901" s="118"/>
      <c r="U901" s="118"/>
      <c r="V901" s="118"/>
      <c r="W901" s="118"/>
      <c r="X901" s="118"/>
      <c r="Y901" s="118"/>
      <c r="Z901" s="118"/>
      <c r="AA901" s="118"/>
      <c r="AB901" s="118"/>
      <c r="AC901" s="119"/>
      <c r="AD901" s="119"/>
      <c r="AE901" s="118"/>
      <c r="AF901" s="120"/>
    </row>
    <row r="902" spans="1:32" x14ac:dyDescent="0.2">
      <c r="A902" s="121">
        <v>18</v>
      </c>
      <c r="B902" s="122" t="s">
        <v>1204</v>
      </c>
      <c r="C902" s="123" t="s">
        <v>429</v>
      </c>
      <c r="D902" s="123" t="s">
        <v>15</v>
      </c>
      <c r="E902" s="123" t="s">
        <v>2450</v>
      </c>
      <c r="F902" s="124" t="s">
        <v>2451</v>
      </c>
      <c r="G902" s="124" t="s">
        <v>1785</v>
      </c>
      <c r="H902" s="124" t="s">
        <v>2449</v>
      </c>
      <c r="I902" s="123">
        <v>20.559449000000001</v>
      </c>
      <c r="J902" s="123">
        <v>-101.206067</v>
      </c>
      <c r="K902" s="122"/>
      <c r="L902" s="125" t="str">
        <f t="shared" si="42"/>
        <v>Ver en Google Maps</v>
      </c>
      <c r="M902" s="125">
        <v>2</v>
      </c>
      <c r="N902" s="130"/>
      <c r="O902" s="109"/>
      <c r="P902" s="109"/>
      <c r="Q902" s="109"/>
      <c r="R902" s="109"/>
      <c r="S902" s="109"/>
      <c r="T902" s="109"/>
      <c r="U902" s="109"/>
      <c r="V902" s="109"/>
      <c r="W902" s="109"/>
      <c r="X902" s="109"/>
      <c r="Y902" s="109"/>
      <c r="Z902" s="109"/>
      <c r="AA902" s="109"/>
      <c r="AB902" s="109"/>
      <c r="AC902" s="110"/>
      <c r="AD902" s="110"/>
      <c r="AE902" s="109"/>
      <c r="AF902" s="111"/>
    </row>
    <row r="903" spans="1:32" x14ac:dyDescent="0.2">
      <c r="A903" s="112">
        <v>19</v>
      </c>
      <c r="B903" s="113" t="s">
        <v>1204</v>
      </c>
      <c r="C903" s="114" t="s">
        <v>429</v>
      </c>
      <c r="D903" s="114" t="s">
        <v>15</v>
      </c>
      <c r="E903" s="114" t="s">
        <v>2452</v>
      </c>
      <c r="F903" s="115" t="s">
        <v>2453</v>
      </c>
      <c r="G903" s="115" t="s">
        <v>2307</v>
      </c>
      <c r="H903" s="115" t="s">
        <v>2449</v>
      </c>
      <c r="I903" s="114">
        <v>20.593619</v>
      </c>
      <c r="J903" s="114">
        <v>-101.194165</v>
      </c>
      <c r="K903" s="113" t="s">
        <v>139</v>
      </c>
      <c r="L903" s="116" t="str">
        <f t="shared" si="42"/>
        <v>Ver en Google Maps</v>
      </c>
      <c r="M903" s="116">
        <v>1</v>
      </c>
      <c r="N903" s="117">
        <v>45962</v>
      </c>
      <c r="O903" s="118">
        <f>DAY('BD2'!$N903)</f>
        <v>1</v>
      </c>
      <c r="P903" s="118">
        <f>MONTH('BD2'!$N903)</f>
        <v>11</v>
      </c>
      <c r="Q903" s="118">
        <f>YEAR('BD2'!$N903)</f>
        <v>2025</v>
      </c>
      <c r="R903" s="118">
        <v>2</v>
      </c>
      <c r="S903" s="118" t="s">
        <v>138</v>
      </c>
      <c r="T903" s="118" t="s">
        <v>138</v>
      </c>
      <c r="U903" s="118" t="s">
        <v>138</v>
      </c>
      <c r="V903" s="118" t="s">
        <v>138</v>
      </c>
      <c r="W903" s="118" t="s">
        <v>138</v>
      </c>
      <c r="X903" s="118" t="s">
        <v>138</v>
      </c>
      <c r="Y903" s="118" t="s">
        <v>138</v>
      </c>
      <c r="Z903" s="118" t="str">
        <f>IF('BD2'!$AA903 &lt; 14, "no", "si")</f>
        <v>si</v>
      </c>
      <c r="AA903" s="118">
        <v>25.3</v>
      </c>
      <c r="AB903" s="118">
        <v>12.4</v>
      </c>
      <c r="AC903" s="119" t="s">
        <v>3024</v>
      </c>
      <c r="AD903" s="119" t="s">
        <v>957</v>
      </c>
      <c r="AE903" s="118">
        <f t="shared" ref="AE903:AE964" si="45">COUNTIF(S903:Z903, "si")</f>
        <v>8</v>
      </c>
      <c r="AF903" s="120" t="str">
        <f t="shared" ref="AF900:AF963" si="46">IF(AE903=8,"Estable",(IF(AE903=7,"Funcional con observaciones", (IF(AE903=6,"Funcional con observaciones",(IF(AE903=5,"Rendimiento bajo",(IF(AE903=4,"Parcialmente funcional",(IF(AE903=3,"Parcialmente funcional",(IF(AE903=2,"Inoperativo",(IF(AE903=1,"Inoperativo","Crítico")))))))))))))))</f>
        <v>Estable</v>
      </c>
    </row>
    <row r="904" spans="1:32" x14ac:dyDescent="0.2">
      <c r="A904" s="121">
        <v>20</v>
      </c>
      <c r="B904" s="122" t="s">
        <v>1204</v>
      </c>
      <c r="C904" s="123" t="s">
        <v>429</v>
      </c>
      <c r="D904" s="123" t="s">
        <v>16</v>
      </c>
      <c r="E904" s="123" t="s">
        <v>2454</v>
      </c>
      <c r="F904" s="124" t="s">
        <v>2455</v>
      </c>
      <c r="G904" s="124" t="s">
        <v>2637</v>
      </c>
      <c r="H904" s="124" t="s">
        <v>2449</v>
      </c>
      <c r="I904" s="123">
        <v>20.588165</v>
      </c>
      <c r="J904" s="123">
        <v>-101.21615300000001</v>
      </c>
      <c r="K904" s="122"/>
      <c r="L904" s="125" t="str">
        <f t="shared" si="42"/>
        <v>Ver en Google Maps</v>
      </c>
      <c r="M904" s="125">
        <v>2</v>
      </c>
      <c r="N904" s="130"/>
      <c r="O904" s="109"/>
      <c r="P904" s="109"/>
      <c r="Q904" s="109"/>
      <c r="R904" s="109"/>
      <c r="S904" s="109"/>
      <c r="T904" s="109"/>
      <c r="U904" s="109"/>
      <c r="V904" s="109"/>
      <c r="W904" s="109"/>
      <c r="X904" s="109"/>
      <c r="Y904" s="109"/>
      <c r="Z904" s="109"/>
      <c r="AA904" s="109"/>
      <c r="AB904" s="109"/>
      <c r="AC904" s="110"/>
      <c r="AD904" s="110"/>
      <c r="AE904" s="109"/>
      <c r="AF904" s="111"/>
    </row>
    <row r="905" spans="1:32" x14ac:dyDescent="0.2">
      <c r="A905" s="112">
        <v>21</v>
      </c>
      <c r="B905" s="113" t="s">
        <v>1204</v>
      </c>
      <c r="C905" s="114" t="s">
        <v>429</v>
      </c>
      <c r="D905" s="114" t="s">
        <v>16</v>
      </c>
      <c r="E905" s="114" t="s">
        <v>2456</v>
      </c>
      <c r="F905" s="115" t="s">
        <v>2457</v>
      </c>
      <c r="G905" s="115" t="s">
        <v>1789</v>
      </c>
      <c r="H905" s="115" t="s">
        <v>2449</v>
      </c>
      <c r="I905" s="114">
        <v>20.593267000000001</v>
      </c>
      <c r="J905" s="114">
        <v>-101.200383</v>
      </c>
      <c r="K905" s="113" t="s">
        <v>139</v>
      </c>
      <c r="L905" s="116" t="str">
        <f t="shared" si="42"/>
        <v>Ver en Google Maps</v>
      </c>
      <c r="M905" s="116">
        <v>2</v>
      </c>
      <c r="N905" s="117">
        <v>45962</v>
      </c>
      <c r="O905" s="118">
        <f>DAY('BD2'!$N905)</f>
        <v>1</v>
      </c>
      <c r="P905" s="118">
        <f>MONTH('BD2'!$N905)</f>
        <v>11</v>
      </c>
      <c r="Q905" s="118">
        <f>YEAR('BD2'!$N905)</f>
        <v>2025</v>
      </c>
      <c r="R905" s="118">
        <v>2</v>
      </c>
      <c r="S905" s="118" t="s">
        <v>138</v>
      </c>
      <c r="T905" s="118" t="s">
        <v>138</v>
      </c>
      <c r="U905" s="118" t="s">
        <v>138</v>
      </c>
      <c r="V905" s="118" t="s">
        <v>138</v>
      </c>
      <c r="W905" s="118" t="s">
        <v>138</v>
      </c>
      <c r="X905" s="118" t="s">
        <v>138</v>
      </c>
      <c r="Y905" s="118" t="s">
        <v>138</v>
      </c>
      <c r="Z905" s="118" t="str">
        <f>IF('BD2'!$AA905 &lt; 14, "no", "si")</f>
        <v>si</v>
      </c>
      <c r="AA905" s="118">
        <v>119</v>
      </c>
      <c r="AB905" s="118">
        <v>47.8</v>
      </c>
      <c r="AC905" s="119" t="s">
        <v>967</v>
      </c>
      <c r="AD905" s="119" t="s">
        <v>957</v>
      </c>
      <c r="AE905" s="118">
        <f t="shared" si="45"/>
        <v>8</v>
      </c>
      <c r="AF905" s="120" t="str">
        <f t="shared" si="46"/>
        <v>Estable</v>
      </c>
    </row>
    <row r="906" spans="1:32" x14ac:dyDescent="0.2">
      <c r="A906" s="121">
        <v>22</v>
      </c>
      <c r="B906" s="122" t="s">
        <v>1204</v>
      </c>
      <c r="C906" s="123" t="s">
        <v>14</v>
      </c>
      <c r="D906" s="123" t="s">
        <v>404</v>
      </c>
      <c r="E906" s="123" t="s">
        <v>2458</v>
      </c>
      <c r="F906" s="124" t="s">
        <v>2459</v>
      </c>
      <c r="G906" s="124" t="s">
        <v>1231</v>
      </c>
      <c r="H906" s="124" t="s">
        <v>2449</v>
      </c>
      <c r="I906" s="123">
        <v>20.573319999999999</v>
      </c>
      <c r="J906" s="123">
        <v>-101.194174</v>
      </c>
      <c r="K906" s="122" t="s">
        <v>139</v>
      </c>
      <c r="L906" s="125" t="str">
        <f t="shared" si="42"/>
        <v>Ver en Google Maps</v>
      </c>
      <c r="M906" s="125">
        <v>1</v>
      </c>
      <c r="N906" s="108">
        <v>45962</v>
      </c>
      <c r="O906" s="109">
        <f>DAY('BD2'!$N906)</f>
        <v>1</v>
      </c>
      <c r="P906" s="109">
        <f>MONTH('BD2'!$N906)</f>
        <v>11</v>
      </c>
      <c r="Q906" s="109">
        <f>YEAR('BD2'!$N906)</f>
        <v>2025</v>
      </c>
      <c r="R906" s="109">
        <v>2</v>
      </c>
      <c r="S906" s="109" t="s">
        <v>138</v>
      </c>
      <c r="T906" s="109" t="s">
        <v>138</v>
      </c>
      <c r="U906" s="109" t="s">
        <v>138</v>
      </c>
      <c r="V906" s="109" t="s">
        <v>138</v>
      </c>
      <c r="W906" s="109" t="s">
        <v>138</v>
      </c>
      <c r="X906" s="109" t="s">
        <v>138</v>
      </c>
      <c r="Y906" s="109" t="s">
        <v>138</v>
      </c>
      <c r="Z906" s="109" t="str">
        <f>IF('BD2'!$AA906 &lt; 14, "no", "si")</f>
        <v>no</v>
      </c>
      <c r="AA906" s="109">
        <v>5.74</v>
      </c>
      <c r="AB906" s="109">
        <v>11.5</v>
      </c>
      <c r="AC906" s="110" t="s">
        <v>967</v>
      </c>
      <c r="AD906" s="110" t="s">
        <v>957</v>
      </c>
      <c r="AE906" s="109">
        <f t="shared" si="45"/>
        <v>7</v>
      </c>
      <c r="AF906" s="111" t="str">
        <f t="shared" si="46"/>
        <v>Funcional con observaciones</v>
      </c>
    </row>
    <row r="907" spans="1:32" x14ac:dyDescent="0.2">
      <c r="A907" s="112">
        <v>23</v>
      </c>
      <c r="B907" s="113" t="s">
        <v>1204</v>
      </c>
      <c r="C907" s="114" t="s">
        <v>14</v>
      </c>
      <c r="D907" s="114" t="s">
        <v>404</v>
      </c>
      <c r="E907" s="114" t="s">
        <v>2460</v>
      </c>
      <c r="F907" s="115" t="s">
        <v>2461</v>
      </c>
      <c r="G907" s="115" t="s">
        <v>2638</v>
      </c>
      <c r="H907" s="115" t="s">
        <v>2449</v>
      </c>
      <c r="I907" s="114">
        <v>20.547091000000002</v>
      </c>
      <c r="J907" s="114">
        <v>-101.206521</v>
      </c>
      <c r="K907" s="113"/>
      <c r="L907" s="116" t="str">
        <f t="shared" si="42"/>
        <v>Ver en Google Maps</v>
      </c>
      <c r="M907" s="116">
        <v>1</v>
      </c>
      <c r="N907" s="129"/>
      <c r="O907" s="118"/>
      <c r="P907" s="118"/>
      <c r="Q907" s="118"/>
      <c r="R907" s="118"/>
      <c r="S907" s="118"/>
      <c r="T907" s="118"/>
      <c r="U907" s="118"/>
      <c r="V907" s="118"/>
      <c r="W907" s="118"/>
      <c r="X907" s="118"/>
      <c r="Y907" s="118"/>
      <c r="Z907" s="118"/>
      <c r="AA907" s="118"/>
      <c r="AB907" s="118"/>
      <c r="AC907" s="119"/>
      <c r="AD907" s="119"/>
      <c r="AE907" s="118"/>
      <c r="AF907" s="120"/>
    </row>
    <row r="908" spans="1:32" x14ac:dyDescent="0.2">
      <c r="A908" s="121">
        <v>24</v>
      </c>
      <c r="B908" s="122" t="s">
        <v>1204</v>
      </c>
      <c r="C908" s="123" t="s">
        <v>350</v>
      </c>
      <c r="D908" s="123" t="s">
        <v>404</v>
      </c>
      <c r="E908" s="123" t="s">
        <v>2462</v>
      </c>
      <c r="F908" s="124" t="s">
        <v>2463</v>
      </c>
      <c r="G908" s="124" t="s">
        <v>2639</v>
      </c>
      <c r="H908" s="124" t="s">
        <v>2449</v>
      </c>
      <c r="I908" s="123">
        <v>20.591663</v>
      </c>
      <c r="J908" s="123">
        <v>-101.187224</v>
      </c>
      <c r="K908" s="122" t="s">
        <v>139</v>
      </c>
      <c r="L908" s="125" t="str">
        <f t="shared" si="42"/>
        <v>Ver en Google Maps</v>
      </c>
      <c r="M908" s="125">
        <v>1</v>
      </c>
      <c r="N908" s="108">
        <v>45962</v>
      </c>
      <c r="O908" s="109">
        <f>DAY('BD2'!$N908)</f>
        <v>1</v>
      </c>
      <c r="P908" s="109">
        <f>MONTH('BD2'!$N908)</f>
        <v>11</v>
      </c>
      <c r="Q908" s="109">
        <f>YEAR('BD2'!$N908)</f>
        <v>2025</v>
      </c>
      <c r="R908" s="109">
        <v>2</v>
      </c>
      <c r="S908" s="109" t="s">
        <v>138</v>
      </c>
      <c r="T908" s="109" t="s">
        <v>138</v>
      </c>
      <c r="U908" s="109" t="s">
        <v>138</v>
      </c>
      <c r="V908" s="109" t="s">
        <v>934</v>
      </c>
      <c r="W908" s="109" t="s">
        <v>138</v>
      </c>
      <c r="X908" s="109" t="s">
        <v>934</v>
      </c>
      <c r="Y908" s="109" t="s">
        <v>934</v>
      </c>
      <c r="Z908" s="109" t="str">
        <f>IF('BD2'!$AA908 &lt; 14, "no", "si")</f>
        <v>no</v>
      </c>
      <c r="AA908" s="109">
        <v>0</v>
      </c>
      <c r="AB908" s="109">
        <v>0</v>
      </c>
      <c r="AC908" s="110" t="s">
        <v>3137</v>
      </c>
      <c r="AD908" s="110" t="s">
        <v>957</v>
      </c>
      <c r="AE908" s="109">
        <f t="shared" si="45"/>
        <v>4</v>
      </c>
      <c r="AF908" s="111" t="str">
        <f t="shared" si="46"/>
        <v>Parcialmente funcional</v>
      </c>
    </row>
    <row r="909" spans="1:32" x14ac:dyDescent="0.2">
      <c r="A909" s="112">
        <v>25</v>
      </c>
      <c r="B909" s="113" t="s">
        <v>1204</v>
      </c>
      <c r="C909" s="114" t="s">
        <v>429</v>
      </c>
      <c r="D909" s="114" t="s">
        <v>16</v>
      </c>
      <c r="E909" s="114" t="s">
        <v>2464</v>
      </c>
      <c r="F909" s="115" t="s">
        <v>2465</v>
      </c>
      <c r="G909" s="115" t="s">
        <v>2640</v>
      </c>
      <c r="H909" s="115" t="s">
        <v>2449</v>
      </c>
      <c r="I909" s="114">
        <v>20.561471999999998</v>
      </c>
      <c r="J909" s="114">
        <v>-101.203316</v>
      </c>
      <c r="K909" s="113"/>
      <c r="L909" s="116" t="str">
        <f t="shared" si="42"/>
        <v>Ver en Google Maps</v>
      </c>
      <c r="M909" s="116">
        <v>1</v>
      </c>
      <c r="N909" s="129"/>
      <c r="O909" s="118"/>
      <c r="P909" s="118"/>
      <c r="Q909" s="118"/>
      <c r="R909" s="118"/>
      <c r="S909" s="118"/>
      <c r="T909" s="118"/>
      <c r="U909" s="118"/>
      <c r="V909" s="118"/>
      <c r="W909" s="118"/>
      <c r="X909" s="118"/>
      <c r="Y909" s="118"/>
      <c r="Z909" s="118"/>
      <c r="AA909" s="118"/>
      <c r="AB909" s="118"/>
      <c r="AC909" s="119"/>
      <c r="AD909" s="119"/>
      <c r="AE909" s="118"/>
      <c r="AF909" s="120"/>
    </row>
    <row r="910" spans="1:32" x14ac:dyDescent="0.2">
      <c r="A910" s="121">
        <v>26</v>
      </c>
      <c r="B910" s="122" t="s">
        <v>1204</v>
      </c>
      <c r="C910" s="123" t="s">
        <v>429</v>
      </c>
      <c r="D910" s="123" t="s">
        <v>17</v>
      </c>
      <c r="E910" s="123" t="s">
        <v>2466</v>
      </c>
      <c r="F910" s="124" t="s">
        <v>2467</v>
      </c>
      <c r="G910" s="124" t="s">
        <v>2307</v>
      </c>
      <c r="H910" s="124" t="s">
        <v>2449</v>
      </c>
      <c r="I910" s="123">
        <v>20.593361000000002</v>
      </c>
      <c r="J910" s="123">
        <v>-101.194881</v>
      </c>
      <c r="K910" s="122" t="s">
        <v>139</v>
      </c>
      <c r="L910" s="125" t="str">
        <f t="shared" si="42"/>
        <v>Ver en Google Maps</v>
      </c>
      <c r="M910" s="125">
        <v>1</v>
      </c>
      <c r="N910" s="108">
        <v>45962</v>
      </c>
      <c r="O910" s="109">
        <f>DAY('BD2'!$N910)</f>
        <v>1</v>
      </c>
      <c r="P910" s="109">
        <f>MONTH('BD2'!$N910)</f>
        <v>11</v>
      </c>
      <c r="Q910" s="109">
        <f>YEAR('BD2'!$N910)</f>
        <v>2025</v>
      </c>
      <c r="R910" s="109">
        <v>2</v>
      </c>
      <c r="S910" s="109" t="s">
        <v>138</v>
      </c>
      <c r="T910" s="109" t="s">
        <v>138</v>
      </c>
      <c r="U910" s="109" t="s">
        <v>138</v>
      </c>
      <c r="V910" s="109" t="s">
        <v>138</v>
      </c>
      <c r="W910" s="109" t="s">
        <v>138</v>
      </c>
      <c r="X910" s="109" t="s">
        <v>138</v>
      </c>
      <c r="Y910" s="109" t="s">
        <v>138</v>
      </c>
      <c r="Z910" s="109" t="str">
        <f>IF('BD2'!$AA910 &lt; 14, "no", "si")</f>
        <v>si</v>
      </c>
      <c r="AA910" s="109">
        <v>87.1</v>
      </c>
      <c r="AB910" s="109">
        <v>53</v>
      </c>
      <c r="AC910" s="110" t="s">
        <v>967</v>
      </c>
      <c r="AD910" s="110" t="s">
        <v>957</v>
      </c>
      <c r="AE910" s="109">
        <f t="shared" si="45"/>
        <v>8</v>
      </c>
      <c r="AF910" s="111" t="str">
        <f t="shared" si="46"/>
        <v>Estable</v>
      </c>
    </row>
    <row r="911" spans="1:32" x14ac:dyDescent="0.2">
      <c r="A911" s="112">
        <v>97</v>
      </c>
      <c r="B911" s="113" t="s">
        <v>1204</v>
      </c>
      <c r="C911" s="114" t="s">
        <v>429</v>
      </c>
      <c r="D911" s="114" t="s">
        <v>15</v>
      </c>
      <c r="E911" s="114" t="s">
        <v>2468</v>
      </c>
      <c r="F911" s="115" t="s">
        <v>2469</v>
      </c>
      <c r="G911" s="115" t="s">
        <v>1785</v>
      </c>
      <c r="H911" s="115" t="s">
        <v>2449</v>
      </c>
      <c r="I911" s="114">
        <v>20.560140000000001</v>
      </c>
      <c r="J911" s="114">
        <v>-101.20538500000001</v>
      </c>
      <c r="K911" s="113"/>
      <c r="L911" s="116" t="str">
        <f t="shared" ref="L911:L974" si="47">HYPERLINK("https://www.google.com/maps?q=" &amp; I911 &amp; "," &amp; J911, "Ver en Google Maps")</f>
        <v>Ver en Google Maps</v>
      </c>
      <c r="M911" s="116">
        <v>2</v>
      </c>
      <c r="N911" s="129"/>
      <c r="O911" s="118"/>
      <c r="P911" s="118"/>
      <c r="Q911" s="118"/>
      <c r="R911" s="118"/>
      <c r="S911" s="118"/>
      <c r="T911" s="118"/>
      <c r="U911" s="118"/>
      <c r="V911" s="118"/>
      <c r="W911" s="118"/>
      <c r="X911" s="118"/>
      <c r="Y911" s="118"/>
      <c r="Z911" s="118"/>
      <c r="AA911" s="118"/>
      <c r="AB911" s="118"/>
      <c r="AC911" s="119"/>
      <c r="AD911" s="119"/>
      <c r="AE911" s="118"/>
      <c r="AF911" s="120"/>
    </row>
    <row r="912" spans="1:32" x14ac:dyDescent="0.2">
      <c r="A912" s="121">
        <v>132</v>
      </c>
      <c r="B912" s="122" t="s">
        <v>1204</v>
      </c>
      <c r="C912" s="123" t="s">
        <v>429</v>
      </c>
      <c r="D912" s="123" t="s">
        <v>17</v>
      </c>
      <c r="E912" s="123" t="s">
        <v>2470</v>
      </c>
      <c r="F912" s="124" t="s">
        <v>2471</v>
      </c>
      <c r="G912" s="124" t="s">
        <v>2641</v>
      </c>
      <c r="H912" s="124" t="s">
        <v>2449</v>
      </c>
      <c r="I912" s="123">
        <v>20.58278</v>
      </c>
      <c r="J912" s="123">
        <v>-101.19239</v>
      </c>
      <c r="K912" s="122" t="s">
        <v>139</v>
      </c>
      <c r="L912" s="125" t="str">
        <f t="shared" si="47"/>
        <v>Ver en Google Maps</v>
      </c>
      <c r="M912" s="125">
        <v>2</v>
      </c>
      <c r="N912" s="108">
        <v>45962</v>
      </c>
      <c r="O912" s="109">
        <f>DAY('BD2'!$N912)</f>
        <v>1</v>
      </c>
      <c r="P912" s="109">
        <f>MONTH('BD2'!$N912)</f>
        <v>11</v>
      </c>
      <c r="Q912" s="109">
        <f>YEAR('BD2'!$N912)</f>
        <v>2025</v>
      </c>
      <c r="R912" s="109">
        <v>2</v>
      </c>
      <c r="S912" s="109" t="s">
        <v>138</v>
      </c>
      <c r="T912" s="109" t="s">
        <v>138</v>
      </c>
      <c r="U912" s="109" t="s">
        <v>138</v>
      </c>
      <c r="V912" s="109" t="s">
        <v>138</v>
      </c>
      <c r="W912" s="109" t="s">
        <v>138</v>
      </c>
      <c r="X912" s="109" t="s">
        <v>138</v>
      </c>
      <c r="Y912" s="109" t="s">
        <v>934</v>
      </c>
      <c r="Z912" s="109" t="str">
        <f>IF('BD2'!$AA912 &lt; 14, "no", "si")</f>
        <v>no</v>
      </c>
      <c r="AA912" s="109">
        <v>0</v>
      </c>
      <c r="AB912" s="109">
        <v>0</v>
      </c>
      <c r="AC912" s="110" t="s">
        <v>3137</v>
      </c>
      <c r="AD912" s="110" t="s">
        <v>957</v>
      </c>
      <c r="AE912" s="109">
        <f t="shared" si="45"/>
        <v>6</v>
      </c>
      <c r="AF912" s="111" t="str">
        <f t="shared" si="46"/>
        <v>Funcional con observaciones</v>
      </c>
    </row>
    <row r="913" spans="1:32" x14ac:dyDescent="0.2">
      <c r="A913" s="112">
        <v>133</v>
      </c>
      <c r="B913" s="113" t="s">
        <v>1204</v>
      </c>
      <c r="C913" s="114" t="s">
        <v>429</v>
      </c>
      <c r="D913" s="114" t="s">
        <v>17</v>
      </c>
      <c r="E913" s="114" t="s">
        <v>2472</v>
      </c>
      <c r="F913" s="115" t="s">
        <v>2473</v>
      </c>
      <c r="G913" s="115" t="s">
        <v>1785</v>
      </c>
      <c r="H913" s="115" t="s">
        <v>2449</v>
      </c>
      <c r="I913" s="114">
        <v>20.559560000000001</v>
      </c>
      <c r="J913" s="114">
        <v>-101.20493399999999</v>
      </c>
      <c r="K913" s="113"/>
      <c r="L913" s="116" t="str">
        <f t="shared" si="47"/>
        <v>Ver en Google Maps</v>
      </c>
      <c r="M913" s="116">
        <v>1</v>
      </c>
      <c r="N913" s="129"/>
      <c r="O913" s="118"/>
      <c r="P913" s="118"/>
      <c r="Q913" s="118"/>
      <c r="R913" s="118"/>
      <c r="S913" s="118"/>
      <c r="T913" s="118"/>
      <c r="U913" s="118"/>
      <c r="V913" s="118"/>
      <c r="W913" s="118"/>
      <c r="X913" s="118"/>
      <c r="Y913" s="118"/>
      <c r="Z913" s="118"/>
      <c r="AA913" s="118"/>
      <c r="AB913" s="118"/>
      <c r="AC913" s="119"/>
      <c r="AD913" s="119"/>
      <c r="AE913" s="118"/>
      <c r="AF913" s="120"/>
    </row>
    <row r="914" spans="1:32" x14ac:dyDescent="0.2">
      <c r="A914" s="121">
        <v>140</v>
      </c>
      <c r="B914" s="122" t="s">
        <v>1204</v>
      </c>
      <c r="C914" s="123" t="s">
        <v>429</v>
      </c>
      <c r="D914" s="123" t="s">
        <v>17</v>
      </c>
      <c r="E914" s="123" t="s">
        <v>2474</v>
      </c>
      <c r="F914" s="124" t="s">
        <v>2475</v>
      </c>
      <c r="G914" s="124" t="s">
        <v>1212</v>
      </c>
      <c r="H914" s="124" t="s">
        <v>2449</v>
      </c>
      <c r="I914" s="123">
        <v>20.566953000000002</v>
      </c>
      <c r="J914" s="123">
        <v>-101.200051</v>
      </c>
      <c r="K914" s="122"/>
      <c r="L914" s="125" t="str">
        <f t="shared" si="47"/>
        <v>Ver en Google Maps</v>
      </c>
      <c r="M914" s="125">
        <v>1</v>
      </c>
      <c r="N914" s="130"/>
      <c r="O914" s="109"/>
      <c r="P914" s="109"/>
      <c r="Q914" s="109"/>
      <c r="R914" s="109"/>
      <c r="S914" s="109"/>
      <c r="T914" s="109"/>
      <c r="U914" s="109"/>
      <c r="V914" s="109"/>
      <c r="W914" s="109"/>
      <c r="X914" s="109"/>
      <c r="Y914" s="109"/>
      <c r="Z914" s="109"/>
      <c r="AA914" s="109"/>
      <c r="AB914" s="109"/>
      <c r="AC914" s="110"/>
      <c r="AD914" s="110"/>
      <c r="AE914" s="109"/>
      <c r="AF914" s="111"/>
    </row>
    <row r="915" spans="1:32" x14ac:dyDescent="0.2">
      <c r="A915" s="112">
        <v>154</v>
      </c>
      <c r="B915" s="113" t="s">
        <v>1204</v>
      </c>
      <c r="C915" s="114" t="s">
        <v>429</v>
      </c>
      <c r="D915" s="114" t="s">
        <v>17</v>
      </c>
      <c r="E915" s="114" t="s">
        <v>2476</v>
      </c>
      <c r="F915" s="115" t="s">
        <v>2477</v>
      </c>
      <c r="G915" s="115" t="s">
        <v>2642</v>
      </c>
      <c r="H915" s="115" t="s">
        <v>2449</v>
      </c>
      <c r="I915" s="114">
        <v>20.578088000000001</v>
      </c>
      <c r="J915" s="114">
        <v>-101.20366</v>
      </c>
      <c r="K915" s="113"/>
      <c r="L915" s="116" t="str">
        <f t="shared" si="47"/>
        <v>Ver en Google Maps</v>
      </c>
      <c r="M915" s="116">
        <v>1</v>
      </c>
      <c r="N915" s="129"/>
      <c r="O915" s="118"/>
      <c r="P915" s="118"/>
      <c r="Q915" s="118"/>
      <c r="R915" s="118"/>
      <c r="S915" s="118"/>
      <c r="T915" s="118"/>
      <c r="U915" s="118"/>
      <c r="V915" s="118"/>
      <c r="W915" s="118"/>
      <c r="X915" s="118"/>
      <c r="Y915" s="118"/>
      <c r="Z915" s="118"/>
      <c r="AA915" s="118"/>
      <c r="AB915" s="118"/>
      <c r="AC915" s="119"/>
      <c r="AD915" s="119"/>
      <c r="AE915" s="118"/>
      <c r="AF915" s="120"/>
    </row>
    <row r="916" spans="1:32" x14ac:dyDescent="0.2">
      <c r="A916" s="121">
        <v>168</v>
      </c>
      <c r="B916" s="122" t="s">
        <v>1204</v>
      </c>
      <c r="C916" s="123" t="s">
        <v>429</v>
      </c>
      <c r="D916" s="123" t="s">
        <v>17</v>
      </c>
      <c r="E916" s="123" t="s">
        <v>2478</v>
      </c>
      <c r="F916" s="124" t="s">
        <v>2479</v>
      </c>
      <c r="G916" s="124" t="s">
        <v>2643</v>
      </c>
      <c r="H916" s="124" t="s">
        <v>2449</v>
      </c>
      <c r="I916" s="123">
        <v>20.582262</v>
      </c>
      <c r="J916" s="123">
        <v>-101.20609399999999</v>
      </c>
      <c r="K916" s="122"/>
      <c r="L916" s="125" t="str">
        <f t="shared" si="47"/>
        <v>Ver en Google Maps</v>
      </c>
      <c r="M916" s="125">
        <v>1</v>
      </c>
      <c r="N916" s="130"/>
      <c r="O916" s="109"/>
      <c r="P916" s="109"/>
      <c r="Q916" s="109"/>
      <c r="R916" s="109"/>
      <c r="S916" s="109"/>
      <c r="T916" s="109"/>
      <c r="U916" s="109"/>
      <c r="V916" s="109"/>
      <c r="W916" s="109"/>
      <c r="X916" s="109"/>
      <c r="Y916" s="109"/>
      <c r="Z916" s="109"/>
      <c r="AA916" s="109"/>
      <c r="AB916" s="109"/>
      <c r="AC916" s="110"/>
      <c r="AD916" s="110"/>
      <c r="AE916" s="109"/>
      <c r="AF916" s="111"/>
    </row>
    <row r="917" spans="1:32" x14ac:dyDescent="0.2">
      <c r="A917" s="112">
        <v>169</v>
      </c>
      <c r="B917" s="113" t="s">
        <v>1204</v>
      </c>
      <c r="C917" s="114" t="s">
        <v>429</v>
      </c>
      <c r="D917" s="114" t="s">
        <v>17</v>
      </c>
      <c r="E917" s="114" t="s">
        <v>2480</v>
      </c>
      <c r="F917" s="115" t="s">
        <v>2481</v>
      </c>
      <c r="G917" s="115" t="s">
        <v>2644</v>
      </c>
      <c r="H917" s="115" t="s">
        <v>2449</v>
      </c>
      <c r="I917" s="114">
        <v>20.569579999999998</v>
      </c>
      <c r="J917" s="114">
        <v>-101.1879</v>
      </c>
      <c r="K917" s="113" t="s">
        <v>139</v>
      </c>
      <c r="L917" s="116" t="str">
        <f t="shared" si="47"/>
        <v>Ver en Google Maps</v>
      </c>
      <c r="M917" s="116">
        <v>1</v>
      </c>
      <c r="N917" s="117">
        <v>45962</v>
      </c>
      <c r="O917" s="118">
        <f>DAY('BD2'!$N917)</f>
        <v>1</v>
      </c>
      <c r="P917" s="118">
        <f>MONTH('BD2'!$N917)</f>
        <v>11</v>
      </c>
      <c r="Q917" s="118">
        <f>YEAR('BD2'!$N917)</f>
        <v>2025</v>
      </c>
      <c r="R917" s="118">
        <v>2</v>
      </c>
      <c r="S917" s="118" t="s">
        <v>934</v>
      </c>
      <c r="T917" s="118" t="s">
        <v>934</v>
      </c>
      <c r="U917" s="118" t="s">
        <v>934</v>
      </c>
      <c r="V917" s="118" t="s">
        <v>934</v>
      </c>
      <c r="W917" s="118" t="s">
        <v>934</v>
      </c>
      <c r="X917" s="118" t="s">
        <v>934</v>
      </c>
      <c r="Y917" s="118" t="s">
        <v>934</v>
      </c>
      <c r="Z917" s="118" t="str">
        <f>IF('BD2'!$AA917 &lt; 14, "no", "si")</f>
        <v>no</v>
      </c>
      <c r="AA917" s="118">
        <v>0</v>
      </c>
      <c r="AB917" s="118">
        <v>0</v>
      </c>
      <c r="AC917" s="119" t="s">
        <v>3135</v>
      </c>
      <c r="AD917" s="119" t="s">
        <v>957</v>
      </c>
      <c r="AE917" s="118">
        <f t="shared" si="45"/>
        <v>0</v>
      </c>
      <c r="AF917" s="120" t="str">
        <f t="shared" si="46"/>
        <v>Crítico</v>
      </c>
    </row>
    <row r="918" spans="1:32" x14ac:dyDescent="0.2">
      <c r="A918" s="121">
        <v>170</v>
      </c>
      <c r="B918" s="122" t="s">
        <v>1204</v>
      </c>
      <c r="C918" s="123" t="s">
        <v>429</v>
      </c>
      <c r="D918" s="123" t="s">
        <v>17</v>
      </c>
      <c r="E918" s="123" t="s">
        <v>2482</v>
      </c>
      <c r="F918" s="124" t="s">
        <v>2483</v>
      </c>
      <c r="G918" s="124" t="s">
        <v>2645</v>
      </c>
      <c r="H918" s="124" t="s">
        <v>2449</v>
      </c>
      <c r="I918" s="123">
        <v>20.552579999999999</v>
      </c>
      <c r="J918" s="123">
        <v>-101.19943000000001</v>
      </c>
      <c r="K918" s="122"/>
      <c r="L918" s="125" t="str">
        <f t="shared" si="47"/>
        <v>Ver en Google Maps</v>
      </c>
      <c r="M918" s="125">
        <v>1</v>
      </c>
      <c r="N918" s="130"/>
      <c r="O918" s="109"/>
      <c r="P918" s="109"/>
      <c r="Q918" s="109"/>
      <c r="R918" s="109"/>
      <c r="S918" s="109"/>
      <c r="T918" s="109"/>
      <c r="U918" s="109"/>
      <c r="V918" s="109"/>
      <c r="W918" s="109"/>
      <c r="X918" s="109"/>
      <c r="Y918" s="109"/>
      <c r="Z918" s="109"/>
      <c r="AA918" s="109"/>
      <c r="AB918" s="109"/>
      <c r="AC918" s="110"/>
      <c r="AD918" s="110"/>
      <c r="AE918" s="109"/>
      <c r="AF918" s="111"/>
    </row>
    <row r="919" spans="1:32" x14ac:dyDescent="0.2">
      <c r="A919" s="112">
        <v>171</v>
      </c>
      <c r="B919" s="113" t="s">
        <v>1204</v>
      </c>
      <c r="C919" s="114" t="s">
        <v>429</v>
      </c>
      <c r="D919" s="114" t="s">
        <v>17</v>
      </c>
      <c r="E919" s="114" t="s">
        <v>2484</v>
      </c>
      <c r="F919" s="115" t="s">
        <v>2485</v>
      </c>
      <c r="G919" s="115" t="s">
        <v>2646</v>
      </c>
      <c r="H919" s="115" t="s">
        <v>2449</v>
      </c>
      <c r="I919" s="114">
        <v>20.539957999999999</v>
      </c>
      <c r="J919" s="114">
        <v>-101.207488</v>
      </c>
      <c r="K919" s="113"/>
      <c r="L919" s="116" t="str">
        <f t="shared" si="47"/>
        <v>Ver en Google Maps</v>
      </c>
      <c r="M919" s="116">
        <v>1</v>
      </c>
      <c r="N919" s="129"/>
      <c r="O919" s="118"/>
      <c r="P919" s="118"/>
      <c r="Q919" s="118"/>
      <c r="R919" s="118"/>
      <c r="S919" s="118"/>
      <c r="T919" s="118"/>
      <c r="U919" s="118"/>
      <c r="V919" s="118"/>
      <c r="W919" s="118"/>
      <c r="X919" s="118"/>
      <c r="Y919" s="118"/>
      <c r="Z919" s="118"/>
      <c r="AA919" s="118"/>
      <c r="AB919" s="118"/>
      <c r="AC919" s="119"/>
      <c r="AD919" s="119"/>
      <c r="AE919" s="118"/>
      <c r="AF919" s="120"/>
    </row>
    <row r="920" spans="1:32" x14ac:dyDescent="0.2">
      <c r="A920" s="121">
        <v>172</v>
      </c>
      <c r="B920" s="122" t="s">
        <v>1204</v>
      </c>
      <c r="C920" s="123" t="s">
        <v>429</v>
      </c>
      <c r="D920" s="123" t="s">
        <v>17</v>
      </c>
      <c r="E920" s="123" t="s">
        <v>2486</v>
      </c>
      <c r="F920" s="124" t="s">
        <v>2487</v>
      </c>
      <c r="G920" s="124" t="s">
        <v>2647</v>
      </c>
      <c r="H920" s="124" t="s">
        <v>2449</v>
      </c>
      <c r="I920" s="123">
        <v>20.562930000000001</v>
      </c>
      <c r="J920" s="123">
        <v>-101.19511799999999</v>
      </c>
      <c r="K920" s="122"/>
      <c r="L920" s="125" t="str">
        <f t="shared" si="47"/>
        <v>Ver en Google Maps</v>
      </c>
      <c r="M920" s="125">
        <v>1</v>
      </c>
      <c r="N920" s="130"/>
      <c r="O920" s="109"/>
      <c r="P920" s="109"/>
      <c r="Q920" s="109"/>
      <c r="R920" s="109"/>
      <c r="S920" s="109"/>
      <c r="T920" s="109"/>
      <c r="U920" s="109"/>
      <c r="V920" s="109"/>
      <c r="W920" s="109"/>
      <c r="X920" s="109"/>
      <c r="Y920" s="109"/>
      <c r="Z920" s="109"/>
      <c r="AA920" s="109"/>
      <c r="AB920" s="109"/>
      <c r="AC920" s="110"/>
      <c r="AD920" s="110"/>
      <c r="AE920" s="109"/>
      <c r="AF920" s="111"/>
    </row>
    <row r="921" spans="1:32" x14ac:dyDescent="0.2">
      <c r="A921" s="112">
        <v>173</v>
      </c>
      <c r="B921" s="113" t="s">
        <v>1204</v>
      </c>
      <c r="C921" s="114" t="s">
        <v>429</v>
      </c>
      <c r="D921" s="114" t="s">
        <v>17</v>
      </c>
      <c r="E921" s="114" t="s">
        <v>2488</v>
      </c>
      <c r="F921" s="115" t="s">
        <v>2489</v>
      </c>
      <c r="G921" s="115" t="s">
        <v>2648</v>
      </c>
      <c r="H921" s="115" t="s">
        <v>2449</v>
      </c>
      <c r="I921" s="114">
        <v>20.56653</v>
      </c>
      <c r="J921" s="114">
        <v>-101.18259999999999</v>
      </c>
      <c r="K921" s="113" t="s">
        <v>139</v>
      </c>
      <c r="L921" s="116" t="str">
        <f t="shared" si="47"/>
        <v>Ver en Google Maps</v>
      </c>
      <c r="M921" s="116">
        <v>1</v>
      </c>
      <c r="N921" s="117">
        <v>45962</v>
      </c>
      <c r="O921" s="118">
        <f>DAY('BD2'!$N921)</f>
        <v>1</v>
      </c>
      <c r="P921" s="118">
        <f>MONTH('BD2'!$N921)</f>
        <v>11</v>
      </c>
      <c r="Q921" s="118">
        <f>YEAR('BD2'!$N921)</f>
        <v>2025</v>
      </c>
      <c r="R921" s="118">
        <v>2</v>
      </c>
      <c r="S921" s="118" t="s">
        <v>138</v>
      </c>
      <c r="T921" s="118" t="s">
        <v>138</v>
      </c>
      <c r="U921" s="118" t="s">
        <v>138</v>
      </c>
      <c r="V921" s="118" t="s">
        <v>138</v>
      </c>
      <c r="W921" s="118" t="s">
        <v>138</v>
      </c>
      <c r="X921" s="118" t="s">
        <v>138</v>
      </c>
      <c r="Y921" s="118" t="s">
        <v>138</v>
      </c>
      <c r="Z921" s="118" t="str">
        <f>IF('BD2'!$AA921 &lt; 14, "no", "si")</f>
        <v>si</v>
      </c>
      <c r="AA921" s="118">
        <v>102</v>
      </c>
      <c r="AB921" s="118">
        <v>86.5</v>
      </c>
      <c r="AC921" s="119" t="s">
        <v>967</v>
      </c>
      <c r="AD921" s="119" t="s">
        <v>957</v>
      </c>
      <c r="AE921" s="118">
        <f t="shared" si="45"/>
        <v>8</v>
      </c>
      <c r="AF921" s="120" t="str">
        <f t="shared" si="46"/>
        <v>Estable</v>
      </c>
    </row>
    <row r="922" spans="1:32" x14ac:dyDescent="0.2">
      <c r="A922" s="121">
        <v>178</v>
      </c>
      <c r="B922" s="122" t="s">
        <v>1204</v>
      </c>
      <c r="C922" s="123" t="s">
        <v>429</v>
      </c>
      <c r="D922" s="123" t="s">
        <v>17</v>
      </c>
      <c r="E922" s="123" t="s">
        <v>2490</v>
      </c>
      <c r="F922" s="124" t="s">
        <v>2491</v>
      </c>
      <c r="G922" s="124" t="s">
        <v>2649</v>
      </c>
      <c r="H922" s="124" t="s">
        <v>2449</v>
      </c>
      <c r="I922" s="123">
        <v>20.554666000000001</v>
      </c>
      <c r="J922" s="123">
        <v>-101.181972</v>
      </c>
      <c r="K922" s="122"/>
      <c r="L922" s="125" t="str">
        <f t="shared" si="47"/>
        <v>Ver en Google Maps</v>
      </c>
      <c r="M922" s="125">
        <v>1</v>
      </c>
      <c r="N922" s="130"/>
      <c r="O922" s="109"/>
      <c r="P922" s="109"/>
      <c r="Q922" s="109"/>
      <c r="R922" s="109"/>
      <c r="S922" s="109"/>
      <c r="T922" s="109"/>
      <c r="U922" s="109"/>
      <c r="V922" s="109"/>
      <c r="W922" s="109"/>
      <c r="X922" s="109"/>
      <c r="Y922" s="109"/>
      <c r="Z922" s="109"/>
      <c r="AA922" s="109"/>
      <c r="AB922" s="109"/>
      <c r="AC922" s="110"/>
      <c r="AD922" s="110"/>
      <c r="AE922" s="109"/>
      <c r="AF922" s="111"/>
    </row>
    <row r="923" spans="1:32" x14ac:dyDescent="0.2">
      <c r="A923" s="112">
        <v>218</v>
      </c>
      <c r="B923" s="113" t="s">
        <v>1204</v>
      </c>
      <c r="C923" s="114" t="s">
        <v>429</v>
      </c>
      <c r="D923" s="114" t="s">
        <v>17</v>
      </c>
      <c r="E923" s="114" t="s">
        <v>2492</v>
      </c>
      <c r="F923" s="115" t="s">
        <v>2493</v>
      </c>
      <c r="G923" s="115" t="s">
        <v>2650</v>
      </c>
      <c r="H923" s="115" t="s">
        <v>2449</v>
      </c>
      <c r="I923" s="114">
        <v>20.567447000000001</v>
      </c>
      <c r="J923" s="114">
        <v>-101.21789200000001</v>
      </c>
      <c r="K923" s="113"/>
      <c r="L923" s="116" t="str">
        <f t="shared" si="47"/>
        <v>Ver en Google Maps</v>
      </c>
      <c r="M923" s="116">
        <v>1</v>
      </c>
      <c r="N923" s="129"/>
      <c r="O923" s="118"/>
      <c r="P923" s="118"/>
      <c r="Q923" s="118"/>
      <c r="R923" s="118"/>
      <c r="S923" s="118"/>
      <c r="T923" s="118"/>
      <c r="U923" s="118"/>
      <c r="V923" s="118"/>
      <c r="W923" s="118"/>
      <c r="X923" s="118"/>
      <c r="Y923" s="118"/>
      <c r="Z923" s="118"/>
      <c r="AA923" s="118"/>
      <c r="AB923" s="118"/>
      <c r="AC923" s="119"/>
      <c r="AD923" s="119"/>
      <c r="AE923" s="118"/>
      <c r="AF923" s="120"/>
    </row>
    <row r="924" spans="1:32" x14ac:dyDescent="0.2">
      <c r="A924" s="121">
        <v>232</v>
      </c>
      <c r="B924" s="122" t="s">
        <v>1204</v>
      </c>
      <c r="C924" s="123" t="s">
        <v>429</v>
      </c>
      <c r="D924" s="123" t="s">
        <v>17</v>
      </c>
      <c r="E924" s="123" t="s">
        <v>2494</v>
      </c>
      <c r="F924" s="124" t="s">
        <v>2495</v>
      </c>
      <c r="G924" s="124" t="s">
        <v>2651</v>
      </c>
      <c r="H924" s="124" t="s">
        <v>2449</v>
      </c>
      <c r="I924" s="123">
        <v>20.553643999999998</v>
      </c>
      <c r="J924" s="123">
        <v>-101.228267</v>
      </c>
      <c r="K924" s="122"/>
      <c r="L924" s="125" t="str">
        <f t="shared" si="47"/>
        <v>Ver en Google Maps</v>
      </c>
      <c r="M924" s="125">
        <v>1</v>
      </c>
      <c r="N924" s="130"/>
      <c r="O924" s="109"/>
      <c r="P924" s="109"/>
      <c r="Q924" s="109"/>
      <c r="R924" s="109"/>
      <c r="S924" s="109"/>
      <c r="T924" s="109"/>
      <c r="U924" s="109"/>
      <c r="V924" s="109"/>
      <c r="W924" s="109"/>
      <c r="X924" s="109"/>
      <c r="Y924" s="109"/>
      <c r="Z924" s="109"/>
      <c r="AA924" s="109"/>
      <c r="AB924" s="109"/>
      <c r="AC924" s="110"/>
      <c r="AD924" s="110"/>
      <c r="AE924" s="109"/>
      <c r="AF924" s="111"/>
    </row>
    <row r="925" spans="1:32" x14ac:dyDescent="0.2">
      <c r="A925" s="112">
        <v>236</v>
      </c>
      <c r="B925" s="113" t="s">
        <v>1204</v>
      </c>
      <c r="C925" s="114" t="s">
        <v>429</v>
      </c>
      <c r="D925" s="114" t="s">
        <v>17</v>
      </c>
      <c r="E925" s="114" t="s">
        <v>2496</v>
      </c>
      <c r="F925" s="115" t="s">
        <v>2497</v>
      </c>
      <c r="G925" s="115" t="s">
        <v>2652</v>
      </c>
      <c r="H925" s="115" t="s">
        <v>2449</v>
      </c>
      <c r="I925" s="114">
        <v>20.55903</v>
      </c>
      <c r="J925" s="114">
        <v>-101.16477999999999</v>
      </c>
      <c r="K925" s="113" t="s">
        <v>139</v>
      </c>
      <c r="L925" s="116" t="str">
        <f t="shared" si="47"/>
        <v>Ver en Google Maps</v>
      </c>
      <c r="M925" s="116">
        <v>1</v>
      </c>
      <c r="N925" s="117">
        <v>45962</v>
      </c>
      <c r="O925" s="118">
        <f>DAY('BD2'!$N925)</f>
        <v>1</v>
      </c>
      <c r="P925" s="118">
        <f>MONTH('BD2'!$N925)</f>
        <v>11</v>
      </c>
      <c r="Q925" s="118">
        <f>YEAR('BD2'!$N925)</f>
        <v>2025</v>
      </c>
      <c r="R925" s="118">
        <v>2</v>
      </c>
      <c r="S925" s="118" t="s">
        <v>138</v>
      </c>
      <c r="T925" s="118" t="s">
        <v>138</v>
      </c>
      <c r="U925" s="118" t="s">
        <v>138</v>
      </c>
      <c r="V925" s="118" t="s">
        <v>138</v>
      </c>
      <c r="W925" s="118" t="s">
        <v>138</v>
      </c>
      <c r="X925" s="118" t="s">
        <v>138</v>
      </c>
      <c r="Y925" s="118" t="s">
        <v>138</v>
      </c>
      <c r="Z925" s="118" t="str">
        <f>IF('BD2'!$AA925 &lt; 14, "no", "si")</f>
        <v>si</v>
      </c>
      <c r="AA925" s="118">
        <v>122</v>
      </c>
      <c r="AB925" s="118">
        <v>62.1</v>
      </c>
      <c r="AC925" s="119" t="s">
        <v>967</v>
      </c>
      <c r="AD925" s="119" t="s">
        <v>957</v>
      </c>
      <c r="AE925" s="118">
        <f t="shared" si="45"/>
        <v>8</v>
      </c>
      <c r="AF925" s="120" t="str">
        <f t="shared" si="46"/>
        <v>Estable</v>
      </c>
    </row>
    <row r="926" spans="1:32" x14ac:dyDescent="0.2">
      <c r="A926" s="121">
        <v>243</v>
      </c>
      <c r="B926" s="122" t="s">
        <v>1204</v>
      </c>
      <c r="C926" s="123" t="s">
        <v>429</v>
      </c>
      <c r="D926" s="123" t="s">
        <v>17</v>
      </c>
      <c r="E926" s="123" t="s">
        <v>2498</v>
      </c>
      <c r="F926" s="124" t="s">
        <v>2499</v>
      </c>
      <c r="G926" s="124" t="s">
        <v>2653</v>
      </c>
      <c r="H926" s="124" t="s">
        <v>2449</v>
      </c>
      <c r="I926" s="123">
        <v>20.568556999999998</v>
      </c>
      <c r="J926" s="123">
        <v>-101.22153900000001</v>
      </c>
      <c r="K926" s="122"/>
      <c r="L926" s="125" t="str">
        <f t="shared" si="47"/>
        <v>Ver en Google Maps</v>
      </c>
      <c r="M926" s="125">
        <v>1</v>
      </c>
      <c r="N926" s="130"/>
      <c r="O926" s="109"/>
      <c r="P926" s="109"/>
      <c r="Q926" s="109"/>
      <c r="R926" s="109"/>
      <c r="S926" s="109"/>
      <c r="T926" s="109"/>
      <c r="U926" s="109"/>
      <c r="V926" s="109"/>
      <c r="W926" s="109"/>
      <c r="X926" s="109"/>
      <c r="Y926" s="109"/>
      <c r="Z926" s="109"/>
      <c r="AA926" s="109"/>
      <c r="AB926" s="109"/>
      <c r="AC926" s="110"/>
      <c r="AD926" s="110"/>
      <c r="AE926" s="109"/>
      <c r="AF926" s="111"/>
    </row>
    <row r="927" spans="1:32" x14ac:dyDescent="0.2">
      <c r="A927" s="112">
        <v>255</v>
      </c>
      <c r="B927" s="113" t="s">
        <v>1204</v>
      </c>
      <c r="C927" s="114" t="s">
        <v>429</v>
      </c>
      <c r="D927" s="114" t="s">
        <v>17</v>
      </c>
      <c r="E927" s="114" t="s">
        <v>2500</v>
      </c>
      <c r="F927" s="115" t="s">
        <v>2501</v>
      </c>
      <c r="G927" s="115" t="s">
        <v>2654</v>
      </c>
      <c r="H927" s="115" t="s">
        <v>2449</v>
      </c>
      <c r="I927" s="114">
        <v>20.51717</v>
      </c>
      <c r="J927" s="114">
        <v>-101.20253</v>
      </c>
      <c r="K927" s="113"/>
      <c r="L927" s="116" t="str">
        <f t="shared" si="47"/>
        <v>Ver en Google Maps</v>
      </c>
      <c r="M927" s="116">
        <v>1</v>
      </c>
      <c r="N927" s="129"/>
      <c r="O927" s="118"/>
      <c r="P927" s="118"/>
      <c r="Q927" s="118"/>
      <c r="R927" s="118"/>
      <c r="S927" s="118"/>
      <c r="T927" s="118"/>
      <c r="U927" s="118"/>
      <c r="V927" s="118"/>
      <c r="W927" s="118"/>
      <c r="X927" s="118"/>
      <c r="Y927" s="118"/>
      <c r="Z927" s="118"/>
      <c r="AA927" s="118"/>
      <c r="AB927" s="118"/>
      <c r="AC927" s="119"/>
      <c r="AD927" s="119"/>
      <c r="AE927" s="118"/>
      <c r="AF927" s="120"/>
    </row>
    <row r="928" spans="1:32" x14ac:dyDescent="0.2">
      <c r="A928" s="121">
        <v>258</v>
      </c>
      <c r="B928" s="122" t="s">
        <v>1204</v>
      </c>
      <c r="C928" s="123" t="s">
        <v>429</v>
      </c>
      <c r="D928" s="123" t="s">
        <v>17</v>
      </c>
      <c r="E928" s="123" t="s">
        <v>2502</v>
      </c>
      <c r="F928" s="124" t="s">
        <v>2503</v>
      </c>
      <c r="G928" s="124" t="s">
        <v>2655</v>
      </c>
      <c r="H928" s="124" t="s">
        <v>2449</v>
      </c>
      <c r="I928" s="123">
        <v>20.548397000000001</v>
      </c>
      <c r="J928" s="123">
        <v>-101.205664</v>
      </c>
      <c r="K928" s="122"/>
      <c r="L928" s="125" t="str">
        <f t="shared" si="47"/>
        <v>Ver en Google Maps</v>
      </c>
      <c r="M928" s="125">
        <v>1</v>
      </c>
      <c r="N928" s="130"/>
      <c r="O928" s="109"/>
      <c r="P928" s="109"/>
      <c r="Q928" s="109"/>
      <c r="R928" s="109"/>
      <c r="S928" s="109"/>
      <c r="T928" s="109"/>
      <c r="U928" s="109"/>
      <c r="V928" s="109"/>
      <c r="W928" s="109"/>
      <c r="X928" s="109"/>
      <c r="Y928" s="109"/>
      <c r="Z928" s="109"/>
      <c r="AA928" s="109"/>
      <c r="AB928" s="109"/>
      <c r="AC928" s="110"/>
      <c r="AD928" s="110"/>
      <c r="AE928" s="109"/>
      <c r="AF928" s="111"/>
    </row>
    <row r="929" spans="1:32" x14ac:dyDescent="0.2">
      <c r="A929" s="112">
        <v>261</v>
      </c>
      <c r="B929" s="113" t="s">
        <v>1204</v>
      </c>
      <c r="C929" s="114" t="s">
        <v>429</v>
      </c>
      <c r="D929" s="114" t="s">
        <v>17</v>
      </c>
      <c r="E929" s="114" t="s">
        <v>2504</v>
      </c>
      <c r="F929" s="115" t="s">
        <v>2505</v>
      </c>
      <c r="G929" s="115" t="s">
        <v>2656</v>
      </c>
      <c r="H929" s="115" t="s">
        <v>2449</v>
      </c>
      <c r="I929" s="114">
        <v>20.54515</v>
      </c>
      <c r="J929" s="114">
        <v>-101.19359</v>
      </c>
      <c r="K929" s="113"/>
      <c r="L929" s="116" t="str">
        <f t="shared" si="47"/>
        <v>Ver en Google Maps</v>
      </c>
      <c r="M929" s="116">
        <v>1</v>
      </c>
      <c r="N929" s="129"/>
      <c r="O929" s="118"/>
      <c r="P929" s="118"/>
      <c r="Q929" s="118"/>
      <c r="R929" s="118"/>
      <c r="S929" s="118"/>
      <c r="T929" s="118"/>
      <c r="U929" s="118"/>
      <c r="V929" s="118"/>
      <c r="W929" s="118"/>
      <c r="X929" s="118"/>
      <c r="Y929" s="118"/>
      <c r="Z929" s="118"/>
      <c r="AA929" s="118"/>
      <c r="AB929" s="118"/>
      <c r="AC929" s="119"/>
      <c r="AD929" s="119"/>
      <c r="AE929" s="118"/>
      <c r="AF929" s="120"/>
    </row>
    <row r="930" spans="1:32" x14ac:dyDescent="0.2">
      <c r="A930" s="121">
        <v>270</v>
      </c>
      <c r="B930" s="122" t="s">
        <v>1204</v>
      </c>
      <c r="C930" s="123" t="s">
        <v>429</v>
      </c>
      <c r="D930" s="123" t="s">
        <v>17</v>
      </c>
      <c r="E930" s="123" t="s">
        <v>2506</v>
      </c>
      <c r="F930" s="124" t="s">
        <v>2507</v>
      </c>
      <c r="G930" s="124" t="s">
        <v>2657</v>
      </c>
      <c r="H930" s="124" t="s">
        <v>2449</v>
      </c>
      <c r="I930" s="123">
        <v>20.553830000000001</v>
      </c>
      <c r="J930" s="123">
        <v>-101.16846</v>
      </c>
      <c r="K930" s="122"/>
      <c r="L930" s="125" t="str">
        <f t="shared" si="47"/>
        <v>Ver en Google Maps</v>
      </c>
      <c r="M930" s="125">
        <v>1</v>
      </c>
      <c r="N930" s="130"/>
      <c r="O930" s="109"/>
      <c r="P930" s="109"/>
      <c r="Q930" s="109"/>
      <c r="R930" s="109"/>
      <c r="S930" s="109"/>
      <c r="T930" s="109"/>
      <c r="U930" s="109"/>
      <c r="V930" s="109"/>
      <c r="W930" s="109"/>
      <c r="X930" s="109"/>
      <c r="Y930" s="109"/>
      <c r="Z930" s="109"/>
      <c r="AA930" s="109"/>
      <c r="AB930" s="109"/>
      <c r="AC930" s="110"/>
      <c r="AD930" s="110"/>
      <c r="AE930" s="109"/>
      <c r="AF930" s="111"/>
    </row>
    <row r="931" spans="1:32" x14ac:dyDescent="0.2">
      <c r="A931" s="112">
        <v>276</v>
      </c>
      <c r="B931" s="113" t="s">
        <v>1204</v>
      </c>
      <c r="C931" s="114" t="s">
        <v>429</v>
      </c>
      <c r="D931" s="114" t="s">
        <v>17</v>
      </c>
      <c r="E931" s="114" t="s">
        <v>2508</v>
      </c>
      <c r="F931" s="115" t="s">
        <v>2509</v>
      </c>
      <c r="G931" s="115" t="s">
        <v>2658</v>
      </c>
      <c r="H931" s="115" t="s">
        <v>2449</v>
      </c>
      <c r="I931" s="114">
        <v>20.56653</v>
      </c>
      <c r="J931" s="114">
        <v>-101.20569999999999</v>
      </c>
      <c r="K931" s="113"/>
      <c r="L931" s="116" t="str">
        <f t="shared" si="47"/>
        <v>Ver en Google Maps</v>
      </c>
      <c r="M931" s="116">
        <v>1</v>
      </c>
      <c r="N931" s="129"/>
      <c r="O931" s="118"/>
      <c r="P931" s="118"/>
      <c r="Q931" s="118"/>
      <c r="R931" s="118"/>
      <c r="S931" s="118"/>
      <c r="T931" s="118"/>
      <c r="U931" s="118"/>
      <c r="V931" s="118"/>
      <c r="W931" s="118"/>
      <c r="X931" s="118"/>
      <c r="Y931" s="118"/>
      <c r="Z931" s="118"/>
      <c r="AA931" s="118"/>
      <c r="AB931" s="118"/>
      <c r="AC931" s="119"/>
      <c r="AD931" s="119"/>
      <c r="AE931" s="118"/>
      <c r="AF931" s="120"/>
    </row>
    <row r="932" spans="1:32" x14ac:dyDescent="0.2">
      <c r="A932" s="121">
        <v>282</v>
      </c>
      <c r="B932" s="122" t="s">
        <v>1204</v>
      </c>
      <c r="C932" s="123" t="s">
        <v>429</v>
      </c>
      <c r="D932" s="123" t="s">
        <v>17</v>
      </c>
      <c r="E932" s="123" t="s">
        <v>2510</v>
      </c>
      <c r="F932" s="124" t="s">
        <v>2511</v>
      </c>
      <c r="G932" s="124" t="s">
        <v>2659</v>
      </c>
      <c r="H932" s="124" t="s">
        <v>2449</v>
      </c>
      <c r="I932" s="123">
        <v>20.547329999999999</v>
      </c>
      <c r="J932" s="123">
        <v>-101.22539</v>
      </c>
      <c r="K932" s="122"/>
      <c r="L932" s="125" t="str">
        <f t="shared" si="47"/>
        <v>Ver en Google Maps</v>
      </c>
      <c r="M932" s="125">
        <v>1</v>
      </c>
      <c r="N932" s="130"/>
      <c r="O932" s="109"/>
      <c r="P932" s="109"/>
      <c r="Q932" s="109"/>
      <c r="R932" s="109"/>
      <c r="S932" s="109"/>
      <c r="T932" s="109"/>
      <c r="U932" s="109"/>
      <c r="V932" s="109"/>
      <c r="W932" s="109"/>
      <c r="X932" s="109"/>
      <c r="Y932" s="109"/>
      <c r="Z932" s="109"/>
      <c r="AA932" s="109"/>
      <c r="AB932" s="109"/>
      <c r="AC932" s="110"/>
      <c r="AD932" s="110"/>
      <c r="AE932" s="109"/>
      <c r="AF932" s="111"/>
    </row>
    <row r="933" spans="1:32" x14ac:dyDescent="0.2">
      <c r="A933" s="112">
        <v>294</v>
      </c>
      <c r="B933" s="113" t="s">
        <v>1204</v>
      </c>
      <c r="C933" s="114" t="s">
        <v>350</v>
      </c>
      <c r="D933" s="114" t="s">
        <v>404</v>
      </c>
      <c r="E933" s="114" t="s">
        <v>2512</v>
      </c>
      <c r="F933" s="115" t="s">
        <v>2513</v>
      </c>
      <c r="G933" s="115" t="s">
        <v>1231</v>
      </c>
      <c r="H933" s="115" t="s">
        <v>2449</v>
      </c>
      <c r="I933" s="114">
        <v>20.570195999999999</v>
      </c>
      <c r="J933" s="114">
        <v>-101.198503</v>
      </c>
      <c r="K933" s="113"/>
      <c r="L933" s="116" t="str">
        <f t="shared" si="47"/>
        <v>Ver en Google Maps</v>
      </c>
      <c r="M933" s="116">
        <v>1</v>
      </c>
      <c r="N933" s="129"/>
      <c r="O933" s="118"/>
      <c r="P933" s="118"/>
      <c r="Q933" s="118"/>
      <c r="R933" s="118"/>
      <c r="S933" s="118"/>
      <c r="T933" s="118"/>
      <c r="U933" s="118"/>
      <c r="V933" s="118"/>
      <c r="W933" s="118"/>
      <c r="X933" s="118"/>
      <c r="Y933" s="118"/>
      <c r="Z933" s="118"/>
      <c r="AA933" s="118"/>
      <c r="AB933" s="118"/>
      <c r="AC933" s="119"/>
      <c r="AD933" s="119"/>
      <c r="AE933" s="118"/>
      <c r="AF933" s="120"/>
    </row>
    <row r="934" spans="1:32" x14ac:dyDescent="0.2">
      <c r="A934" s="121">
        <v>299</v>
      </c>
      <c r="B934" s="122" t="s">
        <v>1204</v>
      </c>
      <c r="C934" s="123" t="s">
        <v>429</v>
      </c>
      <c r="D934" s="123" t="s">
        <v>16</v>
      </c>
      <c r="E934" s="123" t="s">
        <v>2514</v>
      </c>
      <c r="F934" s="124" t="s">
        <v>2515</v>
      </c>
      <c r="G934" s="124" t="s">
        <v>2310</v>
      </c>
      <c r="H934" s="124" t="s">
        <v>2449</v>
      </c>
      <c r="I934" s="123">
        <v>20.571936000000001</v>
      </c>
      <c r="J934" s="123">
        <v>-101.212946</v>
      </c>
      <c r="K934" s="122"/>
      <c r="L934" s="125" t="str">
        <f t="shared" si="47"/>
        <v>Ver en Google Maps</v>
      </c>
      <c r="M934" s="125">
        <v>1</v>
      </c>
      <c r="N934" s="130"/>
      <c r="O934" s="109"/>
      <c r="P934" s="109"/>
      <c r="Q934" s="109"/>
      <c r="R934" s="109"/>
      <c r="S934" s="109"/>
      <c r="T934" s="109"/>
      <c r="U934" s="109"/>
      <c r="V934" s="109"/>
      <c r="W934" s="109"/>
      <c r="X934" s="109"/>
      <c r="Y934" s="109"/>
      <c r="Z934" s="109"/>
      <c r="AA934" s="109"/>
      <c r="AB934" s="109"/>
      <c r="AC934" s="110"/>
      <c r="AD934" s="110"/>
      <c r="AE934" s="109"/>
      <c r="AF934" s="111"/>
    </row>
    <row r="935" spans="1:32" x14ac:dyDescent="0.2">
      <c r="A935" s="112">
        <v>327</v>
      </c>
      <c r="B935" s="113" t="s">
        <v>1204</v>
      </c>
      <c r="C935" s="114" t="s">
        <v>429</v>
      </c>
      <c r="D935" s="114" t="s">
        <v>16</v>
      </c>
      <c r="E935" s="114" t="s">
        <v>2516</v>
      </c>
      <c r="F935" s="115" t="s">
        <v>2517</v>
      </c>
      <c r="G935" s="115" t="s">
        <v>2660</v>
      </c>
      <c r="H935" s="115" t="s">
        <v>2449</v>
      </c>
      <c r="I935" s="114">
        <v>20.560604999999999</v>
      </c>
      <c r="J935" s="114">
        <v>-101.209672</v>
      </c>
      <c r="K935" s="113"/>
      <c r="L935" s="116" t="str">
        <f t="shared" si="47"/>
        <v>Ver en Google Maps</v>
      </c>
      <c r="M935" s="116">
        <v>1</v>
      </c>
      <c r="N935" s="129"/>
      <c r="O935" s="118"/>
      <c r="P935" s="118"/>
      <c r="Q935" s="118"/>
      <c r="R935" s="118"/>
      <c r="S935" s="118"/>
      <c r="T935" s="118"/>
      <c r="U935" s="118"/>
      <c r="V935" s="118"/>
      <c r="W935" s="118"/>
      <c r="X935" s="118"/>
      <c r="Y935" s="118"/>
      <c r="Z935" s="118"/>
      <c r="AA935" s="118"/>
      <c r="AB935" s="118"/>
      <c r="AC935" s="119"/>
      <c r="AD935" s="119"/>
      <c r="AE935" s="118"/>
      <c r="AF935" s="120"/>
    </row>
    <row r="936" spans="1:32" x14ac:dyDescent="0.2">
      <c r="A936" s="121">
        <v>328</v>
      </c>
      <c r="B936" s="122" t="s">
        <v>1204</v>
      </c>
      <c r="C936" s="123" t="s">
        <v>429</v>
      </c>
      <c r="D936" s="123" t="s">
        <v>16</v>
      </c>
      <c r="E936" s="123" t="s">
        <v>2518</v>
      </c>
      <c r="F936" s="124" t="s">
        <v>2519</v>
      </c>
      <c r="G936" s="124" t="s">
        <v>2641</v>
      </c>
      <c r="H936" s="124" t="s">
        <v>2449</v>
      </c>
      <c r="I936" s="123">
        <v>20.579906000000001</v>
      </c>
      <c r="J936" s="123">
        <v>-101.19257399999999</v>
      </c>
      <c r="K936" s="122" t="s">
        <v>139</v>
      </c>
      <c r="L936" s="125" t="str">
        <f t="shared" si="47"/>
        <v>Ver en Google Maps</v>
      </c>
      <c r="M936" s="125">
        <v>2</v>
      </c>
      <c r="N936" s="108">
        <v>45962</v>
      </c>
      <c r="O936" s="109">
        <f>DAY('BD2'!$N936)</f>
        <v>1</v>
      </c>
      <c r="P936" s="109">
        <f>MONTH('BD2'!$N936)</f>
        <v>11</v>
      </c>
      <c r="Q936" s="109">
        <f>YEAR('BD2'!$N936)</f>
        <v>2025</v>
      </c>
      <c r="R936" s="109">
        <v>2</v>
      </c>
      <c r="S936" s="109" t="s">
        <v>138</v>
      </c>
      <c r="T936" s="109" t="s">
        <v>138</v>
      </c>
      <c r="U936" s="109" t="s">
        <v>138</v>
      </c>
      <c r="V936" s="109" t="s">
        <v>138</v>
      </c>
      <c r="W936" s="109" t="s">
        <v>138</v>
      </c>
      <c r="X936" s="109" t="s">
        <v>138</v>
      </c>
      <c r="Y936" s="109" t="s">
        <v>138</v>
      </c>
      <c r="Z936" s="109" t="str">
        <f>IF('BD2'!$AA936 &lt; 14, "no", "si")</f>
        <v>si</v>
      </c>
      <c r="AA936" s="109">
        <v>28.9</v>
      </c>
      <c r="AB936" s="109">
        <v>2.5299999999999998</v>
      </c>
      <c r="AC936" s="110" t="s">
        <v>967</v>
      </c>
      <c r="AD936" s="110" t="s">
        <v>957</v>
      </c>
      <c r="AE936" s="109">
        <f t="shared" si="45"/>
        <v>8</v>
      </c>
      <c r="AF936" s="111" t="str">
        <f t="shared" si="46"/>
        <v>Estable</v>
      </c>
    </row>
    <row r="937" spans="1:32" x14ac:dyDescent="0.2">
      <c r="A937" s="112">
        <v>330</v>
      </c>
      <c r="B937" s="113" t="s">
        <v>1204</v>
      </c>
      <c r="C937" s="114" t="s">
        <v>429</v>
      </c>
      <c r="D937" s="114" t="s">
        <v>16</v>
      </c>
      <c r="E937" s="114" t="s">
        <v>2520</v>
      </c>
      <c r="F937" s="115" t="s">
        <v>2521</v>
      </c>
      <c r="G937" s="115" t="s">
        <v>2640</v>
      </c>
      <c r="H937" s="115" t="s">
        <v>2449</v>
      </c>
      <c r="I937" s="114">
        <v>20.575977000000002</v>
      </c>
      <c r="J937" s="114">
        <v>-101.20453000000001</v>
      </c>
      <c r="K937" s="113"/>
      <c r="L937" s="116" t="str">
        <f t="shared" si="47"/>
        <v>Ver en Google Maps</v>
      </c>
      <c r="M937" s="116">
        <v>2</v>
      </c>
      <c r="N937" s="129"/>
      <c r="O937" s="118"/>
      <c r="P937" s="118"/>
      <c r="Q937" s="118"/>
      <c r="R937" s="118"/>
      <c r="S937" s="118"/>
      <c r="T937" s="118"/>
      <c r="U937" s="118"/>
      <c r="V937" s="118"/>
      <c r="W937" s="118"/>
      <c r="X937" s="118"/>
      <c r="Y937" s="118"/>
      <c r="Z937" s="118"/>
      <c r="AA937" s="118"/>
      <c r="AB937" s="118"/>
      <c r="AC937" s="119"/>
      <c r="AD937" s="119"/>
      <c r="AE937" s="118"/>
      <c r="AF937" s="120"/>
    </row>
    <row r="938" spans="1:32" x14ac:dyDescent="0.2">
      <c r="A938" s="121">
        <v>364</v>
      </c>
      <c r="B938" s="122" t="s">
        <v>1204</v>
      </c>
      <c r="C938" s="123" t="s">
        <v>429</v>
      </c>
      <c r="D938" s="123" t="s">
        <v>16</v>
      </c>
      <c r="E938" s="123" t="s">
        <v>2522</v>
      </c>
      <c r="F938" s="124" t="s">
        <v>2523</v>
      </c>
      <c r="G938" s="124" t="s">
        <v>2645</v>
      </c>
      <c r="H938" s="124" t="s">
        <v>2449</v>
      </c>
      <c r="I938" s="123">
        <v>20.553525</v>
      </c>
      <c r="J938" s="123">
        <v>-101.199313</v>
      </c>
      <c r="K938" s="122"/>
      <c r="L938" s="125" t="str">
        <f t="shared" si="47"/>
        <v>Ver en Google Maps</v>
      </c>
      <c r="M938" s="125">
        <v>1</v>
      </c>
      <c r="N938" s="130"/>
      <c r="O938" s="109"/>
      <c r="P938" s="109"/>
      <c r="Q938" s="109"/>
      <c r="R938" s="109"/>
      <c r="S938" s="109"/>
      <c r="T938" s="109"/>
      <c r="U938" s="109"/>
      <c r="V938" s="109"/>
      <c r="W938" s="109"/>
      <c r="X938" s="109"/>
      <c r="Y938" s="109"/>
      <c r="Z938" s="109"/>
      <c r="AA938" s="109"/>
      <c r="AB938" s="109"/>
      <c r="AC938" s="110"/>
      <c r="AD938" s="110"/>
      <c r="AE938" s="109"/>
      <c r="AF938" s="111"/>
    </row>
    <row r="939" spans="1:32" x14ac:dyDescent="0.2">
      <c r="A939" s="112">
        <v>395</v>
      </c>
      <c r="B939" s="113" t="s">
        <v>1204</v>
      </c>
      <c r="C939" s="114" t="s">
        <v>429</v>
      </c>
      <c r="D939" s="114" t="s">
        <v>16</v>
      </c>
      <c r="E939" s="114" t="s">
        <v>2524</v>
      </c>
      <c r="F939" s="115" t="s">
        <v>2525</v>
      </c>
      <c r="G939" s="115" t="s">
        <v>1785</v>
      </c>
      <c r="H939" s="115" t="s">
        <v>2449</v>
      </c>
      <c r="I939" s="114">
        <v>20.558962999999999</v>
      </c>
      <c r="J939" s="114">
        <v>-101.205202</v>
      </c>
      <c r="K939" s="113"/>
      <c r="L939" s="116" t="str">
        <f t="shared" si="47"/>
        <v>Ver en Google Maps</v>
      </c>
      <c r="M939" s="116">
        <v>2</v>
      </c>
      <c r="N939" s="129"/>
      <c r="O939" s="118"/>
      <c r="P939" s="118"/>
      <c r="Q939" s="118"/>
      <c r="R939" s="118"/>
      <c r="S939" s="118"/>
      <c r="T939" s="118"/>
      <c r="U939" s="118"/>
      <c r="V939" s="118"/>
      <c r="W939" s="118"/>
      <c r="X939" s="118"/>
      <c r="Y939" s="118"/>
      <c r="Z939" s="118"/>
      <c r="AA939" s="118"/>
      <c r="AB939" s="118"/>
      <c r="AC939" s="119"/>
      <c r="AD939" s="119"/>
      <c r="AE939" s="118"/>
      <c r="AF939" s="120"/>
    </row>
    <row r="940" spans="1:32" x14ac:dyDescent="0.2">
      <c r="A940" s="121">
        <v>421</v>
      </c>
      <c r="B940" s="122" t="s">
        <v>1204</v>
      </c>
      <c r="C940" s="123" t="s">
        <v>429</v>
      </c>
      <c r="D940" s="123" t="s">
        <v>16</v>
      </c>
      <c r="E940" s="123" t="s">
        <v>2526</v>
      </c>
      <c r="F940" s="124" t="s">
        <v>2527</v>
      </c>
      <c r="G940" s="124" t="s">
        <v>2661</v>
      </c>
      <c r="H940" s="124" t="s">
        <v>2449</v>
      </c>
      <c r="I940" s="123">
        <v>20.566459999999999</v>
      </c>
      <c r="J940" s="123">
        <v>-101.18326</v>
      </c>
      <c r="K940" s="122" t="s">
        <v>139</v>
      </c>
      <c r="L940" s="125" t="str">
        <f t="shared" si="47"/>
        <v>Ver en Google Maps</v>
      </c>
      <c r="M940" s="125">
        <v>1</v>
      </c>
      <c r="N940" s="108">
        <v>45962</v>
      </c>
      <c r="O940" s="109">
        <f>DAY('BD2'!$N940)</f>
        <v>1</v>
      </c>
      <c r="P940" s="109">
        <f>MONTH('BD2'!$N940)</f>
        <v>11</v>
      </c>
      <c r="Q940" s="109">
        <f>YEAR('BD2'!$N940)</f>
        <v>2025</v>
      </c>
      <c r="R940" s="109">
        <v>2</v>
      </c>
      <c r="S940" s="109" t="s">
        <v>138</v>
      </c>
      <c r="T940" s="109" t="s">
        <v>138</v>
      </c>
      <c r="U940" s="109" t="s">
        <v>138</v>
      </c>
      <c r="V940" s="109" t="s">
        <v>138</v>
      </c>
      <c r="W940" s="109" t="s">
        <v>138</v>
      </c>
      <c r="X940" s="109" t="s">
        <v>138</v>
      </c>
      <c r="Y940" s="109" t="s">
        <v>138</v>
      </c>
      <c r="Z940" s="109" t="str">
        <f>IF('BD2'!$AA940 &lt; 14, "no", "si")</f>
        <v>si</v>
      </c>
      <c r="AA940" s="109">
        <v>79.900000000000006</v>
      </c>
      <c r="AB940" s="109">
        <v>31.8</v>
      </c>
      <c r="AC940" s="110" t="s">
        <v>967</v>
      </c>
      <c r="AD940" s="110" t="s">
        <v>957</v>
      </c>
      <c r="AE940" s="109">
        <f t="shared" si="45"/>
        <v>8</v>
      </c>
      <c r="AF940" s="111" t="str">
        <f t="shared" si="46"/>
        <v>Estable</v>
      </c>
    </row>
    <row r="941" spans="1:32" x14ac:dyDescent="0.2">
      <c r="A941" s="112">
        <v>425</v>
      </c>
      <c r="B941" s="113" t="s">
        <v>1204</v>
      </c>
      <c r="C941" s="114" t="s">
        <v>429</v>
      </c>
      <c r="D941" s="114" t="s">
        <v>16</v>
      </c>
      <c r="E941" s="114" t="s">
        <v>2528</v>
      </c>
      <c r="F941" s="115" t="s">
        <v>2529</v>
      </c>
      <c r="G941" s="115" t="s">
        <v>1783</v>
      </c>
      <c r="H941" s="115" t="s">
        <v>2449</v>
      </c>
      <c r="I941" s="114">
        <v>20.558827000000001</v>
      </c>
      <c r="J941" s="114">
        <v>-101.208491</v>
      </c>
      <c r="K941" s="113"/>
      <c r="L941" s="116" t="str">
        <f t="shared" si="47"/>
        <v>Ver en Google Maps</v>
      </c>
      <c r="M941" s="116">
        <v>2</v>
      </c>
      <c r="N941" s="129"/>
      <c r="O941" s="118"/>
      <c r="P941" s="118"/>
      <c r="Q941" s="118"/>
      <c r="R941" s="118"/>
      <c r="S941" s="118"/>
      <c r="T941" s="118"/>
      <c r="U941" s="118"/>
      <c r="V941" s="118"/>
      <c r="W941" s="118"/>
      <c r="X941" s="118"/>
      <c r="Y941" s="118"/>
      <c r="Z941" s="118"/>
      <c r="AA941" s="118"/>
      <c r="AB941" s="118"/>
      <c r="AC941" s="119"/>
      <c r="AD941" s="119"/>
      <c r="AE941" s="118"/>
      <c r="AF941" s="120"/>
    </row>
    <row r="942" spans="1:32" x14ac:dyDescent="0.2">
      <c r="A942" s="121">
        <v>459</v>
      </c>
      <c r="B942" s="122" t="s">
        <v>1204</v>
      </c>
      <c r="C942" s="123" t="s">
        <v>429</v>
      </c>
      <c r="D942" s="123" t="s">
        <v>16</v>
      </c>
      <c r="E942" s="123" t="s">
        <v>2530</v>
      </c>
      <c r="F942" s="124" t="s">
        <v>2531</v>
      </c>
      <c r="G942" s="124" t="s">
        <v>2641</v>
      </c>
      <c r="H942" s="124" t="s">
        <v>2449</v>
      </c>
      <c r="I942" s="123">
        <v>20.578807000000001</v>
      </c>
      <c r="J942" s="123">
        <v>-101.192341</v>
      </c>
      <c r="K942" s="122" t="s">
        <v>139</v>
      </c>
      <c r="L942" s="125" t="str">
        <f t="shared" si="47"/>
        <v>Ver en Google Maps</v>
      </c>
      <c r="M942" s="125">
        <v>2</v>
      </c>
      <c r="N942" s="108">
        <v>45962</v>
      </c>
      <c r="O942" s="109">
        <f>DAY('BD2'!$N942)</f>
        <v>1</v>
      </c>
      <c r="P942" s="109">
        <f>MONTH('BD2'!$N942)</f>
        <v>11</v>
      </c>
      <c r="Q942" s="109">
        <f>YEAR('BD2'!$N942)</f>
        <v>2025</v>
      </c>
      <c r="R942" s="109">
        <v>2</v>
      </c>
      <c r="S942" s="109" t="s">
        <v>934</v>
      </c>
      <c r="T942" s="109" t="s">
        <v>934</v>
      </c>
      <c r="U942" s="109" t="s">
        <v>934</v>
      </c>
      <c r="V942" s="109" t="s">
        <v>934</v>
      </c>
      <c r="W942" s="109" t="s">
        <v>934</v>
      </c>
      <c r="X942" s="109" t="s">
        <v>934</v>
      </c>
      <c r="Y942" s="109" t="s">
        <v>934</v>
      </c>
      <c r="Z942" s="109" t="str">
        <f>IF('BD2'!$AA942 &lt; 14, "no", "si")</f>
        <v>no</v>
      </c>
      <c r="AA942" s="109">
        <v>0</v>
      </c>
      <c r="AB942" s="109">
        <v>0</v>
      </c>
      <c r="AC942" s="110" t="s">
        <v>3135</v>
      </c>
      <c r="AD942" s="110" t="s">
        <v>957</v>
      </c>
      <c r="AE942" s="109">
        <f t="shared" si="45"/>
        <v>0</v>
      </c>
      <c r="AF942" s="111" t="str">
        <f t="shared" si="46"/>
        <v>Crítico</v>
      </c>
    </row>
    <row r="943" spans="1:32" x14ac:dyDescent="0.2">
      <c r="A943" s="112">
        <v>461</v>
      </c>
      <c r="B943" s="113" t="s">
        <v>1204</v>
      </c>
      <c r="C943" s="114" t="s">
        <v>429</v>
      </c>
      <c r="D943" s="114" t="s">
        <v>16</v>
      </c>
      <c r="E943" s="114" t="s">
        <v>2532</v>
      </c>
      <c r="F943" s="115" t="s">
        <v>2533</v>
      </c>
      <c r="G943" s="115" t="s">
        <v>2653</v>
      </c>
      <c r="H943" s="115" t="s">
        <v>2449</v>
      </c>
      <c r="I943" s="114">
        <v>20.568760999999999</v>
      </c>
      <c r="J943" s="114">
        <v>-101.220896</v>
      </c>
      <c r="K943" s="113"/>
      <c r="L943" s="116" t="str">
        <f t="shared" si="47"/>
        <v>Ver en Google Maps</v>
      </c>
      <c r="M943" s="116">
        <v>1</v>
      </c>
      <c r="N943" s="129"/>
      <c r="O943" s="118"/>
      <c r="P943" s="118"/>
      <c r="Q943" s="118"/>
      <c r="R943" s="118"/>
      <c r="S943" s="118"/>
      <c r="T943" s="118"/>
      <c r="U943" s="118"/>
      <c r="V943" s="118"/>
      <c r="W943" s="118"/>
      <c r="X943" s="118"/>
      <c r="Y943" s="118"/>
      <c r="Z943" s="118"/>
      <c r="AA943" s="118"/>
      <c r="AB943" s="118"/>
      <c r="AC943" s="119"/>
      <c r="AD943" s="119"/>
      <c r="AE943" s="118"/>
      <c r="AF943" s="120"/>
    </row>
    <row r="944" spans="1:32" x14ac:dyDescent="0.2">
      <c r="A944" s="121">
        <v>463</v>
      </c>
      <c r="B944" s="122" t="s">
        <v>1204</v>
      </c>
      <c r="C944" s="123" t="s">
        <v>429</v>
      </c>
      <c r="D944" s="123" t="s">
        <v>16</v>
      </c>
      <c r="E944" s="123" t="s">
        <v>2534</v>
      </c>
      <c r="F944" s="124" t="s">
        <v>2535</v>
      </c>
      <c r="G944" s="124" t="s">
        <v>2650</v>
      </c>
      <c r="H944" s="124" t="s">
        <v>2449</v>
      </c>
      <c r="I944" s="123">
        <v>20.566873000000001</v>
      </c>
      <c r="J944" s="123">
        <v>-101.217889</v>
      </c>
      <c r="K944" s="122"/>
      <c r="L944" s="125" t="str">
        <f t="shared" si="47"/>
        <v>Ver en Google Maps</v>
      </c>
      <c r="M944" s="125">
        <v>1</v>
      </c>
      <c r="N944" s="130"/>
      <c r="O944" s="109"/>
      <c r="P944" s="109"/>
      <c r="Q944" s="109"/>
      <c r="R944" s="109"/>
      <c r="S944" s="109"/>
      <c r="T944" s="109"/>
      <c r="U944" s="109"/>
      <c r="V944" s="109"/>
      <c r="W944" s="109"/>
      <c r="X944" s="109"/>
      <c r="Y944" s="109"/>
      <c r="Z944" s="109"/>
      <c r="AA944" s="109"/>
      <c r="AB944" s="109"/>
      <c r="AC944" s="110"/>
      <c r="AD944" s="110"/>
      <c r="AE944" s="109"/>
      <c r="AF944" s="111"/>
    </row>
    <row r="945" spans="1:32" x14ac:dyDescent="0.2">
      <c r="A945" s="112">
        <v>464</v>
      </c>
      <c r="B945" s="113" t="s">
        <v>1204</v>
      </c>
      <c r="C945" s="114" t="s">
        <v>18</v>
      </c>
      <c r="D945" s="114" t="s">
        <v>404</v>
      </c>
      <c r="E945" s="114" t="s">
        <v>2536</v>
      </c>
      <c r="F945" s="115" t="s">
        <v>2537</v>
      </c>
      <c r="G945" s="115" t="s">
        <v>2662</v>
      </c>
      <c r="H945" s="115" t="s">
        <v>2449</v>
      </c>
      <c r="I945" s="114">
        <v>20.511140000000001</v>
      </c>
      <c r="J945" s="114">
        <v>-101.19574</v>
      </c>
      <c r="K945" s="113"/>
      <c r="L945" s="116" t="str">
        <f t="shared" si="47"/>
        <v>Ver en Google Maps</v>
      </c>
      <c r="M945" s="116">
        <v>1</v>
      </c>
      <c r="N945" s="129"/>
      <c r="O945" s="118"/>
      <c r="P945" s="118"/>
      <c r="Q945" s="118"/>
      <c r="R945" s="118"/>
      <c r="S945" s="118"/>
      <c r="T945" s="118"/>
      <c r="U945" s="118"/>
      <c r="V945" s="118"/>
      <c r="W945" s="118"/>
      <c r="X945" s="118"/>
      <c r="Y945" s="118"/>
      <c r="Z945" s="118"/>
      <c r="AA945" s="118"/>
      <c r="AB945" s="118"/>
      <c r="AC945" s="119"/>
      <c r="AD945" s="119"/>
      <c r="AE945" s="118"/>
      <c r="AF945" s="120"/>
    </row>
    <row r="946" spans="1:32" x14ac:dyDescent="0.2">
      <c r="A946" s="121">
        <v>473</v>
      </c>
      <c r="B946" s="122" t="s">
        <v>1204</v>
      </c>
      <c r="C946" s="123" t="s">
        <v>429</v>
      </c>
      <c r="D946" s="123" t="s">
        <v>16</v>
      </c>
      <c r="E946" s="123" t="s">
        <v>2538</v>
      </c>
      <c r="F946" s="124" t="s">
        <v>2539</v>
      </c>
      <c r="G946" s="124" t="s">
        <v>2652</v>
      </c>
      <c r="H946" s="124" t="s">
        <v>2449</v>
      </c>
      <c r="I946" s="123">
        <v>20.560359999999999</v>
      </c>
      <c r="J946" s="123">
        <v>-101.16647</v>
      </c>
      <c r="K946" s="122" t="s">
        <v>139</v>
      </c>
      <c r="L946" s="125" t="str">
        <f t="shared" si="47"/>
        <v>Ver en Google Maps</v>
      </c>
      <c r="M946" s="125">
        <v>1</v>
      </c>
      <c r="N946" s="108">
        <v>45962</v>
      </c>
      <c r="O946" s="109">
        <f>DAY('BD2'!$N946)</f>
        <v>1</v>
      </c>
      <c r="P946" s="109">
        <f>MONTH('BD2'!$N946)</f>
        <v>11</v>
      </c>
      <c r="Q946" s="109">
        <f>YEAR('BD2'!$N946)</f>
        <v>2025</v>
      </c>
      <c r="R946" s="109">
        <v>2</v>
      </c>
      <c r="S946" s="109" t="s">
        <v>138</v>
      </c>
      <c r="T946" s="109" t="s">
        <v>138</v>
      </c>
      <c r="U946" s="109" t="s">
        <v>138</v>
      </c>
      <c r="V946" s="109" t="s">
        <v>138</v>
      </c>
      <c r="W946" s="109" t="s">
        <v>138</v>
      </c>
      <c r="X946" s="109" t="s">
        <v>138</v>
      </c>
      <c r="Y946" s="109" t="s">
        <v>138</v>
      </c>
      <c r="Z946" s="109" t="str">
        <f>IF('BD2'!$AA946 &lt; 14, "no", "si")</f>
        <v>si</v>
      </c>
      <c r="AA946" s="109">
        <v>116</v>
      </c>
      <c r="AB946" s="109">
        <v>33.1</v>
      </c>
      <c r="AC946" s="110" t="s">
        <v>967</v>
      </c>
      <c r="AD946" s="110" t="s">
        <v>957</v>
      </c>
      <c r="AE946" s="109">
        <f t="shared" si="45"/>
        <v>8</v>
      </c>
      <c r="AF946" s="111" t="str">
        <f t="shared" si="46"/>
        <v>Estable</v>
      </c>
    </row>
    <row r="947" spans="1:32" x14ac:dyDescent="0.2">
      <c r="A947" s="112">
        <v>476</v>
      </c>
      <c r="B947" s="113" t="s">
        <v>1204</v>
      </c>
      <c r="C947" s="114" t="s">
        <v>429</v>
      </c>
      <c r="D947" s="114" t="s">
        <v>16</v>
      </c>
      <c r="E947" s="114" t="s">
        <v>2540</v>
      </c>
      <c r="F947" s="115" t="s">
        <v>2541</v>
      </c>
      <c r="G947" s="115" t="s">
        <v>2663</v>
      </c>
      <c r="H947" s="115" t="s">
        <v>2449</v>
      </c>
      <c r="I947" s="114">
        <v>20.544974</v>
      </c>
      <c r="J947" s="114">
        <v>-101.19481399999999</v>
      </c>
      <c r="K947" s="113"/>
      <c r="L947" s="116" t="str">
        <f t="shared" si="47"/>
        <v>Ver en Google Maps</v>
      </c>
      <c r="M947" s="116">
        <v>2</v>
      </c>
      <c r="N947" s="129"/>
      <c r="O947" s="118"/>
      <c r="P947" s="118"/>
      <c r="Q947" s="118"/>
      <c r="R947" s="118"/>
      <c r="S947" s="118"/>
      <c r="T947" s="118"/>
      <c r="U947" s="118"/>
      <c r="V947" s="118"/>
      <c r="W947" s="118"/>
      <c r="X947" s="118"/>
      <c r="Y947" s="118"/>
      <c r="Z947" s="118"/>
      <c r="AA947" s="118"/>
      <c r="AB947" s="118"/>
      <c r="AC947" s="119"/>
      <c r="AD947" s="119"/>
      <c r="AE947" s="118"/>
      <c r="AF947" s="120"/>
    </row>
    <row r="948" spans="1:32" x14ac:dyDescent="0.2">
      <c r="A948" s="121">
        <v>482</v>
      </c>
      <c r="B948" s="122" t="s">
        <v>1204</v>
      </c>
      <c r="C948" s="123" t="s">
        <v>429</v>
      </c>
      <c r="D948" s="123" t="s">
        <v>16</v>
      </c>
      <c r="E948" s="123" t="s">
        <v>2542</v>
      </c>
      <c r="F948" s="124" t="s">
        <v>2543</v>
      </c>
      <c r="G948" s="124" t="s">
        <v>2664</v>
      </c>
      <c r="H948" s="124" t="s">
        <v>2449</v>
      </c>
      <c r="I948" s="123">
        <v>20.548909999999999</v>
      </c>
      <c r="J948" s="123">
        <v>-101.208692</v>
      </c>
      <c r="K948" s="122"/>
      <c r="L948" s="125" t="str">
        <f t="shared" si="47"/>
        <v>Ver en Google Maps</v>
      </c>
      <c r="M948" s="125">
        <v>2</v>
      </c>
      <c r="N948" s="130"/>
      <c r="O948" s="109"/>
      <c r="P948" s="109"/>
      <c r="Q948" s="109"/>
      <c r="R948" s="109"/>
      <c r="S948" s="109"/>
      <c r="T948" s="109"/>
      <c r="U948" s="109"/>
      <c r="V948" s="109"/>
      <c r="W948" s="109"/>
      <c r="X948" s="109"/>
      <c r="Y948" s="109"/>
      <c r="Z948" s="109"/>
      <c r="AA948" s="109"/>
      <c r="AB948" s="109"/>
      <c r="AC948" s="110"/>
      <c r="AD948" s="110"/>
      <c r="AE948" s="109"/>
      <c r="AF948" s="111"/>
    </row>
    <row r="949" spans="1:32" x14ac:dyDescent="0.2">
      <c r="A949" s="112">
        <v>485</v>
      </c>
      <c r="B949" s="113" t="s">
        <v>1204</v>
      </c>
      <c r="C949" s="114" t="s">
        <v>429</v>
      </c>
      <c r="D949" s="114" t="s">
        <v>16</v>
      </c>
      <c r="E949" s="114" t="s">
        <v>2544</v>
      </c>
      <c r="F949" s="115" t="s">
        <v>2545</v>
      </c>
      <c r="G949" s="115" t="s">
        <v>2665</v>
      </c>
      <c r="H949" s="115" t="s">
        <v>2449</v>
      </c>
      <c r="I949" s="114">
        <v>20.557130000000001</v>
      </c>
      <c r="J949" s="114">
        <v>-101.197332</v>
      </c>
      <c r="K949" s="113"/>
      <c r="L949" s="116" t="str">
        <f t="shared" si="47"/>
        <v>Ver en Google Maps</v>
      </c>
      <c r="M949" s="116">
        <v>1</v>
      </c>
      <c r="N949" s="129"/>
      <c r="O949" s="118"/>
      <c r="P949" s="118"/>
      <c r="Q949" s="118"/>
      <c r="R949" s="118"/>
      <c r="S949" s="118"/>
      <c r="T949" s="118"/>
      <c r="U949" s="118"/>
      <c r="V949" s="118"/>
      <c r="W949" s="118"/>
      <c r="X949" s="118"/>
      <c r="Y949" s="118"/>
      <c r="Z949" s="118"/>
      <c r="AA949" s="118"/>
      <c r="AB949" s="118"/>
      <c r="AC949" s="119"/>
      <c r="AD949" s="119"/>
      <c r="AE949" s="118"/>
      <c r="AF949" s="120"/>
    </row>
    <row r="950" spans="1:32" x14ac:dyDescent="0.2">
      <c r="A950" s="121">
        <v>492</v>
      </c>
      <c r="B950" s="122" t="s">
        <v>1204</v>
      </c>
      <c r="C950" s="123" t="s">
        <v>429</v>
      </c>
      <c r="D950" s="123" t="s">
        <v>16</v>
      </c>
      <c r="E950" s="123" t="s">
        <v>2546</v>
      </c>
      <c r="F950" s="124" t="s">
        <v>2547</v>
      </c>
      <c r="G950" s="124" t="s">
        <v>1786</v>
      </c>
      <c r="H950" s="124" t="s">
        <v>2449</v>
      </c>
      <c r="I950" s="123">
        <v>20.548703</v>
      </c>
      <c r="J950" s="123">
        <v>-101.20005999999999</v>
      </c>
      <c r="K950" s="122"/>
      <c r="L950" s="125" t="str">
        <f t="shared" si="47"/>
        <v>Ver en Google Maps</v>
      </c>
      <c r="M950" s="125">
        <v>1</v>
      </c>
      <c r="N950" s="130"/>
      <c r="O950" s="109"/>
      <c r="P950" s="109"/>
      <c r="Q950" s="109"/>
      <c r="R950" s="109"/>
      <c r="S950" s="109"/>
      <c r="T950" s="109"/>
      <c r="U950" s="109"/>
      <c r="V950" s="109"/>
      <c r="W950" s="109"/>
      <c r="X950" s="109"/>
      <c r="Y950" s="109"/>
      <c r="Z950" s="109"/>
      <c r="AA950" s="109"/>
      <c r="AB950" s="109"/>
      <c r="AC950" s="110"/>
      <c r="AD950" s="110"/>
      <c r="AE950" s="109"/>
      <c r="AF950" s="111"/>
    </row>
    <row r="951" spans="1:32" x14ac:dyDescent="0.2">
      <c r="A951" s="112">
        <v>507</v>
      </c>
      <c r="B951" s="113" t="s">
        <v>1204</v>
      </c>
      <c r="C951" s="114" t="s">
        <v>429</v>
      </c>
      <c r="D951" s="114" t="s">
        <v>15</v>
      </c>
      <c r="E951" s="114" t="s">
        <v>2548</v>
      </c>
      <c r="F951" s="115" t="s">
        <v>2549</v>
      </c>
      <c r="G951" s="115" t="s">
        <v>2310</v>
      </c>
      <c r="H951" s="115" t="s">
        <v>2449</v>
      </c>
      <c r="I951" s="114">
        <v>20.574560000000002</v>
      </c>
      <c r="J951" s="114">
        <v>-101.21684</v>
      </c>
      <c r="K951" s="113"/>
      <c r="L951" s="116" t="str">
        <f t="shared" si="47"/>
        <v>Ver en Google Maps</v>
      </c>
      <c r="M951" s="116">
        <v>2</v>
      </c>
      <c r="N951" s="129"/>
      <c r="O951" s="118"/>
      <c r="P951" s="118"/>
      <c r="Q951" s="118"/>
      <c r="R951" s="118"/>
      <c r="S951" s="118"/>
      <c r="T951" s="118"/>
      <c r="U951" s="118"/>
      <c r="V951" s="118"/>
      <c r="W951" s="118"/>
      <c r="X951" s="118"/>
      <c r="Y951" s="118"/>
      <c r="Z951" s="118"/>
      <c r="AA951" s="118"/>
      <c r="AB951" s="118"/>
      <c r="AC951" s="119"/>
      <c r="AD951" s="119"/>
      <c r="AE951" s="118"/>
      <c r="AF951" s="120"/>
    </row>
    <row r="952" spans="1:32" x14ac:dyDescent="0.2">
      <c r="A952" s="121">
        <v>512</v>
      </c>
      <c r="B952" s="122" t="s">
        <v>1204</v>
      </c>
      <c r="C952" s="123" t="s">
        <v>429</v>
      </c>
      <c r="D952" s="123" t="s">
        <v>15</v>
      </c>
      <c r="E952" s="123" t="s">
        <v>2550</v>
      </c>
      <c r="F952" s="124" t="s">
        <v>2551</v>
      </c>
      <c r="G952" s="124" t="s">
        <v>1786</v>
      </c>
      <c r="H952" s="124" t="s">
        <v>2449</v>
      </c>
      <c r="I952" s="123">
        <v>20.54936</v>
      </c>
      <c r="J952" s="123">
        <v>-101.20331</v>
      </c>
      <c r="K952" s="122"/>
      <c r="L952" s="125" t="str">
        <f t="shared" si="47"/>
        <v>Ver en Google Maps</v>
      </c>
      <c r="M952" s="125">
        <v>2</v>
      </c>
      <c r="N952" s="130"/>
      <c r="O952" s="109"/>
      <c r="P952" s="109"/>
      <c r="Q952" s="109"/>
      <c r="R952" s="109"/>
      <c r="S952" s="109"/>
      <c r="T952" s="109"/>
      <c r="U952" s="109"/>
      <c r="V952" s="109"/>
      <c r="W952" s="109"/>
      <c r="X952" s="109"/>
      <c r="Y952" s="109"/>
      <c r="Z952" s="109"/>
      <c r="AA952" s="109"/>
      <c r="AB952" s="109"/>
      <c r="AC952" s="110"/>
      <c r="AD952" s="110"/>
      <c r="AE952" s="109"/>
      <c r="AF952" s="111"/>
    </row>
    <row r="953" spans="1:32" x14ac:dyDescent="0.2">
      <c r="A953" s="112">
        <v>530</v>
      </c>
      <c r="B953" s="113" t="s">
        <v>1204</v>
      </c>
      <c r="C953" s="114" t="s">
        <v>429</v>
      </c>
      <c r="D953" s="114" t="s">
        <v>15</v>
      </c>
      <c r="E953" s="114" t="s">
        <v>2552</v>
      </c>
      <c r="F953" s="115" t="s">
        <v>2553</v>
      </c>
      <c r="G953" s="115" t="s">
        <v>1212</v>
      </c>
      <c r="H953" s="115" t="s">
        <v>2449</v>
      </c>
      <c r="I953" s="114">
        <v>20.572208</v>
      </c>
      <c r="J953" s="114">
        <v>-101.19388600000001</v>
      </c>
      <c r="K953" s="113" t="s">
        <v>139</v>
      </c>
      <c r="L953" s="116" t="str">
        <f t="shared" si="47"/>
        <v>Ver en Google Maps</v>
      </c>
      <c r="M953" s="116">
        <v>2</v>
      </c>
      <c r="N953" s="117">
        <v>45962</v>
      </c>
      <c r="O953" s="118">
        <f>DAY('BD2'!$N953)</f>
        <v>1</v>
      </c>
      <c r="P953" s="118">
        <f>MONTH('BD2'!$N953)</f>
        <v>11</v>
      </c>
      <c r="Q953" s="118">
        <f>YEAR('BD2'!$N953)</f>
        <v>2025</v>
      </c>
      <c r="R953" s="118">
        <v>2</v>
      </c>
      <c r="S953" s="118" t="s">
        <v>934</v>
      </c>
      <c r="T953" s="118" t="s">
        <v>934</v>
      </c>
      <c r="U953" s="118" t="s">
        <v>934</v>
      </c>
      <c r="V953" s="118" t="s">
        <v>934</v>
      </c>
      <c r="W953" s="118" t="s">
        <v>934</v>
      </c>
      <c r="X953" s="118" t="s">
        <v>934</v>
      </c>
      <c r="Y953" s="118" t="s">
        <v>934</v>
      </c>
      <c r="Z953" s="118" t="s">
        <v>934</v>
      </c>
      <c r="AA953" s="118">
        <v>0</v>
      </c>
      <c r="AB953" s="118">
        <v>0</v>
      </c>
      <c r="AC953" s="119" t="s">
        <v>3021</v>
      </c>
      <c r="AD953" s="119" t="s">
        <v>957</v>
      </c>
      <c r="AE953" s="118">
        <f t="shared" si="45"/>
        <v>0</v>
      </c>
      <c r="AF953" s="120" t="str">
        <f t="shared" si="46"/>
        <v>Crítico</v>
      </c>
    </row>
    <row r="954" spans="1:32" x14ac:dyDescent="0.2">
      <c r="A954" s="121">
        <v>542</v>
      </c>
      <c r="B954" s="122" t="s">
        <v>1204</v>
      </c>
      <c r="C954" s="123" t="s">
        <v>429</v>
      </c>
      <c r="D954" s="123" t="s">
        <v>17</v>
      </c>
      <c r="E954" s="123" t="s">
        <v>2554</v>
      </c>
      <c r="F954" s="124" t="s">
        <v>2555</v>
      </c>
      <c r="G954" s="124" t="s">
        <v>2666</v>
      </c>
      <c r="H954" s="124" t="s">
        <v>2449</v>
      </c>
      <c r="I954" s="123">
        <v>20.552575999999998</v>
      </c>
      <c r="J954" s="123">
        <v>-101.19684100000001</v>
      </c>
      <c r="K954" s="122"/>
      <c r="L954" s="125" t="str">
        <f t="shared" si="47"/>
        <v>Ver en Google Maps</v>
      </c>
      <c r="M954" s="125">
        <v>1</v>
      </c>
      <c r="N954" s="130"/>
      <c r="O954" s="109"/>
      <c r="P954" s="109"/>
      <c r="Q954" s="109"/>
      <c r="R954" s="109"/>
      <c r="S954" s="109"/>
      <c r="T954" s="109"/>
      <c r="U954" s="109"/>
      <c r="V954" s="109"/>
      <c r="W954" s="109"/>
      <c r="X954" s="109"/>
      <c r="Y954" s="109"/>
      <c r="Z954" s="109"/>
      <c r="AA954" s="109"/>
      <c r="AB954" s="109"/>
      <c r="AC954" s="110"/>
      <c r="AD954" s="110"/>
      <c r="AE954" s="109"/>
      <c r="AF954" s="111"/>
    </row>
    <row r="955" spans="1:32" x14ac:dyDescent="0.2">
      <c r="A955" s="112">
        <v>546</v>
      </c>
      <c r="B955" s="113" t="s">
        <v>1204</v>
      </c>
      <c r="C955" s="114" t="s">
        <v>429</v>
      </c>
      <c r="D955" s="114" t="s">
        <v>17</v>
      </c>
      <c r="E955" s="114" t="s">
        <v>2556</v>
      </c>
      <c r="F955" s="115" t="s">
        <v>2557</v>
      </c>
      <c r="G955" s="115" t="s">
        <v>2667</v>
      </c>
      <c r="H955" s="115" t="s">
        <v>2449</v>
      </c>
      <c r="I955" s="114">
        <v>20.565064</v>
      </c>
      <c r="J955" s="114">
        <v>-101.21736199999999</v>
      </c>
      <c r="K955" s="113"/>
      <c r="L955" s="116" t="str">
        <f t="shared" si="47"/>
        <v>Ver en Google Maps</v>
      </c>
      <c r="M955" s="116">
        <v>1</v>
      </c>
      <c r="N955" s="129"/>
      <c r="O955" s="118"/>
      <c r="P955" s="118"/>
      <c r="Q955" s="118"/>
      <c r="R955" s="118"/>
      <c r="S955" s="118"/>
      <c r="T955" s="118"/>
      <c r="U955" s="118"/>
      <c r="V955" s="118"/>
      <c r="W955" s="118"/>
      <c r="X955" s="118"/>
      <c r="Y955" s="118"/>
      <c r="Z955" s="118"/>
      <c r="AA955" s="118"/>
      <c r="AB955" s="118"/>
      <c r="AC955" s="119"/>
      <c r="AD955" s="119"/>
      <c r="AE955" s="118"/>
      <c r="AF955" s="120"/>
    </row>
    <row r="956" spans="1:32" x14ac:dyDescent="0.2">
      <c r="A956" s="121">
        <v>548</v>
      </c>
      <c r="B956" s="122" t="s">
        <v>1204</v>
      </c>
      <c r="C956" s="123" t="s">
        <v>429</v>
      </c>
      <c r="D956" s="123" t="s">
        <v>17</v>
      </c>
      <c r="E956" s="123" t="s">
        <v>2558</v>
      </c>
      <c r="F956" s="124" t="s">
        <v>2559</v>
      </c>
      <c r="G956" s="124" t="s">
        <v>2668</v>
      </c>
      <c r="H956" s="124" t="s">
        <v>2449</v>
      </c>
      <c r="I956" s="123">
        <v>20.579291000000001</v>
      </c>
      <c r="J956" s="123">
        <v>-101.214769</v>
      </c>
      <c r="K956" s="122"/>
      <c r="L956" s="125" t="str">
        <f t="shared" si="47"/>
        <v>Ver en Google Maps</v>
      </c>
      <c r="M956" s="125">
        <v>1</v>
      </c>
      <c r="N956" s="130"/>
      <c r="O956" s="109"/>
      <c r="P956" s="109"/>
      <c r="Q956" s="109"/>
      <c r="R956" s="109"/>
      <c r="S956" s="109"/>
      <c r="T956" s="109"/>
      <c r="U956" s="109"/>
      <c r="V956" s="109"/>
      <c r="W956" s="109"/>
      <c r="X956" s="109"/>
      <c r="Y956" s="109"/>
      <c r="Z956" s="109"/>
      <c r="AA956" s="109"/>
      <c r="AB956" s="109"/>
      <c r="AC956" s="110"/>
      <c r="AD956" s="110"/>
      <c r="AE956" s="109"/>
      <c r="AF956" s="111"/>
    </row>
    <row r="957" spans="1:32" x14ac:dyDescent="0.2">
      <c r="A957" s="112">
        <v>574</v>
      </c>
      <c r="B957" s="113" t="s">
        <v>1204</v>
      </c>
      <c r="C957" s="114" t="s">
        <v>350</v>
      </c>
      <c r="D957" s="114" t="s">
        <v>404</v>
      </c>
      <c r="E957" s="114" t="s">
        <v>2560</v>
      </c>
      <c r="F957" s="115" t="s">
        <v>2561</v>
      </c>
      <c r="G957" s="115" t="s">
        <v>2641</v>
      </c>
      <c r="H957" s="115" t="s">
        <v>2449</v>
      </c>
      <c r="I957" s="114">
        <v>20.58201</v>
      </c>
      <c r="J957" s="114">
        <v>-101.198156</v>
      </c>
      <c r="K957" s="113" t="s">
        <v>139</v>
      </c>
      <c r="L957" s="116" t="str">
        <f t="shared" si="47"/>
        <v>Ver en Google Maps</v>
      </c>
      <c r="M957" s="116">
        <v>1</v>
      </c>
      <c r="N957" s="117">
        <v>45962</v>
      </c>
      <c r="O957" s="118">
        <f>DAY('BD2'!$N957)</f>
        <v>1</v>
      </c>
      <c r="P957" s="118">
        <f>MONTH('BD2'!$N957)</f>
        <v>11</v>
      </c>
      <c r="Q957" s="118">
        <f>YEAR('BD2'!$N957)</f>
        <v>2025</v>
      </c>
      <c r="R957" s="118">
        <v>2</v>
      </c>
      <c r="S957" s="118" t="s">
        <v>138</v>
      </c>
      <c r="T957" s="118" t="s">
        <v>138</v>
      </c>
      <c r="U957" s="118" t="s">
        <v>138</v>
      </c>
      <c r="V957" s="118" t="s">
        <v>138</v>
      </c>
      <c r="W957" s="118" t="s">
        <v>138</v>
      </c>
      <c r="X957" s="118" t="s">
        <v>138</v>
      </c>
      <c r="Y957" s="118" t="s">
        <v>138</v>
      </c>
      <c r="Z957" s="118" t="str">
        <f>IF('BD2'!$AA957 &lt; 14, "no", "si")</f>
        <v>si</v>
      </c>
      <c r="AA957" s="118">
        <v>102</v>
      </c>
      <c r="AB957" s="118">
        <v>114</v>
      </c>
      <c r="AC957" s="119" t="s">
        <v>3023</v>
      </c>
      <c r="AD957" s="119" t="s">
        <v>957</v>
      </c>
      <c r="AE957" s="118">
        <f t="shared" si="45"/>
        <v>8</v>
      </c>
      <c r="AF957" s="120" t="str">
        <f t="shared" si="46"/>
        <v>Estable</v>
      </c>
    </row>
    <row r="958" spans="1:32" x14ac:dyDescent="0.2">
      <c r="A958" s="121">
        <v>576</v>
      </c>
      <c r="B958" s="122" t="s">
        <v>1204</v>
      </c>
      <c r="C958" s="123" t="s">
        <v>429</v>
      </c>
      <c r="D958" s="123" t="s">
        <v>17</v>
      </c>
      <c r="E958" s="123" t="s">
        <v>2562</v>
      </c>
      <c r="F958" s="124" t="s">
        <v>2563</v>
      </c>
      <c r="G958" s="124" t="s">
        <v>2669</v>
      </c>
      <c r="H958" s="124" t="s">
        <v>2449</v>
      </c>
      <c r="I958" s="123">
        <v>20.549841000000001</v>
      </c>
      <c r="J958" s="123">
        <v>-101.19877099999999</v>
      </c>
      <c r="K958" s="122"/>
      <c r="L958" s="125" t="str">
        <f t="shared" si="47"/>
        <v>Ver en Google Maps</v>
      </c>
      <c r="M958" s="125">
        <v>1</v>
      </c>
      <c r="N958" s="130"/>
      <c r="O958" s="109"/>
      <c r="P958" s="109"/>
      <c r="Q958" s="109"/>
      <c r="R958" s="109"/>
      <c r="S958" s="109"/>
      <c r="T958" s="109"/>
      <c r="U958" s="109"/>
      <c r="V958" s="109"/>
      <c r="W958" s="109"/>
      <c r="X958" s="109"/>
      <c r="Y958" s="109"/>
      <c r="Z958" s="109"/>
      <c r="AA958" s="109"/>
      <c r="AB958" s="109"/>
      <c r="AC958" s="110"/>
      <c r="AD958" s="110"/>
      <c r="AE958" s="109"/>
      <c r="AF958" s="111"/>
    </row>
    <row r="959" spans="1:32" x14ac:dyDescent="0.2">
      <c r="A959" s="112">
        <v>597</v>
      </c>
      <c r="B959" s="113" t="s">
        <v>1204</v>
      </c>
      <c r="C959" s="114" t="s">
        <v>429</v>
      </c>
      <c r="D959" s="114" t="s">
        <v>17</v>
      </c>
      <c r="E959" s="114" t="s">
        <v>2564</v>
      </c>
      <c r="F959" s="115" t="s">
        <v>2565</v>
      </c>
      <c r="G959" s="115" t="s">
        <v>2670</v>
      </c>
      <c r="H959" s="115" t="s">
        <v>2449</v>
      </c>
      <c r="I959" s="114">
        <v>20.556719999999999</v>
      </c>
      <c r="J959" s="114">
        <v>-101.19102599999999</v>
      </c>
      <c r="K959" s="113"/>
      <c r="L959" s="116" t="str">
        <f t="shared" si="47"/>
        <v>Ver en Google Maps</v>
      </c>
      <c r="M959" s="116">
        <v>1</v>
      </c>
      <c r="N959" s="129"/>
      <c r="O959" s="118"/>
      <c r="P959" s="118"/>
      <c r="Q959" s="118"/>
      <c r="R959" s="118"/>
      <c r="S959" s="118"/>
      <c r="T959" s="118"/>
      <c r="U959" s="118"/>
      <c r="V959" s="118"/>
      <c r="W959" s="118"/>
      <c r="X959" s="118"/>
      <c r="Y959" s="118"/>
      <c r="Z959" s="118"/>
      <c r="AA959" s="118"/>
      <c r="AB959" s="118"/>
      <c r="AC959" s="119"/>
      <c r="AD959" s="119"/>
      <c r="AE959" s="118"/>
      <c r="AF959" s="120"/>
    </row>
    <row r="960" spans="1:32" x14ac:dyDescent="0.2">
      <c r="A960" s="121">
        <v>603</v>
      </c>
      <c r="B960" s="122" t="s">
        <v>1204</v>
      </c>
      <c r="C960" s="123" t="s">
        <v>429</v>
      </c>
      <c r="D960" s="123" t="s">
        <v>17</v>
      </c>
      <c r="E960" s="123" t="s">
        <v>2566</v>
      </c>
      <c r="F960" s="124" t="s">
        <v>2567</v>
      </c>
      <c r="G960" s="124" t="s">
        <v>2671</v>
      </c>
      <c r="H960" s="124" t="s">
        <v>2449</v>
      </c>
      <c r="I960" s="123">
        <v>20.553578000000002</v>
      </c>
      <c r="J960" s="123">
        <v>-101.21917999999999</v>
      </c>
      <c r="K960" s="122"/>
      <c r="L960" s="125" t="str">
        <f t="shared" si="47"/>
        <v>Ver en Google Maps</v>
      </c>
      <c r="M960" s="125">
        <v>1</v>
      </c>
      <c r="N960" s="130"/>
      <c r="O960" s="109"/>
      <c r="P960" s="109"/>
      <c r="Q960" s="109"/>
      <c r="R960" s="109"/>
      <c r="S960" s="109"/>
      <c r="T960" s="109"/>
      <c r="U960" s="109"/>
      <c r="V960" s="109"/>
      <c r="W960" s="109"/>
      <c r="X960" s="109"/>
      <c r="Y960" s="109"/>
      <c r="Z960" s="109"/>
      <c r="AA960" s="109"/>
      <c r="AB960" s="109"/>
      <c r="AC960" s="110"/>
      <c r="AD960" s="110"/>
      <c r="AE960" s="109"/>
      <c r="AF960" s="111"/>
    </row>
    <row r="961" spans="1:32" x14ac:dyDescent="0.2">
      <c r="A961" s="112">
        <v>605</v>
      </c>
      <c r="B961" s="113" t="s">
        <v>1204</v>
      </c>
      <c r="C961" s="114" t="s">
        <v>429</v>
      </c>
      <c r="D961" s="114" t="s">
        <v>17</v>
      </c>
      <c r="E961" s="114" t="s">
        <v>2568</v>
      </c>
      <c r="F961" s="115" t="s">
        <v>2569</v>
      </c>
      <c r="G961" s="115" t="s">
        <v>2672</v>
      </c>
      <c r="H961" s="115" t="s">
        <v>2449</v>
      </c>
      <c r="I961" s="114">
        <v>20.555686000000001</v>
      </c>
      <c r="J961" s="114">
        <v>-101.20978700000001</v>
      </c>
      <c r="K961" s="113"/>
      <c r="L961" s="116" t="str">
        <f t="shared" si="47"/>
        <v>Ver en Google Maps</v>
      </c>
      <c r="M961" s="116">
        <v>1</v>
      </c>
      <c r="N961" s="129"/>
      <c r="O961" s="118"/>
      <c r="P961" s="118"/>
      <c r="Q961" s="118"/>
      <c r="R961" s="118"/>
      <c r="S961" s="118"/>
      <c r="T961" s="118"/>
      <c r="U961" s="118"/>
      <c r="V961" s="118"/>
      <c r="W961" s="118"/>
      <c r="X961" s="118"/>
      <c r="Y961" s="118"/>
      <c r="Z961" s="118"/>
      <c r="AA961" s="118"/>
      <c r="AB961" s="118"/>
      <c r="AC961" s="119"/>
      <c r="AD961" s="119"/>
      <c r="AE961" s="118"/>
      <c r="AF961" s="120"/>
    </row>
    <row r="962" spans="1:32" x14ac:dyDescent="0.2">
      <c r="A962" s="121">
        <v>643</v>
      </c>
      <c r="B962" s="122" t="s">
        <v>1204</v>
      </c>
      <c r="C962" s="123" t="s">
        <v>429</v>
      </c>
      <c r="D962" s="123" t="s">
        <v>16</v>
      </c>
      <c r="E962" s="123" t="s">
        <v>2570</v>
      </c>
      <c r="F962" s="124" t="s">
        <v>2571</v>
      </c>
      <c r="G962" s="124" t="s">
        <v>2668</v>
      </c>
      <c r="H962" s="124" t="s">
        <v>2449</v>
      </c>
      <c r="I962" s="123">
        <v>20.578499999999998</v>
      </c>
      <c r="J962" s="123">
        <v>-101.21536</v>
      </c>
      <c r="K962" s="122"/>
      <c r="L962" s="125" t="str">
        <f t="shared" si="47"/>
        <v>Ver en Google Maps</v>
      </c>
      <c r="M962" s="125">
        <v>1</v>
      </c>
      <c r="N962" s="130"/>
      <c r="O962" s="109"/>
      <c r="P962" s="109"/>
      <c r="Q962" s="109"/>
      <c r="R962" s="109"/>
      <c r="S962" s="109"/>
      <c r="T962" s="109"/>
      <c r="U962" s="109"/>
      <c r="V962" s="109"/>
      <c r="W962" s="109"/>
      <c r="X962" s="109"/>
      <c r="Y962" s="109"/>
      <c r="Z962" s="109"/>
      <c r="AA962" s="109"/>
      <c r="AB962" s="109"/>
      <c r="AC962" s="110"/>
      <c r="AD962" s="110"/>
      <c r="AE962" s="109"/>
      <c r="AF962" s="111"/>
    </row>
    <row r="963" spans="1:32" x14ac:dyDescent="0.2">
      <c r="A963" s="112">
        <v>644</v>
      </c>
      <c r="B963" s="113" t="s">
        <v>1204</v>
      </c>
      <c r="C963" s="114" t="s">
        <v>429</v>
      </c>
      <c r="D963" s="114" t="s">
        <v>16</v>
      </c>
      <c r="E963" s="114" t="s">
        <v>2572</v>
      </c>
      <c r="F963" s="115" t="s">
        <v>2573</v>
      </c>
      <c r="G963" s="115" t="s">
        <v>2673</v>
      </c>
      <c r="H963" s="115" t="s">
        <v>2449</v>
      </c>
      <c r="I963" s="114">
        <v>20.565117999999998</v>
      </c>
      <c r="J963" s="114">
        <v>-101.188423</v>
      </c>
      <c r="K963" s="113"/>
      <c r="L963" s="116" t="str">
        <f t="shared" si="47"/>
        <v>Ver en Google Maps</v>
      </c>
      <c r="M963" s="116">
        <v>2</v>
      </c>
      <c r="N963" s="129"/>
      <c r="O963" s="118"/>
      <c r="P963" s="118"/>
      <c r="Q963" s="118"/>
      <c r="R963" s="118"/>
      <c r="S963" s="118"/>
      <c r="T963" s="118"/>
      <c r="U963" s="118"/>
      <c r="V963" s="118"/>
      <c r="W963" s="118"/>
      <c r="X963" s="118"/>
      <c r="Y963" s="118"/>
      <c r="Z963" s="118"/>
      <c r="AA963" s="118"/>
      <c r="AB963" s="118"/>
      <c r="AC963" s="119"/>
      <c r="AD963" s="119"/>
      <c r="AE963" s="118"/>
      <c r="AF963" s="120"/>
    </row>
    <row r="964" spans="1:32" x14ac:dyDescent="0.2">
      <c r="A964" s="121">
        <v>645</v>
      </c>
      <c r="B964" s="122" t="s">
        <v>1204</v>
      </c>
      <c r="C964" s="123" t="s">
        <v>429</v>
      </c>
      <c r="D964" s="123" t="s">
        <v>16</v>
      </c>
      <c r="E964" s="123" t="s">
        <v>2574</v>
      </c>
      <c r="F964" s="124" t="s">
        <v>2575</v>
      </c>
      <c r="G964" s="124" t="s">
        <v>2640</v>
      </c>
      <c r="H964" s="124" t="s">
        <v>2449</v>
      </c>
      <c r="I964" s="123">
        <v>20.571905999999998</v>
      </c>
      <c r="J964" s="123">
        <v>-101.192876</v>
      </c>
      <c r="K964" s="122" t="s">
        <v>139</v>
      </c>
      <c r="L964" s="125" t="str">
        <f t="shared" si="47"/>
        <v>Ver en Google Maps</v>
      </c>
      <c r="M964" s="125">
        <v>2</v>
      </c>
      <c r="N964" s="108">
        <v>45962</v>
      </c>
      <c r="O964" s="109">
        <f>DAY('BD2'!$N964)</f>
        <v>1</v>
      </c>
      <c r="P964" s="109">
        <f>MONTH('BD2'!$N964)</f>
        <v>11</v>
      </c>
      <c r="Q964" s="109">
        <f>YEAR('BD2'!$N964)</f>
        <v>2025</v>
      </c>
      <c r="R964" s="109">
        <v>2</v>
      </c>
      <c r="S964" s="109" t="s">
        <v>138</v>
      </c>
      <c r="T964" s="109" t="s">
        <v>934</v>
      </c>
      <c r="U964" s="109" t="s">
        <v>138</v>
      </c>
      <c r="V964" s="109" t="s">
        <v>934</v>
      </c>
      <c r="W964" s="109" t="s">
        <v>934</v>
      </c>
      <c r="X964" s="109" t="s">
        <v>934</v>
      </c>
      <c r="Y964" s="109" t="s">
        <v>934</v>
      </c>
      <c r="Z964" s="109" t="str">
        <f>IF('BD2'!$AA964 &lt; 14, "no", "si")</f>
        <v>no</v>
      </c>
      <c r="AA964" s="109">
        <v>0</v>
      </c>
      <c r="AB964" s="109">
        <v>0</v>
      </c>
      <c r="AC964" s="110" t="s">
        <v>3136</v>
      </c>
      <c r="AD964" s="110" t="s">
        <v>957</v>
      </c>
      <c r="AE964" s="109">
        <f t="shared" si="45"/>
        <v>2</v>
      </c>
      <c r="AF964" s="111" t="str">
        <f t="shared" ref="AF964:AF1027" si="48">IF(AE964=8,"Estable",(IF(AE964=7,"Funcional con observaciones", (IF(AE964=6,"Funcional con observaciones",(IF(AE964=5,"Rendimiento bajo",(IF(AE964=4,"Parcialmente funcional",(IF(AE964=3,"Parcialmente funcional",(IF(AE964=2,"Inoperativo",(IF(AE964=1,"Inoperativo","Crítico")))))))))))))))</f>
        <v>Inoperativo</v>
      </c>
    </row>
    <row r="965" spans="1:32" x14ac:dyDescent="0.2">
      <c r="A965" s="112">
        <v>660</v>
      </c>
      <c r="B965" s="113" t="s">
        <v>1204</v>
      </c>
      <c r="C965" s="114" t="s">
        <v>429</v>
      </c>
      <c r="D965" s="114" t="s">
        <v>16</v>
      </c>
      <c r="E965" s="114" t="s">
        <v>2576</v>
      </c>
      <c r="F965" s="115" t="s">
        <v>2577</v>
      </c>
      <c r="G965" s="115" t="s">
        <v>1242</v>
      </c>
      <c r="H965" s="115" t="s">
        <v>2449</v>
      </c>
      <c r="I965" s="114">
        <v>20.553737000000002</v>
      </c>
      <c r="J965" s="114">
        <v>-101.21882100000001</v>
      </c>
      <c r="K965" s="113"/>
      <c r="L965" s="116" t="str">
        <f t="shared" si="47"/>
        <v>Ver en Google Maps</v>
      </c>
      <c r="M965" s="116">
        <v>1</v>
      </c>
      <c r="N965" s="129"/>
      <c r="O965" s="118"/>
      <c r="P965" s="118"/>
      <c r="Q965" s="118"/>
      <c r="R965" s="118"/>
      <c r="S965" s="118"/>
      <c r="T965" s="118"/>
      <c r="U965" s="118"/>
      <c r="V965" s="118"/>
      <c r="W965" s="118"/>
      <c r="X965" s="118"/>
      <c r="Y965" s="118"/>
      <c r="Z965" s="118"/>
      <c r="AA965" s="118"/>
      <c r="AB965" s="118"/>
      <c r="AC965" s="119"/>
      <c r="AD965" s="119"/>
      <c r="AE965" s="118"/>
      <c r="AF965" s="120"/>
    </row>
    <row r="966" spans="1:32" x14ac:dyDescent="0.2">
      <c r="A966" s="121">
        <v>661</v>
      </c>
      <c r="B966" s="122" t="s">
        <v>1204</v>
      </c>
      <c r="C966" s="123" t="s">
        <v>429</v>
      </c>
      <c r="D966" s="123" t="s">
        <v>16</v>
      </c>
      <c r="E966" s="123" t="s">
        <v>2578</v>
      </c>
      <c r="F966" s="124" t="s">
        <v>2579</v>
      </c>
      <c r="G966" s="124" t="s">
        <v>2651</v>
      </c>
      <c r="H966" s="124" t="s">
        <v>2449</v>
      </c>
      <c r="I966" s="123">
        <v>20.554683000000001</v>
      </c>
      <c r="J966" s="123">
        <v>-101.227311</v>
      </c>
      <c r="K966" s="122"/>
      <c r="L966" s="125" t="str">
        <f t="shared" si="47"/>
        <v>Ver en Google Maps</v>
      </c>
      <c r="M966" s="125">
        <v>2</v>
      </c>
      <c r="N966" s="130"/>
      <c r="O966" s="109"/>
      <c r="P966" s="109"/>
      <c r="Q966" s="109"/>
      <c r="R966" s="109"/>
      <c r="S966" s="109"/>
      <c r="T966" s="109"/>
      <c r="U966" s="109"/>
      <c r="V966" s="109"/>
      <c r="W966" s="109"/>
      <c r="X966" s="109"/>
      <c r="Y966" s="109"/>
      <c r="Z966" s="109"/>
      <c r="AA966" s="109"/>
      <c r="AB966" s="109"/>
      <c r="AC966" s="110"/>
      <c r="AD966" s="110"/>
      <c r="AE966" s="109"/>
      <c r="AF966" s="111"/>
    </row>
    <row r="967" spans="1:32" x14ac:dyDescent="0.2">
      <c r="A967" s="112">
        <v>662</v>
      </c>
      <c r="B967" s="113" t="s">
        <v>1204</v>
      </c>
      <c r="C967" s="114" t="s">
        <v>429</v>
      </c>
      <c r="D967" s="114" t="s">
        <v>16</v>
      </c>
      <c r="E967" s="114" t="s">
        <v>2580</v>
      </c>
      <c r="F967" s="115" t="s">
        <v>2581</v>
      </c>
      <c r="G967" s="115" t="s">
        <v>2640</v>
      </c>
      <c r="H967" s="115" t="s">
        <v>2449</v>
      </c>
      <c r="I967" s="114">
        <v>20.567224</v>
      </c>
      <c r="J967" s="114">
        <v>-101.201489</v>
      </c>
      <c r="K967" s="113"/>
      <c r="L967" s="116" t="str">
        <f t="shared" si="47"/>
        <v>Ver en Google Maps</v>
      </c>
      <c r="M967" s="116">
        <v>2</v>
      </c>
      <c r="N967" s="129"/>
      <c r="O967" s="118"/>
      <c r="P967" s="118"/>
      <c r="Q967" s="118"/>
      <c r="R967" s="118"/>
      <c r="S967" s="118"/>
      <c r="T967" s="118"/>
      <c r="U967" s="118"/>
      <c r="V967" s="118"/>
      <c r="W967" s="118"/>
      <c r="X967" s="118"/>
      <c r="Y967" s="118"/>
      <c r="Z967" s="118"/>
      <c r="AA967" s="118"/>
      <c r="AB967" s="118"/>
      <c r="AC967" s="119"/>
      <c r="AD967" s="119"/>
      <c r="AE967" s="118"/>
      <c r="AF967" s="120"/>
    </row>
    <row r="968" spans="1:32" x14ac:dyDescent="0.2">
      <c r="A968" s="121">
        <v>677</v>
      </c>
      <c r="B968" s="122" t="s">
        <v>1204</v>
      </c>
      <c r="C968" s="123" t="s">
        <v>429</v>
      </c>
      <c r="D968" s="123" t="s">
        <v>16</v>
      </c>
      <c r="E968" s="123" t="s">
        <v>2582</v>
      </c>
      <c r="F968" s="124" t="s">
        <v>2583</v>
      </c>
      <c r="G968" s="124" t="s">
        <v>2674</v>
      </c>
      <c r="H968" s="124" t="s">
        <v>2449</v>
      </c>
      <c r="I968" s="123">
        <v>20.562560000000001</v>
      </c>
      <c r="J968" s="123">
        <v>-101.19156</v>
      </c>
      <c r="K968" s="122"/>
      <c r="L968" s="125" t="str">
        <f t="shared" si="47"/>
        <v>Ver en Google Maps</v>
      </c>
      <c r="M968" s="125">
        <v>2</v>
      </c>
      <c r="N968" s="130"/>
      <c r="O968" s="109"/>
      <c r="P968" s="109"/>
      <c r="Q968" s="109"/>
      <c r="R968" s="109"/>
      <c r="S968" s="109"/>
      <c r="T968" s="109"/>
      <c r="U968" s="109"/>
      <c r="V968" s="109"/>
      <c r="W968" s="109"/>
      <c r="X968" s="109"/>
      <c r="Y968" s="109"/>
      <c r="Z968" s="109"/>
      <c r="AA968" s="109"/>
      <c r="AB968" s="109"/>
      <c r="AC968" s="110"/>
      <c r="AD968" s="110"/>
      <c r="AE968" s="109"/>
      <c r="AF968" s="111"/>
    </row>
    <row r="969" spans="1:32" x14ac:dyDescent="0.2">
      <c r="A969" s="112">
        <v>678</v>
      </c>
      <c r="B969" s="113" t="s">
        <v>1204</v>
      </c>
      <c r="C969" s="114" t="s">
        <v>429</v>
      </c>
      <c r="D969" s="114" t="s">
        <v>16</v>
      </c>
      <c r="E969" s="114" t="s">
        <v>2584</v>
      </c>
      <c r="F969" s="115" t="s">
        <v>2585</v>
      </c>
      <c r="G969" s="115" t="s">
        <v>2675</v>
      </c>
      <c r="H969" s="115" t="s">
        <v>2449</v>
      </c>
      <c r="I969" s="114">
        <v>20.538961</v>
      </c>
      <c r="J969" s="114">
        <v>-101.207762</v>
      </c>
      <c r="K969" s="113"/>
      <c r="L969" s="116" t="str">
        <f t="shared" si="47"/>
        <v>Ver en Google Maps</v>
      </c>
      <c r="M969" s="116">
        <v>1</v>
      </c>
      <c r="N969" s="129"/>
      <c r="O969" s="118"/>
      <c r="P969" s="118"/>
      <c r="Q969" s="118"/>
      <c r="R969" s="118"/>
      <c r="S969" s="118"/>
      <c r="T969" s="118"/>
      <c r="U969" s="118"/>
      <c r="V969" s="118"/>
      <c r="W969" s="118"/>
      <c r="X969" s="118"/>
      <c r="Y969" s="118"/>
      <c r="Z969" s="118"/>
      <c r="AA969" s="118"/>
      <c r="AB969" s="118"/>
      <c r="AC969" s="119"/>
      <c r="AD969" s="119"/>
      <c r="AE969" s="118"/>
      <c r="AF969" s="120"/>
    </row>
    <row r="970" spans="1:32" x14ac:dyDescent="0.2">
      <c r="A970" s="121">
        <v>693</v>
      </c>
      <c r="B970" s="122" t="s">
        <v>1204</v>
      </c>
      <c r="C970" s="123" t="s">
        <v>429</v>
      </c>
      <c r="D970" s="123" t="s">
        <v>16</v>
      </c>
      <c r="E970" s="123" t="s">
        <v>2586</v>
      </c>
      <c r="F970" s="124" t="s">
        <v>2587</v>
      </c>
      <c r="G970" s="124" t="s">
        <v>2676</v>
      </c>
      <c r="H970" s="124" t="s">
        <v>2449</v>
      </c>
      <c r="I970" s="123">
        <v>20.557925000000001</v>
      </c>
      <c r="J970" s="123">
        <v>-101.190574</v>
      </c>
      <c r="K970" s="122"/>
      <c r="L970" s="125" t="str">
        <f t="shared" si="47"/>
        <v>Ver en Google Maps</v>
      </c>
      <c r="M970" s="125">
        <v>2</v>
      </c>
      <c r="N970" s="130"/>
      <c r="O970" s="109"/>
      <c r="P970" s="109"/>
      <c r="Q970" s="109"/>
      <c r="R970" s="109"/>
      <c r="S970" s="109"/>
      <c r="T970" s="109"/>
      <c r="U970" s="109"/>
      <c r="V970" s="109"/>
      <c r="W970" s="109"/>
      <c r="X970" s="109"/>
      <c r="Y970" s="109"/>
      <c r="Z970" s="109"/>
      <c r="AA970" s="109"/>
      <c r="AB970" s="109"/>
      <c r="AC970" s="110"/>
      <c r="AD970" s="110"/>
      <c r="AE970" s="109"/>
      <c r="AF970" s="111"/>
    </row>
    <row r="971" spans="1:32" x14ac:dyDescent="0.2">
      <c r="A971" s="112">
        <v>715</v>
      </c>
      <c r="B971" s="113" t="s">
        <v>1204</v>
      </c>
      <c r="C971" s="114" t="s">
        <v>350</v>
      </c>
      <c r="D971" s="114" t="s">
        <v>404</v>
      </c>
      <c r="E971" s="114" t="s">
        <v>2588</v>
      </c>
      <c r="F971" s="115" t="s">
        <v>2589</v>
      </c>
      <c r="G971" s="115" t="s">
        <v>2312</v>
      </c>
      <c r="H971" s="115" t="s">
        <v>2449</v>
      </c>
      <c r="I971" s="114">
        <v>20.581060000000001</v>
      </c>
      <c r="J971" s="114">
        <v>-101.20762000000001</v>
      </c>
      <c r="K971" s="113"/>
      <c r="L971" s="116" t="str">
        <f t="shared" si="47"/>
        <v>Ver en Google Maps</v>
      </c>
      <c r="M971" s="116">
        <v>1</v>
      </c>
      <c r="N971" s="129"/>
      <c r="O971" s="118"/>
      <c r="P971" s="118"/>
      <c r="Q971" s="118"/>
      <c r="R971" s="118"/>
      <c r="S971" s="118"/>
      <c r="T971" s="118"/>
      <c r="U971" s="118"/>
      <c r="V971" s="118"/>
      <c r="W971" s="118"/>
      <c r="X971" s="118"/>
      <c r="Y971" s="118"/>
      <c r="Z971" s="118"/>
      <c r="AA971" s="118"/>
      <c r="AB971" s="118"/>
      <c r="AC971" s="119"/>
      <c r="AD971" s="119"/>
      <c r="AE971" s="118"/>
      <c r="AF971" s="120"/>
    </row>
    <row r="972" spans="1:32" x14ac:dyDescent="0.2">
      <c r="A972" s="121">
        <v>733</v>
      </c>
      <c r="B972" s="122" t="s">
        <v>1204</v>
      </c>
      <c r="C972" s="123" t="s">
        <v>14</v>
      </c>
      <c r="D972" s="123" t="s">
        <v>404</v>
      </c>
      <c r="E972" s="123" t="s">
        <v>2590</v>
      </c>
      <c r="F972" s="124" t="s">
        <v>2591</v>
      </c>
      <c r="G972" s="124" t="s">
        <v>2677</v>
      </c>
      <c r="H972" s="124" t="s">
        <v>2449</v>
      </c>
      <c r="I972" s="123">
        <v>20.574162000000001</v>
      </c>
      <c r="J972" s="123">
        <v>-101.191463</v>
      </c>
      <c r="K972" s="122" t="s">
        <v>139</v>
      </c>
      <c r="L972" s="125" t="str">
        <f t="shared" si="47"/>
        <v>Ver en Google Maps</v>
      </c>
      <c r="M972" s="125">
        <v>2</v>
      </c>
      <c r="N972" s="108">
        <v>45962</v>
      </c>
      <c r="O972" s="109">
        <f>DAY('BD2'!$N972)</f>
        <v>1</v>
      </c>
      <c r="P972" s="109">
        <f>MONTH('BD2'!$N972)</f>
        <v>11</v>
      </c>
      <c r="Q972" s="109">
        <f>YEAR('BD2'!$N972)</f>
        <v>2025</v>
      </c>
      <c r="R972" s="109">
        <v>2</v>
      </c>
      <c r="S972" s="109" t="s">
        <v>138</v>
      </c>
      <c r="T972" s="109" t="s">
        <v>138</v>
      </c>
      <c r="U972" s="109" t="s">
        <v>138</v>
      </c>
      <c r="V972" s="109" t="s">
        <v>138</v>
      </c>
      <c r="W972" s="109" t="s">
        <v>138</v>
      </c>
      <c r="X972" s="109" t="s">
        <v>138</v>
      </c>
      <c r="Y972" s="109" t="s">
        <v>138</v>
      </c>
      <c r="Z972" s="109" t="str">
        <f>IF('BD2'!$AA972 &lt; 14, "no", "si")</f>
        <v>si</v>
      </c>
      <c r="AA972" s="109">
        <v>100</v>
      </c>
      <c r="AB972" s="109">
        <v>84.2</v>
      </c>
      <c r="AC972" s="110" t="s">
        <v>967</v>
      </c>
      <c r="AD972" s="110" t="s">
        <v>957</v>
      </c>
      <c r="AE972" s="109">
        <f t="shared" ref="AE972:AE1022" si="49">COUNTIF(S972:Z972, "si")</f>
        <v>8</v>
      </c>
      <c r="AF972" s="111" t="str">
        <f t="shared" si="48"/>
        <v>Estable</v>
      </c>
    </row>
    <row r="973" spans="1:32" x14ac:dyDescent="0.2">
      <c r="A973" s="112">
        <v>752</v>
      </c>
      <c r="B973" s="113" t="s">
        <v>1204</v>
      </c>
      <c r="C973" s="114" t="s">
        <v>429</v>
      </c>
      <c r="D973" s="114" t="s">
        <v>17</v>
      </c>
      <c r="E973" s="114" t="s">
        <v>2592</v>
      </c>
      <c r="F973" s="115" t="s">
        <v>2593</v>
      </c>
      <c r="G973" s="115" t="s">
        <v>1785</v>
      </c>
      <c r="H973" s="115" t="s">
        <v>2449</v>
      </c>
      <c r="I973" s="114">
        <v>20.558250000000001</v>
      </c>
      <c r="J973" s="114">
        <v>-101.20511</v>
      </c>
      <c r="K973" s="113"/>
      <c r="L973" s="116" t="str">
        <f t="shared" si="47"/>
        <v>Ver en Google Maps</v>
      </c>
      <c r="M973" s="116">
        <v>1</v>
      </c>
      <c r="N973" s="129"/>
      <c r="O973" s="118"/>
      <c r="P973" s="118"/>
      <c r="Q973" s="118"/>
      <c r="R973" s="118"/>
      <c r="S973" s="118"/>
      <c r="T973" s="118"/>
      <c r="U973" s="118"/>
      <c r="V973" s="118"/>
      <c r="W973" s="118"/>
      <c r="X973" s="118"/>
      <c r="Y973" s="118"/>
      <c r="Z973" s="118"/>
      <c r="AA973" s="118"/>
      <c r="AB973" s="118"/>
      <c r="AC973" s="119"/>
      <c r="AD973" s="119"/>
      <c r="AE973" s="118"/>
      <c r="AF973" s="120"/>
    </row>
    <row r="974" spans="1:32" x14ac:dyDescent="0.2">
      <c r="A974" s="121">
        <v>753</v>
      </c>
      <c r="B974" s="122" t="s">
        <v>1204</v>
      </c>
      <c r="C974" s="123" t="s">
        <v>429</v>
      </c>
      <c r="D974" s="123" t="s">
        <v>15</v>
      </c>
      <c r="E974" s="123" t="s">
        <v>2594</v>
      </c>
      <c r="F974" s="124" t="s">
        <v>2595</v>
      </c>
      <c r="G974" s="124" t="s">
        <v>2678</v>
      </c>
      <c r="H974" s="124" t="s">
        <v>2449</v>
      </c>
      <c r="I974" s="123">
        <v>20.559913999999999</v>
      </c>
      <c r="J974" s="123">
        <v>-101.197333</v>
      </c>
      <c r="K974" s="122"/>
      <c r="L974" s="125" t="str">
        <f t="shared" si="47"/>
        <v>Ver en Google Maps</v>
      </c>
      <c r="M974" s="125">
        <v>2</v>
      </c>
      <c r="N974" s="130"/>
      <c r="O974" s="109"/>
      <c r="P974" s="109"/>
      <c r="Q974" s="109"/>
      <c r="R974" s="109"/>
      <c r="S974" s="109"/>
      <c r="T974" s="109"/>
      <c r="U974" s="109"/>
      <c r="V974" s="109"/>
      <c r="W974" s="109"/>
      <c r="X974" s="109"/>
      <c r="Y974" s="109"/>
      <c r="Z974" s="109"/>
      <c r="AA974" s="109"/>
      <c r="AB974" s="109"/>
      <c r="AC974" s="110"/>
      <c r="AD974" s="110"/>
      <c r="AE974" s="109"/>
      <c r="AF974" s="111"/>
    </row>
    <row r="975" spans="1:32" x14ac:dyDescent="0.2">
      <c r="A975" s="112">
        <v>788</v>
      </c>
      <c r="B975" s="113" t="s">
        <v>1204</v>
      </c>
      <c r="C975" s="114" t="s">
        <v>429</v>
      </c>
      <c r="D975" s="114" t="s">
        <v>132</v>
      </c>
      <c r="E975" s="114" t="s">
        <v>2596</v>
      </c>
      <c r="F975" s="115" t="s">
        <v>2597</v>
      </c>
      <c r="G975" s="115" t="s">
        <v>2679</v>
      </c>
      <c r="H975" s="115" t="s">
        <v>2449</v>
      </c>
      <c r="I975" s="114">
        <v>20.556531</v>
      </c>
      <c r="J975" s="114">
        <v>-101.220894</v>
      </c>
      <c r="K975" s="113"/>
      <c r="L975" s="116" t="str">
        <f t="shared" ref="L975:L1040" si="50">HYPERLINK("https://www.google.com/maps?q=" &amp; I975 &amp; "," &amp; J975, "Ver en Google Maps")</f>
        <v>Ver en Google Maps</v>
      </c>
      <c r="M975" s="116">
        <v>2</v>
      </c>
      <c r="N975" s="129"/>
      <c r="O975" s="118"/>
      <c r="P975" s="118"/>
      <c r="Q975" s="118"/>
      <c r="R975" s="118"/>
      <c r="S975" s="118"/>
      <c r="T975" s="118"/>
      <c r="U975" s="118"/>
      <c r="V975" s="118"/>
      <c r="W975" s="118"/>
      <c r="X975" s="118"/>
      <c r="Y975" s="118"/>
      <c r="Z975" s="118"/>
      <c r="AA975" s="118"/>
      <c r="AB975" s="118"/>
      <c r="AC975" s="119"/>
      <c r="AD975" s="119"/>
      <c r="AE975" s="118"/>
      <c r="AF975" s="120"/>
    </row>
    <row r="976" spans="1:32" x14ac:dyDescent="0.2">
      <c r="A976" s="121">
        <v>801</v>
      </c>
      <c r="B976" s="122" t="s">
        <v>1204</v>
      </c>
      <c r="C976" s="123" t="s">
        <v>429</v>
      </c>
      <c r="D976" s="123" t="s">
        <v>132</v>
      </c>
      <c r="E976" s="123" t="s">
        <v>2598</v>
      </c>
      <c r="F976" s="124" t="s">
        <v>2599</v>
      </c>
      <c r="G976" s="124" t="s">
        <v>2649</v>
      </c>
      <c r="H976" s="124" t="s">
        <v>2449</v>
      </c>
      <c r="I976" s="123">
        <v>20.557220000000001</v>
      </c>
      <c r="J976" s="123">
        <v>-101.18300000000001</v>
      </c>
      <c r="K976" s="122"/>
      <c r="L976" s="125" t="str">
        <f t="shared" si="50"/>
        <v>Ver en Google Maps</v>
      </c>
      <c r="M976" s="125">
        <v>2</v>
      </c>
      <c r="N976" s="130"/>
      <c r="O976" s="109"/>
      <c r="P976" s="109"/>
      <c r="Q976" s="109"/>
      <c r="R976" s="109"/>
      <c r="S976" s="109"/>
      <c r="T976" s="109"/>
      <c r="U976" s="109"/>
      <c r="V976" s="109"/>
      <c r="W976" s="109"/>
      <c r="X976" s="109"/>
      <c r="Y976" s="109"/>
      <c r="Z976" s="109"/>
      <c r="AA976" s="109"/>
      <c r="AB976" s="109"/>
      <c r="AC976" s="110"/>
      <c r="AD976" s="110"/>
      <c r="AE976" s="109"/>
      <c r="AF976" s="111"/>
    </row>
    <row r="977" spans="1:32" x14ac:dyDescent="0.2">
      <c r="A977" s="112">
        <v>809</v>
      </c>
      <c r="B977" s="113" t="s">
        <v>1204</v>
      </c>
      <c r="C977" s="114" t="s">
        <v>350</v>
      </c>
      <c r="D977" s="114" t="s">
        <v>404</v>
      </c>
      <c r="E977" s="114" t="s">
        <v>2600</v>
      </c>
      <c r="F977" s="115" t="s">
        <v>2601</v>
      </c>
      <c r="G977" s="115" t="s">
        <v>1785</v>
      </c>
      <c r="H977" s="115" t="s">
        <v>2449</v>
      </c>
      <c r="I977" s="114">
        <v>20.559443999999999</v>
      </c>
      <c r="J977" s="114">
        <v>-101.202836</v>
      </c>
      <c r="K977" s="113"/>
      <c r="L977" s="116" t="str">
        <f t="shared" si="50"/>
        <v>Ver en Google Maps</v>
      </c>
      <c r="M977" s="116">
        <v>1</v>
      </c>
      <c r="N977" s="129"/>
      <c r="O977" s="118"/>
      <c r="P977" s="118"/>
      <c r="Q977" s="118"/>
      <c r="R977" s="118"/>
      <c r="S977" s="118"/>
      <c r="T977" s="118"/>
      <c r="U977" s="118"/>
      <c r="V977" s="118"/>
      <c r="W977" s="118"/>
      <c r="X977" s="118"/>
      <c r="Y977" s="118"/>
      <c r="Z977" s="118"/>
      <c r="AA977" s="118"/>
      <c r="AB977" s="118"/>
      <c r="AC977" s="119"/>
      <c r="AD977" s="119"/>
      <c r="AE977" s="118"/>
      <c r="AF977" s="120"/>
    </row>
    <row r="978" spans="1:32" x14ac:dyDescent="0.2">
      <c r="A978" s="121">
        <v>810</v>
      </c>
      <c r="B978" s="122" t="s">
        <v>1204</v>
      </c>
      <c r="C978" s="123" t="s">
        <v>350</v>
      </c>
      <c r="D978" s="123" t="s">
        <v>404</v>
      </c>
      <c r="E978" s="123" t="s">
        <v>2602</v>
      </c>
      <c r="F978" s="124" t="s">
        <v>2603</v>
      </c>
      <c r="G978" s="124" t="s">
        <v>2680</v>
      </c>
      <c r="H978" s="124" t="s">
        <v>2449</v>
      </c>
      <c r="I978" s="123">
        <v>20.554400000000001</v>
      </c>
      <c r="J978" s="123">
        <v>-101.19996</v>
      </c>
      <c r="K978" s="122"/>
      <c r="L978" s="125" t="str">
        <f t="shared" si="50"/>
        <v>Ver en Google Maps</v>
      </c>
      <c r="M978" s="125">
        <v>1</v>
      </c>
      <c r="N978" s="130"/>
      <c r="O978" s="109"/>
      <c r="P978" s="109"/>
      <c r="Q978" s="109"/>
      <c r="R978" s="109"/>
      <c r="S978" s="109"/>
      <c r="T978" s="109"/>
      <c r="U978" s="109"/>
      <c r="V978" s="109"/>
      <c r="W978" s="109"/>
      <c r="X978" s="109"/>
      <c r="Y978" s="109"/>
      <c r="Z978" s="109"/>
      <c r="AA978" s="109"/>
      <c r="AB978" s="109"/>
      <c r="AC978" s="110"/>
      <c r="AD978" s="110"/>
      <c r="AE978" s="109"/>
      <c r="AF978" s="111"/>
    </row>
    <row r="979" spans="1:32" x14ac:dyDescent="0.2">
      <c r="A979" s="112">
        <v>863</v>
      </c>
      <c r="B979" s="113" t="s">
        <v>1204</v>
      </c>
      <c r="C979" s="114" t="s">
        <v>14</v>
      </c>
      <c r="D979" s="114" t="s">
        <v>404</v>
      </c>
      <c r="E979" s="114" t="s">
        <v>2604</v>
      </c>
      <c r="F979" s="115" t="s">
        <v>2605</v>
      </c>
      <c r="G979" s="115" t="s">
        <v>1231</v>
      </c>
      <c r="H979" s="115" t="s">
        <v>2449</v>
      </c>
      <c r="I979" s="114">
        <v>20.571918</v>
      </c>
      <c r="J979" s="114">
        <v>-101.204093</v>
      </c>
      <c r="K979" s="113"/>
      <c r="L979" s="116" t="str">
        <f t="shared" si="50"/>
        <v>Ver en Google Maps</v>
      </c>
      <c r="M979" s="116">
        <v>1</v>
      </c>
      <c r="N979" s="129"/>
      <c r="O979" s="118"/>
      <c r="P979" s="118"/>
      <c r="Q979" s="118"/>
      <c r="R979" s="118"/>
      <c r="S979" s="118"/>
      <c r="T979" s="118"/>
      <c r="U979" s="118"/>
      <c r="V979" s="118"/>
      <c r="W979" s="118"/>
      <c r="X979" s="118"/>
      <c r="Y979" s="118"/>
      <c r="Z979" s="118"/>
      <c r="AA979" s="118"/>
      <c r="AB979" s="118"/>
      <c r="AC979" s="119"/>
      <c r="AD979" s="119"/>
      <c r="AE979" s="118"/>
      <c r="AF979" s="120"/>
    </row>
    <row r="980" spans="1:32" x14ac:dyDescent="0.2">
      <c r="A980" s="121">
        <v>883</v>
      </c>
      <c r="B980" s="122" t="s">
        <v>1204</v>
      </c>
      <c r="C980" s="123" t="s">
        <v>14</v>
      </c>
      <c r="D980" s="123" t="s">
        <v>404</v>
      </c>
      <c r="E980" s="123" t="s">
        <v>2606</v>
      </c>
      <c r="F980" s="124" t="s">
        <v>2607</v>
      </c>
      <c r="G980" s="124" t="s">
        <v>1231</v>
      </c>
      <c r="H980" s="124" t="s">
        <v>2449</v>
      </c>
      <c r="I980" s="123">
        <v>20.568100000000001</v>
      </c>
      <c r="J980" s="123">
        <v>-101.199</v>
      </c>
      <c r="K980" s="122"/>
      <c r="L980" s="125" t="str">
        <f t="shared" si="50"/>
        <v>Ver en Google Maps</v>
      </c>
      <c r="M980" s="125">
        <v>1</v>
      </c>
      <c r="N980" s="130"/>
      <c r="O980" s="109"/>
      <c r="P980" s="109"/>
      <c r="Q980" s="109"/>
      <c r="R980" s="109"/>
      <c r="S980" s="109"/>
      <c r="T980" s="109"/>
      <c r="U980" s="109"/>
      <c r="V980" s="109"/>
      <c r="W980" s="109"/>
      <c r="X980" s="109"/>
      <c r="Y980" s="109"/>
      <c r="Z980" s="109"/>
      <c r="AA980" s="109"/>
      <c r="AB980" s="109"/>
      <c r="AC980" s="110"/>
      <c r="AD980" s="110"/>
      <c r="AE980" s="109"/>
      <c r="AF980" s="111"/>
    </row>
    <row r="981" spans="1:32" x14ac:dyDescent="0.2">
      <c r="A981" s="112">
        <v>888</v>
      </c>
      <c r="B981" s="113" t="s">
        <v>1204</v>
      </c>
      <c r="C981" s="114" t="s">
        <v>14</v>
      </c>
      <c r="D981" s="114" t="s">
        <v>404</v>
      </c>
      <c r="E981" s="114" t="s">
        <v>2608</v>
      </c>
      <c r="F981" s="115" t="s">
        <v>2609</v>
      </c>
      <c r="G981" s="115" t="s">
        <v>2681</v>
      </c>
      <c r="H981" s="115" t="s">
        <v>2449</v>
      </c>
      <c r="I981" s="114">
        <v>20.588001999999999</v>
      </c>
      <c r="J981" s="114">
        <v>-101.21852699999999</v>
      </c>
      <c r="K981" s="113"/>
      <c r="L981" s="116" t="str">
        <f t="shared" si="50"/>
        <v>Ver en Google Maps</v>
      </c>
      <c r="M981" s="116">
        <v>1</v>
      </c>
      <c r="N981" s="129"/>
      <c r="O981" s="118"/>
      <c r="P981" s="118"/>
      <c r="Q981" s="118"/>
      <c r="R981" s="118"/>
      <c r="S981" s="118"/>
      <c r="T981" s="118"/>
      <c r="U981" s="118"/>
      <c r="V981" s="118"/>
      <c r="W981" s="118"/>
      <c r="X981" s="118"/>
      <c r="Y981" s="118"/>
      <c r="Z981" s="118"/>
      <c r="AA981" s="118"/>
      <c r="AB981" s="118"/>
      <c r="AC981" s="119"/>
      <c r="AD981" s="119"/>
      <c r="AE981" s="118"/>
      <c r="AF981" s="120"/>
    </row>
    <row r="982" spans="1:32" x14ac:dyDescent="0.2">
      <c r="A982" s="121">
        <v>917</v>
      </c>
      <c r="B982" s="122" t="s">
        <v>1204</v>
      </c>
      <c r="C982" s="123" t="s">
        <v>14</v>
      </c>
      <c r="D982" s="123" t="s">
        <v>404</v>
      </c>
      <c r="E982" s="123" t="s">
        <v>2610</v>
      </c>
      <c r="F982" s="124" t="s">
        <v>2611</v>
      </c>
      <c r="G982" s="124" t="s">
        <v>2682</v>
      </c>
      <c r="H982" s="124" t="s">
        <v>2449</v>
      </c>
      <c r="I982" s="123">
        <v>20.594223</v>
      </c>
      <c r="J982" s="123">
        <v>-101.189674</v>
      </c>
      <c r="K982" s="122" t="s">
        <v>139</v>
      </c>
      <c r="L982" s="125" t="str">
        <f t="shared" si="50"/>
        <v>Ver en Google Maps</v>
      </c>
      <c r="M982" s="125">
        <v>1</v>
      </c>
      <c r="N982" s="108">
        <v>45962</v>
      </c>
      <c r="O982" s="109">
        <f>DAY('BD2'!$N982)</f>
        <v>1</v>
      </c>
      <c r="P982" s="109">
        <f>MONTH('BD2'!$N982)</f>
        <v>11</v>
      </c>
      <c r="Q982" s="109">
        <f>YEAR('BD2'!$N982)</f>
        <v>2025</v>
      </c>
      <c r="R982" s="109">
        <v>2</v>
      </c>
      <c r="S982" s="109" t="s">
        <v>138</v>
      </c>
      <c r="T982" s="109" t="s">
        <v>138</v>
      </c>
      <c r="U982" s="109" t="s">
        <v>138</v>
      </c>
      <c r="V982" s="109" t="s">
        <v>138</v>
      </c>
      <c r="W982" s="109" t="s">
        <v>138</v>
      </c>
      <c r="X982" s="109" t="s">
        <v>138</v>
      </c>
      <c r="Y982" s="109" t="s">
        <v>138</v>
      </c>
      <c r="Z982" s="109" t="str">
        <f>IF('BD2'!$AA982 &lt; 14, "no", "si")</f>
        <v>no</v>
      </c>
      <c r="AA982" s="109">
        <v>10.9</v>
      </c>
      <c r="AB982" s="109">
        <v>27</v>
      </c>
      <c r="AC982" s="110" t="s">
        <v>1412</v>
      </c>
      <c r="AD982" s="110" t="s">
        <v>957</v>
      </c>
      <c r="AE982" s="109">
        <f t="shared" si="49"/>
        <v>7</v>
      </c>
      <c r="AF982" s="111" t="str">
        <f t="shared" si="48"/>
        <v>Funcional con observaciones</v>
      </c>
    </row>
    <row r="983" spans="1:32" x14ac:dyDescent="0.2">
      <c r="A983" s="112">
        <v>938</v>
      </c>
      <c r="B983" s="113" t="s">
        <v>1204</v>
      </c>
      <c r="C983" s="114" t="s">
        <v>429</v>
      </c>
      <c r="D983" s="114" t="s">
        <v>132</v>
      </c>
      <c r="E983" s="114" t="s">
        <v>2612</v>
      </c>
      <c r="F983" s="115" t="s">
        <v>2613</v>
      </c>
      <c r="G983" s="115" t="s">
        <v>2683</v>
      </c>
      <c r="H983" s="115" t="s">
        <v>2449</v>
      </c>
      <c r="I983" s="114">
        <v>20.557234000000001</v>
      </c>
      <c r="J983" s="114">
        <v>-101.19852400000001</v>
      </c>
      <c r="K983" s="113"/>
      <c r="L983" s="116" t="str">
        <f t="shared" si="50"/>
        <v>Ver en Google Maps</v>
      </c>
      <c r="M983" s="116">
        <v>3</v>
      </c>
      <c r="N983" s="129"/>
      <c r="O983" s="118"/>
      <c r="P983" s="118"/>
      <c r="Q983" s="118"/>
      <c r="R983" s="118"/>
      <c r="S983" s="118"/>
      <c r="T983" s="118"/>
      <c r="U983" s="118"/>
      <c r="V983" s="118"/>
      <c r="W983" s="118"/>
      <c r="X983" s="118"/>
      <c r="Y983" s="118"/>
      <c r="Z983" s="118"/>
      <c r="AA983" s="118"/>
      <c r="AB983" s="118"/>
      <c r="AC983" s="119"/>
      <c r="AD983" s="119"/>
      <c r="AE983" s="118"/>
      <c r="AF983" s="120"/>
    </row>
    <row r="984" spans="1:32" x14ac:dyDescent="0.2">
      <c r="A984" s="121">
        <v>954</v>
      </c>
      <c r="B984" s="122" t="s">
        <v>1204</v>
      </c>
      <c r="C984" s="123" t="s">
        <v>429</v>
      </c>
      <c r="D984" s="123" t="s">
        <v>132</v>
      </c>
      <c r="E984" s="123" t="s">
        <v>2614</v>
      </c>
      <c r="F984" s="124" t="s">
        <v>2615</v>
      </c>
      <c r="G984" s="124" t="s">
        <v>2684</v>
      </c>
      <c r="H984" s="124" t="s">
        <v>2449</v>
      </c>
      <c r="I984" s="123">
        <v>20.524308000000001</v>
      </c>
      <c r="J984" s="123">
        <v>-101.200052</v>
      </c>
      <c r="K984" s="122"/>
      <c r="L984" s="125" t="str">
        <f t="shared" si="50"/>
        <v>Ver en Google Maps</v>
      </c>
      <c r="M984" s="125">
        <v>2</v>
      </c>
      <c r="N984" s="130"/>
      <c r="O984" s="109"/>
      <c r="P984" s="109"/>
      <c r="Q984" s="109"/>
      <c r="R984" s="109"/>
      <c r="S984" s="109"/>
      <c r="T984" s="109"/>
      <c r="U984" s="109"/>
      <c r="V984" s="109"/>
      <c r="W984" s="109"/>
      <c r="X984" s="109"/>
      <c r="Y984" s="109"/>
      <c r="Z984" s="109"/>
      <c r="AA984" s="109"/>
      <c r="AB984" s="109"/>
      <c r="AC984" s="110"/>
      <c r="AD984" s="110"/>
      <c r="AE984" s="109"/>
      <c r="AF984" s="111"/>
    </row>
    <row r="985" spans="1:32" x14ac:dyDescent="0.2">
      <c r="A985" s="112">
        <v>993</v>
      </c>
      <c r="B985" s="113" t="s">
        <v>1204</v>
      </c>
      <c r="C985" s="114" t="s">
        <v>87</v>
      </c>
      <c r="D985" s="114" t="s">
        <v>805</v>
      </c>
      <c r="E985" s="114" t="s">
        <v>2616</v>
      </c>
      <c r="F985" s="115" t="s">
        <v>2617</v>
      </c>
      <c r="G985" s="115" t="s">
        <v>2685</v>
      </c>
      <c r="H985" s="115" t="s">
        <v>2449</v>
      </c>
      <c r="I985" s="114">
        <v>20.548335999999999</v>
      </c>
      <c r="J985" s="114">
        <v>-101.203763</v>
      </c>
      <c r="K985" s="113"/>
      <c r="L985" s="116" t="str">
        <f t="shared" si="50"/>
        <v>Ver en Google Maps</v>
      </c>
      <c r="M985" s="116">
        <v>2</v>
      </c>
      <c r="N985" s="129"/>
      <c r="O985" s="118"/>
      <c r="P985" s="118"/>
      <c r="Q985" s="118"/>
      <c r="R985" s="118"/>
      <c r="S985" s="118"/>
      <c r="T985" s="118"/>
      <c r="U985" s="118"/>
      <c r="V985" s="118"/>
      <c r="W985" s="118"/>
      <c r="X985" s="118"/>
      <c r="Y985" s="118"/>
      <c r="Z985" s="118"/>
      <c r="AA985" s="118"/>
      <c r="AB985" s="118"/>
      <c r="AC985" s="119"/>
      <c r="AD985" s="119"/>
      <c r="AE985" s="118"/>
      <c r="AF985" s="120"/>
    </row>
    <row r="986" spans="1:32" x14ac:dyDescent="0.2">
      <c r="A986" s="121">
        <v>1007</v>
      </c>
      <c r="B986" s="122" t="s">
        <v>1204</v>
      </c>
      <c r="C986" s="123" t="s">
        <v>87</v>
      </c>
      <c r="D986" s="123" t="s">
        <v>563</v>
      </c>
      <c r="E986" s="123" t="s">
        <v>2618</v>
      </c>
      <c r="F986" s="124" t="s">
        <v>2619</v>
      </c>
      <c r="G986" s="124" t="s">
        <v>2686</v>
      </c>
      <c r="H986" s="124" t="s">
        <v>2449</v>
      </c>
      <c r="I986" s="123">
        <v>20.567720999999999</v>
      </c>
      <c r="J986" s="123">
        <v>-101.182665</v>
      </c>
      <c r="K986" s="122" t="s">
        <v>139</v>
      </c>
      <c r="L986" s="125" t="str">
        <f t="shared" si="50"/>
        <v>Ver en Google Maps</v>
      </c>
      <c r="M986" s="125">
        <v>2</v>
      </c>
      <c r="N986" s="108">
        <v>45962</v>
      </c>
      <c r="O986" s="109">
        <f>DAY('BD2'!$N986)</f>
        <v>1</v>
      </c>
      <c r="P986" s="109">
        <f>MONTH('BD2'!$N986)</f>
        <v>11</v>
      </c>
      <c r="Q986" s="109">
        <f>YEAR('BD2'!$N986)</f>
        <v>2025</v>
      </c>
      <c r="R986" s="109">
        <v>2</v>
      </c>
      <c r="S986" s="109" t="s">
        <v>138</v>
      </c>
      <c r="T986" s="109" t="s">
        <v>934</v>
      </c>
      <c r="U986" s="109" t="s">
        <v>934</v>
      </c>
      <c r="V986" s="109" t="s">
        <v>934</v>
      </c>
      <c r="W986" s="109" t="s">
        <v>934</v>
      </c>
      <c r="X986" s="109" t="s">
        <v>934</v>
      </c>
      <c r="Y986" s="109" t="s">
        <v>934</v>
      </c>
      <c r="Z986" s="109" t="str">
        <f>IF('BD2'!$AA986 &lt; 14, "no", "si")</f>
        <v>no</v>
      </c>
      <c r="AA986" s="109">
        <v>0</v>
      </c>
      <c r="AB986" s="109">
        <v>0</v>
      </c>
      <c r="AC986" s="110" t="s">
        <v>3125</v>
      </c>
      <c r="AD986" s="110" t="s">
        <v>957</v>
      </c>
      <c r="AE986" s="109">
        <f t="shared" si="49"/>
        <v>1</v>
      </c>
      <c r="AF986" s="111" t="str">
        <f t="shared" si="48"/>
        <v>Inoperativo</v>
      </c>
    </row>
    <row r="987" spans="1:32" x14ac:dyDescent="0.2">
      <c r="A987" s="112">
        <v>1020</v>
      </c>
      <c r="B987" s="113" t="s">
        <v>1204</v>
      </c>
      <c r="C987" s="114" t="s">
        <v>87</v>
      </c>
      <c r="D987" s="114" t="s">
        <v>782</v>
      </c>
      <c r="E987" s="114" t="s">
        <v>2620</v>
      </c>
      <c r="F987" s="115" t="s">
        <v>2621</v>
      </c>
      <c r="G987" s="115" t="s">
        <v>2641</v>
      </c>
      <c r="H987" s="115" t="s">
        <v>2449</v>
      </c>
      <c r="I987" s="114">
        <v>20.581654</v>
      </c>
      <c r="J987" s="114">
        <v>-101.197132</v>
      </c>
      <c r="K987" s="113" t="s">
        <v>139</v>
      </c>
      <c r="L987" s="116" t="str">
        <f t="shared" si="50"/>
        <v>Ver en Google Maps</v>
      </c>
      <c r="M987" s="116">
        <v>2</v>
      </c>
      <c r="N987" s="117">
        <v>45962</v>
      </c>
      <c r="O987" s="118">
        <f>DAY('BD2'!$N987)</f>
        <v>1</v>
      </c>
      <c r="P987" s="118">
        <f>MONTH('BD2'!$N987)</f>
        <v>11</v>
      </c>
      <c r="Q987" s="118">
        <f>YEAR('BD2'!$N987)</f>
        <v>2025</v>
      </c>
      <c r="R987" s="118">
        <v>2</v>
      </c>
      <c r="S987" s="118" t="s">
        <v>138</v>
      </c>
      <c r="T987" s="118" t="s">
        <v>138</v>
      </c>
      <c r="U987" s="118" t="s">
        <v>138</v>
      </c>
      <c r="V987" s="118" t="s">
        <v>138</v>
      </c>
      <c r="W987" s="118" t="s">
        <v>138</v>
      </c>
      <c r="X987" s="118" t="s">
        <v>138</v>
      </c>
      <c r="Y987" s="118" t="s">
        <v>138</v>
      </c>
      <c r="Z987" s="118" t="str">
        <f>IF('BD2'!$AA987 &lt; 14, "no", "si")</f>
        <v>si</v>
      </c>
      <c r="AA987" s="118">
        <v>31.1</v>
      </c>
      <c r="AB987" s="118">
        <v>17.5</v>
      </c>
      <c r="AC987" s="119" t="s">
        <v>967</v>
      </c>
      <c r="AD987" s="119" t="s">
        <v>957</v>
      </c>
      <c r="AE987" s="118">
        <f t="shared" si="49"/>
        <v>8</v>
      </c>
      <c r="AF987" s="120" t="str">
        <f t="shared" si="48"/>
        <v>Estable</v>
      </c>
    </row>
    <row r="988" spans="1:32" x14ac:dyDescent="0.2">
      <c r="A988" s="121">
        <v>1043</v>
      </c>
      <c r="B988" s="122" t="s">
        <v>1204</v>
      </c>
      <c r="C988" s="123" t="s">
        <v>87</v>
      </c>
      <c r="D988" s="123" t="s">
        <v>782</v>
      </c>
      <c r="E988" s="123" t="s">
        <v>2622</v>
      </c>
      <c r="F988" s="124" t="s">
        <v>2623</v>
      </c>
      <c r="G988" s="124" t="s">
        <v>2687</v>
      </c>
      <c r="H988" s="124" t="s">
        <v>2449</v>
      </c>
      <c r="I988" s="123">
        <v>20.591002</v>
      </c>
      <c r="J988" s="123">
        <v>-101.218755</v>
      </c>
      <c r="K988" s="122"/>
      <c r="L988" s="125" t="str">
        <f t="shared" si="50"/>
        <v>Ver en Google Maps</v>
      </c>
      <c r="M988" s="125">
        <v>4</v>
      </c>
      <c r="N988" s="130"/>
      <c r="O988" s="109"/>
      <c r="P988" s="109"/>
      <c r="Q988" s="109"/>
      <c r="R988" s="109"/>
      <c r="S988" s="109"/>
      <c r="T988" s="109"/>
      <c r="U988" s="109"/>
      <c r="V988" s="109"/>
      <c r="W988" s="109"/>
      <c r="X988" s="109"/>
      <c r="Y988" s="109"/>
      <c r="Z988" s="109"/>
      <c r="AA988" s="109"/>
      <c r="AB988" s="109"/>
      <c r="AC988" s="110"/>
      <c r="AD988" s="110"/>
      <c r="AE988" s="109"/>
      <c r="AF988" s="111"/>
    </row>
    <row r="989" spans="1:32" x14ac:dyDescent="0.2">
      <c r="A989" s="112">
        <v>1051</v>
      </c>
      <c r="B989" s="113" t="s">
        <v>1204</v>
      </c>
      <c r="C989" s="114" t="s">
        <v>87</v>
      </c>
      <c r="D989" s="114" t="s">
        <v>563</v>
      </c>
      <c r="E989" s="114" t="s">
        <v>2624</v>
      </c>
      <c r="F989" s="115" t="s">
        <v>2625</v>
      </c>
      <c r="G989" s="115" t="s">
        <v>1789</v>
      </c>
      <c r="H989" s="115" t="s">
        <v>2449</v>
      </c>
      <c r="I989" s="114">
        <v>20.594636999999999</v>
      </c>
      <c r="J989" s="114">
        <v>-101.20295</v>
      </c>
      <c r="K989" s="113"/>
      <c r="L989" s="116" t="str">
        <f t="shared" si="50"/>
        <v>Ver en Google Maps</v>
      </c>
      <c r="M989" s="116">
        <v>2</v>
      </c>
      <c r="N989" s="129"/>
      <c r="O989" s="118"/>
      <c r="P989" s="118"/>
      <c r="Q989" s="118"/>
      <c r="R989" s="118"/>
      <c r="S989" s="118"/>
      <c r="T989" s="118"/>
      <c r="U989" s="118"/>
      <c r="V989" s="118"/>
      <c r="W989" s="118"/>
      <c r="X989" s="118"/>
      <c r="Y989" s="118"/>
      <c r="Z989" s="118"/>
      <c r="AA989" s="118"/>
      <c r="AB989" s="118"/>
      <c r="AC989" s="119"/>
      <c r="AD989" s="119"/>
      <c r="AE989" s="118"/>
      <c r="AF989" s="120"/>
    </row>
    <row r="990" spans="1:32" x14ac:dyDescent="0.2">
      <c r="A990" s="121">
        <v>1059</v>
      </c>
      <c r="B990" s="122" t="s">
        <v>1204</v>
      </c>
      <c r="C990" s="123" t="s">
        <v>14</v>
      </c>
      <c r="D990" s="123" t="s">
        <v>735</v>
      </c>
      <c r="E990" s="123" t="s">
        <v>2626</v>
      </c>
      <c r="F990" s="124" t="s">
        <v>2627</v>
      </c>
      <c r="G990" s="124" t="s">
        <v>2650</v>
      </c>
      <c r="H990" s="124" t="s">
        <v>2449</v>
      </c>
      <c r="I990" s="123">
        <v>20.568480000000001</v>
      </c>
      <c r="J990" s="123">
        <v>-101.21537499999999</v>
      </c>
      <c r="K990" s="122"/>
      <c r="L990" s="125" t="str">
        <f t="shared" si="50"/>
        <v>Ver en Google Maps</v>
      </c>
      <c r="M990" s="125">
        <v>2</v>
      </c>
      <c r="N990" s="130"/>
      <c r="O990" s="109"/>
      <c r="P990" s="109"/>
      <c r="Q990" s="109"/>
      <c r="R990" s="109"/>
      <c r="S990" s="109"/>
      <c r="T990" s="109"/>
      <c r="U990" s="109"/>
      <c r="V990" s="109"/>
      <c r="W990" s="109"/>
      <c r="X990" s="109"/>
      <c r="Y990" s="109"/>
      <c r="Z990" s="109"/>
      <c r="AA990" s="109"/>
      <c r="AB990" s="109"/>
      <c r="AC990" s="110"/>
      <c r="AD990" s="110"/>
      <c r="AE990" s="109"/>
      <c r="AF990" s="111"/>
    </row>
    <row r="991" spans="1:32" x14ac:dyDescent="0.2">
      <c r="A991" s="112">
        <v>1060</v>
      </c>
      <c r="B991" s="113" t="s">
        <v>1204</v>
      </c>
      <c r="C991" s="114" t="s">
        <v>14</v>
      </c>
      <c r="D991" s="114" t="s">
        <v>735</v>
      </c>
      <c r="E991" s="114" t="s">
        <v>2628</v>
      </c>
      <c r="F991" s="115" t="s">
        <v>2629</v>
      </c>
      <c r="G991" s="115" t="s">
        <v>2676</v>
      </c>
      <c r="H991" s="115" t="s">
        <v>2449</v>
      </c>
      <c r="I991" s="114">
        <v>20.554542000000001</v>
      </c>
      <c r="J991" s="114">
        <v>-101.192831</v>
      </c>
      <c r="K991" s="113"/>
      <c r="L991" s="116" t="str">
        <f t="shared" si="50"/>
        <v>Ver en Google Maps</v>
      </c>
      <c r="M991" s="116">
        <v>2</v>
      </c>
      <c r="N991" s="129"/>
      <c r="O991" s="118"/>
      <c r="P991" s="118"/>
      <c r="Q991" s="118"/>
      <c r="R991" s="118"/>
      <c r="S991" s="118"/>
      <c r="T991" s="118"/>
      <c r="U991" s="118"/>
      <c r="V991" s="118"/>
      <c r="W991" s="118"/>
      <c r="X991" s="118"/>
      <c r="Y991" s="118"/>
      <c r="Z991" s="118"/>
      <c r="AA991" s="118"/>
      <c r="AB991" s="118"/>
      <c r="AC991" s="119"/>
      <c r="AD991" s="119"/>
      <c r="AE991" s="118"/>
      <c r="AF991" s="120"/>
    </row>
    <row r="992" spans="1:32" x14ac:dyDescent="0.2">
      <c r="A992" s="121">
        <v>1072</v>
      </c>
      <c r="B992" s="122" t="s">
        <v>1204</v>
      </c>
      <c r="C992" s="123" t="s">
        <v>429</v>
      </c>
      <c r="D992" s="123" t="s">
        <v>132</v>
      </c>
      <c r="E992" s="123" t="s">
        <v>2630</v>
      </c>
      <c r="F992" s="124" t="s">
        <v>2631</v>
      </c>
      <c r="G992" s="124" t="s">
        <v>2664</v>
      </c>
      <c r="H992" s="124" t="s">
        <v>2449</v>
      </c>
      <c r="I992" s="123">
        <v>20.54674</v>
      </c>
      <c r="J992" s="123">
        <v>-101.20717</v>
      </c>
      <c r="K992" s="122"/>
      <c r="L992" s="125" t="str">
        <f t="shared" si="50"/>
        <v>Ver en Google Maps</v>
      </c>
      <c r="M992" s="125">
        <v>2</v>
      </c>
      <c r="N992" s="130"/>
      <c r="O992" s="109"/>
      <c r="P992" s="109"/>
      <c r="Q992" s="109"/>
      <c r="R992" s="109"/>
      <c r="S992" s="109"/>
      <c r="T992" s="109"/>
      <c r="U992" s="109"/>
      <c r="V992" s="109"/>
      <c r="W992" s="109"/>
      <c r="X992" s="109"/>
      <c r="Y992" s="109"/>
      <c r="Z992" s="109"/>
      <c r="AA992" s="109"/>
      <c r="AB992" s="109"/>
      <c r="AC992" s="110"/>
      <c r="AD992" s="110"/>
      <c r="AE992" s="109"/>
      <c r="AF992" s="111"/>
    </row>
    <row r="993" spans="1:32" x14ac:dyDescent="0.2">
      <c r="A993" s="112">
        <v>1073</v>
      </c>
      <c r="B993" s="113" t="s">
        <v>1204</v>
      </c>
      <c r="C993" s="114" t="s">
        <v>429</v>
      </c>
      <c r="D993" s="114" t="s">
        <v>132</v>
      </c>
      <c r="E993" s="114" t="s">
        <v>2632</v>
      </c>
      <c r="F993" s="115" t="s">
        <v>2633</v>
      </c>
      <c r="G993" s="115" t="s">
        <v>2688</v>
      </c>
      <c r="H993" s="115" t="s">
        <v>2449</v>
      </c>
      <c r="I993" s="114">
        <v>20.550219999999999</v>
      </c>
      <c r="J993" s="114">
        <v>-101.195825</v>
      </c>
      <c r="K993" s="113"/>
      <c r="L993" s="116" t="str">
        <f t="shared" si="50"/>
        <v>Ver en Google Maps</v>
      </c>
      <c r="M993" s="116">
        <v>2</v>
      </c>
      <c r="N993" s="129"/>
      <c r="O993" s="118"/>
      <c r="P993" s="118"/>
      <c r="Q993" s="118"/>
      <c r="R993" s="118"/>
      <c r="S993" s="118"/>
      <c r="T993" s="118"/>
      <c r="U993" s="118"/>
      <c r="V993" s="118"/>
      <c r="W993" s="118"/>
      <c r="X993" s="118"/>
      <c r="Y993" s="118"/>
      <c r="Z993" s="118"/>
      <c r="AA993" s="118"/>
      <c r="AB993" s="118"/>
      <c r="AC993" s="119"/>
      <c r="AD993" s="119"/>
      <c r="AE993" s="118"/>
      <c r="AF993" s="120"/>
    </row>
    <row r="994" spans="1:32" ht="12.75" thickBot="1" x14ac:dyDescent="0.25">
      <c r="A994" s="121">
        <v>1088</v>
      </c>
      <c r="B994" s="122" t="s">
        <v>1204</v>
      </c>
      <c r="C994" s="123" t="s">
        <v>350</v>
      </c>
      <c r="D994" s="123" t="s">
        <v>404</v>
      </c>
      <c r="E994" s="123" t="s">
        <v>2634</v>
      </c>
      <c r="F994" s="124" t="s">
        <v>2635</v>
      </c>
      <c r="G994" s="124" t="s">
        <v>1231</v>
      </c>
      <c r="H994" s="124" t="s">
        <v>2449</v>
      </c>
      <c r="I994" s="123">
        <v>20.568828</v>
      </c>
      <c r="J994" s="123">
        <v>-101.19524</v>
      </c>
      <c r="K994" s="122"/>
      <c r="L994" s="125" t="str">
        <f t="shared" si="50"/>
        <v>Ver en Google Maps</v>
      </c>
      <c r="M994" s="125">
        <v>1</v>
      </c>
      <c r="N994" s="130"/>
      <c r="O994" s="109"/>
      <c r="P994" s="109"/>
      <c r="Q994" s="109"/>
      <c r="R994" s="109"/>
      <c r="S994" s="109"/>
      <c r="T994" s="109"/>
      <c r="U994" s="109"/>
      <c r="V994" s="109"/>
      <c r="W994" s="109"/>
      <c r="X994" s="109"/>
      <c r="Y994" s="109"/>
      <c r="Z994" s="109"/>
      <c r="AA994" s="109"/>
      <c r="AB994" s="109"/>
      <c r="AC994" s="110"/>
      <c r="AD994" s="110"/>
      <c r="AE994" s="109"/>
      <c r="AF994" s="111"/>
    </row>
    <row r="995" spans="1:32" x14ac:dyDescent="0.2">
      <c r="A995" s="132">
        <v>48</v>
      </c>
      <c r="B995" s="133" t="s">
        <v>1204</v>
      </c>
      <c r="C995" s="134" t="s">
        <v>7</v>
      </c>
      <c r="D995" s="134" t="s">
        <v>404</v>
      </c>
      <c r="E995" s="134" t="s">
        <v>2689</v>
      </c>
      <c r="F995" s="135" t="s">
        <v>2690</v>
      </c>
      <c r="G995" s="135" t="s">
        <v>2966</v>
      </c>
      <c r="H995" s="135" t="s">
        <v>2691</v>
      </c>
      <c r="I995" s="134">
        <v>20.999652999999999</v>
      </c>
      <c r="J995" s="134">
        <v>-101.29354600000001</v>
      </c>
      <c r="K995" s="133" t="s">
        <v>139</v>
      </c>
      <c r="L995" s="136" t="str">
        <f t="shared" si="50"/>
        <v>Ver en Google Maps</v>
      </c>
      <c r="M995" s="136">
        <v>1</v>
      </c>
      <c r="N995" s="137">
        <v>45961</v>
      </c>
      <c r="O995" s="118">
        <f>DAY('BD2'!$N995)</f>
        <v>31</v>
      </c>
      <c r="P995" s="118">
        <f>MONTH('BD2'!$N995)</f>
        <v>10</v>
      </c>
      <c r="Q995" s="118">
        <f>YEAR('BD2'!$N995)</f>
        <v>2025</v>
      </c>
      <c r="R995" s="118">
        <v>2</v>
      </c>
      <c r="S995" s="118" t="s">
        <v>138</v>
      </c>
      <c r="T995" s="118" t="s">
        <v>138</v>
      </c>
      <c r="U995" s="118" t="s">
        <v>138</v>
      </c>
      <c r="V995" s="118" t="s">
        <v>138</v>
      </c>
      <c r="W995" s="118" t="s">
        <v>138</v>
      </c>
      <c r="X995" s="118" t="s">
        <v>138</v>
      </c>
      <c r="Y995" s="118" t="s">
        <v>138</v>
      </c>
      <c r="Z995" s="118" t="str">
        <f>IF('BD2'!$AA995 &lt; 14, "no", "si")</f>
        <v>si</v>
      </c>
      <c r="AA995" s="118">
        <v>101</v>
      </c>
      <c r="AB995" s="118">
        <v>73.599999999999994</v>
      </c>
      <c r="AC995" s="119" t="s">
        <v>967</v>
      </c>
      <c r="AD995" s="119" t="s">
        <v>2436</v>
      </c>
      <c r="AE995" s="118">
        <f t="shared" si="49"/>
        <v>8</v>
      </c>
      <c r="AF995" s="120" t="str">
        <f t="shared" si="48"/>
        <v>Estable</v>
      </c>
    </row>
    <row r="996" spans="1:32" x14ac:dyDescent="0.2">
      <c r="A996" s="121">
        <v>49</v>
      </c>
      <c r="B996" s="122" t="s">
        <v>1204</v>
      </c>
      <c r="C996" s="123" t="s">
        <v>7</v>
      </c>
      <c r="D996" s="123" t="s">
        <v>404</v>
      </c>
      <c r="E996" s="123" t="s">
        <v>2692</v>
      </c>
      <c r="F996" s="124" t="s">
        <v>2693</v>
      </c>
      <c r="G996" s="124" t="s">
        <v>2967</v>
      </c>
      <c r="H996" s="124" t="s">
        <v>2691</v>
      </c>
      <c r="I996" s="123">
        <v>20.994396999999999</v>
      </c>
      <c r="J996" s="123">
        <v>-101.293952</v>
      </c>
      <c r="K996" s="122" t="s">
        <v>139</v>
      </c>
      <c r="L996" s="125" t="str">
        <f t="shared" si="50"/>
        <v>Ver en Google Maps</v>
      </c>
      <c r="M996" s="125">
        <v>1</v>
      </c>
      <c r="N996" s="138">
        <v>45961</v>
      </c>
      <c r="O996" s="109">
        <f>DAY('BD2'!$N996)</f>
        <v>31</v>
      </c>
      <c r="P996" s="109">
        <f>MONTH('BD2'!$N996)</f>
        <v>10</v>
      </c>
      <c r="Q996" s="109">
        <f>YEAR('BD2'!$N996)</f>
        <v>2025</v>
      </c>
      <c r="R996" s="109">
        <v>2</v>
      </c>
      <c r="S996" s="109" t="s">
        <v>138</v>
      </c>
      <c r="T996" s="109" t="s">
        <v>138</v>
      </c>
      <c r="U996" s="109" t="s">
        <v>138</v>
      </c>
      <c r="V996" s="109" t="s">
        <v>138</v>
      </c>
      <c r="W996" s="109" t="s">
        <v>138</v>
      </c>
      <c r="X996" s="109" t="s">
        <v>138</v>
      </c>
      <c r="Y996" s="109" t="s">
        <v>138</v>
      </c>
      <c r="Z996" s="109" t="str">
        <f>IF('BD2'!$AA996 &lt; 14, "no", "si")</f>
        <v>si</v>
      </c>
      <c r="AA996" s="109">
        <v>47.4</v>
      </c>
      <c r="AB996" s="109">
        <v>29.5</v>
      </c>
      <c r="AC996" s="110" t="s">
        <v>967</v>
      </c>
      <c r="AD996" s="110" t="s">
        <v>2436</v>
      </c>
      <c r="AE996" s="109">
        <f t="shared" si="49"/>
        <v>8</v>
      </c>
      <c r="AF996" s="111" t="str">
        <f t="shared" si="48"/>
        <v>Estable</v>
      </c>
    </row>
    <row r="997" spans="1:32" x14ac:dyDescent="0.2">
      <c r="A997" s="112">
        <v>50</v>
      </c>
      <c r="B997" s="113" t="s">
        <v>1204</v>
      </c>
      <c r="C997" s="114" t="s">
        <v>7</v>
      </c>
      <c r="D997" s="114" t="s">
        <v>404</v>
      </c>
      <c r="E997" s="114" t="s">
        <v>2694</v>
      </c>
      <c r="F997" s="115" t="s">
        <v>2695</v>
      </c>
      <c r="G997" s="115" t="s">
        <v>1212</v>
      </c>
      <c r="H997" s="115" t="s">
        <v>2691</v>
      </c>
      <c r="I997" s="114">
        <v>21.019627</v>
      </c>
      <c r="J997" s="114">
        <v>-101.26364100000001</v>
      </c>
      <c r="K997" s="113" t="s">
        <v>139</v>
      </c>
      <c r="L997" s="116" t="str">
        <f t="shared" si="50"/>
        <v>Ver en Google Maps</v>
      </c>
      <c r="M997" s="116">
        <v>1</v>
      </c>
      <c r="N997" s="137">
        <v>45961</v>
      </c>
      <c r="O997" s="118">
        <f>DAY('BD2'!$N997)</f>
        <v>31</v>
      </c>
      <c r="P997" s="118">
        <f>MONTH('BD2'!$N997)</f>
        <v>10</v>
      </c>
      <c r="Q997" s="118">
        <f>YEAR('BD2'!$N997)</f>
        <v>2025</v>
      </c>
      <c r="R997" s="118">
        <v>2</v>
      </c>
      <c r="S997" s="118" t="s">
        <v>138</v>
      </c>
      <c r="T997" s="118" t="s">
        <v>138</v>
      </c>
      <c r="U997" s="118" t="s">
        <v>138</v>
      </c>
      <c r="V997" s="118" t="s">
        <v>138</v>
      </c>
      <c r="W997" s="118" t="s">
        <v>138</v>
      </c>
      <c r="X997" s="118" t="s">
        <v>138</v>
      </c>
      <c r="Y997" s="118" t="s">
        <v>138</v>
      </c>
      <c r="Z997" s="118" t="str">
        <f>IF('BD2'!$AA997 &lt; 14, "no", "si")</f>
        <v>si</v>
      </c>
      <c r="AA997" s="118">
        <v>119</v>
      </c>
      <c r="AB997" s="118">
        <v>57.9</v>
      </c>
      <c r="AC997" s="119" t="s">
        <v>967</v>
      </c>
      <c r="AD997" s="119" t="s">
        <v>2436</v>
      </c>
      <c r="AE997" s="118">
        <f t="shared" si="49"/>
        <v>8</v>
      </c>
      <c r="AF997" s="120" t="str">
        <f t="shared" si="48"/>
        <v>Estable</v>
      </c>
    </row>
    <row r="998" spans="1:32" x14ac:dyDescent="0.2">
      <c r="A998" s="121">
        <v>51</v>
      </c>
      <c r="B998" s="122" t="s">
        <v>1204</v>
      </c>
      <c r="C998" s="123" t="s">
        <v>7</v>
      </c>
      <c r="D998" s="123" t="s">
        <v>404</v>
      </c>
      <c r="E998" s="123" t="s">
        <v>2696</v>
      </c>
      <c r="F998" s="124" t="s">
        <v>2697</v>
      </c>
      <c r="G998" s="124" t="s">
        <v>1212</v>
      </c>
      <c r="H998" s="124" t="s">
        <v>2691</v>
      </c>
      <c r="I998" s="123">
        <v>21.014429</v>
      </c>
      <c r="J998" s="123">
        <v>-101.254447</v>
      </c>
      <c r="K998" s="122" t="s">
        <v>139</v>
      </c>
      <c r="L998" s="125" t="str">
        <f t="shared" si="50"/>
        <v>Ver en Google Maps</v>
      </c>
      <c r="M998" s="125">
        <v>1</v>
      </c>
      <c r="N998" s="138">
        <v>45961</v>
      </c>
      <c r="O998" s="109">
        <f>DAY('BD2'!$N998)</f>
        <v>31</v>
      </c>
      <c r="P998" s="109">
        <f>MONTH('BD2'!$N998)</f>
        <v>10</v>
      </c>
      <c r="Q998" s="109">
        <f>YEAR('BD2'!$N998)</f>
        <v>2025</v>
      </c>
      <c r="R998" s="109">
        <v>2</v>
      </c>
      <c r="S998" s="109" t="s">
        <v>138</v>
      </c>
      <c r="T998" s="109" t="s">
        <v>138</v>
      </c>
      <c r="U998" s="109" t="s">
        <v>138</v>
      </c>
      <c r="V998" s="109" t="s">
        <v>138</v>
      </c>
      <c r="W998" s="109" t="s">
        <v>138</v>
      </c>
      <c r="X998" s="109" t="s">
        <v>934</v>
      </c>
      <c r="Y998" s="109" t="s">
        <v>934</v>
      </c>
      <c r="Z998" s="109" t="str">
        <f>IF('BD2'!$AA998 &lt; 14, "no", "si")</f>
        <v>si</v>
      </c>
      <c r="AA998" s="109">
        <v>34.6</v>
      </c>
      <c r="AB998" s="109">
        <v>30.4</v>
      </c>
      <c r="AC998" s="110" t="s">
        <v>967</v>
      </c>
      <c r="AD998" s="110" t="s">
        <v>2436</v>
      </c>
      <c r="AE998" s="109">
        <f t="shared" si="49"/>
        <v>6</v>
      </c>
      <c r="AF998" s="111" t="str">
        <f t="shared" si="48"/>
        <v>Funcional con observaciones</v>
      </c>
    </row>
    <row r="999" spans="1:32" x14ac:dyDescent="0.2">
      <c r="A999" s="131">
        <v>52</v>
      </c>
      <c r="B999" s="113" t="s">
        <v>1204</v>
      </c>
      <c r="C999" s="114" t="s">
        <v>11</v>
      </c>
      <c r="D999" s="114" t="s">
        <v>404</v>
      </c>
      <c r="E999" s="114" t="s">
        <v>2698</v>
      </c>
      <c r="F999" s="115" t="s">
        <v>2699</v>
      </c>
      <c r="G999" s="115" t="s">
        <v>2968</v>
      </c>
      <c r="H999" s="115" t="s">
        <v>2691</v>
      </c>
      <c r="I999" s="114">
        <v>21.007885999999999</v>
      </c>
      <c r="J999" s="114">
        <v>-101.269808</v>
      </c>
      <c r="K999" s="113" t="s">
        <v>139</v>
      </c>
      <c r="L999" s="116" t="str">
        <f t="shared" si="50"/>
        <v>Ver en Google Maps</v>
      </c>
      <c r="M999" s="116">
        <v>1</v>
      </c>
      <c r="N999" s="137">
        <v>45961</v>
      </c>
      <c r="O999" s="118">
        <f>DAY('BD2'!$N999)</f>
        <v>31</v>
      </c>
      <c r="P999" s="118">
        <f>MONTH('BD2'!$N999)</f>
        <v>10</v>
      </c>
      <c r="Q999" s="118">
        <f>YEAR('BD2'!$N999)</f>
        <v>2025</v>
      </c>
      <c r="R999" s="118">
        <v>2</v>
      </c>
      <c r="S999" s="118" t="s">
        <v>138</v>
      </c>
      <c r="T999" s="118" t="s">
        <v>138</v>
      </c>
      <c r="U999" s="118" t="s">
        <v>138</v>
      </c>
      <c r="V999" s="118" t="s">
        <v>138</v>
      </c>
      <c r="W999" s="118" t="s">
        <v>138</v>
      </c>
      <c r="X999" s="118" t="s">
        <v>138</v>
      </c>
      <c r="Y999" s="118" t="s">
        <v>138</v>
      </c>
      <c r="Z999" s="118" t="str">
        <f>IF('BD2'!$AA999 &lt; 14, "no", "si")</f>
        <v>no</v>
      </c>
      <c r="AA999" s="118"/>
      <c r="AB999" s="118"/>
      <c r="AC999" s="119" t="s">
        <v>967</v>
      </c>
      <c r="AD999" s="119" t="s">
        <v>2436</v>
      </c>
      <c r="AE999" s="118">
        <f t="shared" si="49"/>
        <v>7</v>
      </c>
      <c r="AF999" s="120" t="str">
        <f t="shared" si="48"/>
        <v>Funcional con observaciones</v>
      </c>
    </row>
    <row r="1000" spans="1:32" x14ac:dyDescent="0.2">
      <c r="A1000" s="121" t="s">
        <v>3058</v>
      </c>
      <c r="B1000" s="122" t="s">
        <v>1204</v>
      </c>
      <c r="C1000" s="123" t="s">
        <v>11</v>
      </c>
      <c r="D1000" s="123" t="s">
        <v>404</v>
      </c>
      <c r="E1000" s="123" t="s">
        <v>2700</v>
      </c>
      <c r="F1000" s="124" t="s">
        <v>2701</v>
      </c>
      <c r="G1000" s="124" t="s">
        <v>2969</v>
      </c>
      <c r="H1000" s="124" t="s">
        <v>2691</v>
      </c>
      <c r="I1000" s="123">
        <v>20.97775</v>
      </c>
      <c r="J1000" s="123">
        <v>-101.28678600000001</v>
      </c>
      <c r="K1000" s="122" t="s">
        <v>139</v>
      </c>
      <c r="L1000" s="125" t="str">
        <f t="shared" si="50"/>
        <v>Ver en Google Maps</v>
      </c>
      <c r="M1000" s="125">
        <v>3</v>
      </c>
      <c r="N1000" s="138">
        <v>45961</v>
      </c>
      <c r="O1000" s="109">
        <f>DAY('BD2'!$N1000)</f>
        <v>31</v>
      </c>
      <c r="P1000" s="109">
        <f>MONTH('BD2'!$N1000)</f>
        <v>10</v>
      </c>
      <c r="Q1000" s="109">
        <f>YEAR('BD2'!$N1000)</f>
        <v>2025</v>
      </c>
      <c r="R1000" s="109">
        <v>2</v>
      </c>
      <c r="S1000" s="109" t="s">
        <v>138</v>
      </c>
      <c r="T1000" s="109" t="s">
        <v>138</v>
      </c>
      <c r="U1000" s="109" t="s">
        <v>138</v>
      </c>
      <c r="V1000" s="109" t="s">
        <v>138</v>
      </c>
      <c r="W1000" s="109" t="s">
        <v>138</v>
      </c>
      <c r="X1000" s="109" t="s">
        <v>138</v>
      </c>
      <c r="Y1000" s="109" t="s">
        <v>138</v>
      </c>
      <c r="Z1000" s="109" t="str">
        <f>IF('BD2'!$AA1000 &lt; 14, "no", "si")</f>
        <v>si</v>
      </c>
      <c r="AA1000" s="109">
        <v>31</v>
      </c>
      <c r="AB1000" s="109">
        <v>29.9</v>
      </c>
      <c r="AC1000" s="110" t="s">
        <v>967</v>
      </c>
      <c r="AD1000" s="110" t="s">
        <v>2436</v>
      </c>
      <c r="AE1000" s="109">
        <f>COUNTIF(S1000:Z1000, "si")</f>
        <v>8</v>
      </c>
      <c r="AF1000" s="111" t="str">
        <f t="shared" si="48"/>
        <v>Estable</v>
      </c>
    </row>
    <row r="1001" spans="1:32" x14ac:dyDescent="0.2">
      <c r="A1001" s="112" t="s">
        <v>3059</v>
      </c>
      <c r="B1001" s="113" t="s">
        <v>1204</v>
      </c>
      <c r="C1001" s="114" t="s">
        <v>11</v>
      </c>
      <c r="D1001" s="114" t="s">
        <v>404</v>
      </c>
      <c r="E1001" s="114" t="s">
        <v>2700</v>
      </c>
      <c r="F1001" s="115" t="s">
        <v>2701</v>
      </c>
      <c r="G1001" s="115" t="s">
        <v>2969</v>
      </c>
      <c r="H1001" s="115" t="s">
        <v>2691</v>
      </c>
      <c r="I1001" s="114">
        <v>20.97775</v>
      </c>
      <c r="J1001" s="114">
        <v>-101.28678600000001</v>
      </c>
      <c r="K1001" s="113" t="s">
        <v>139</v>
      </c>
      <c r="L1001" s="116" t="str">
        <f t="shared" si="50"/>
        <v>Ver en Google Maps</v>
      </c>
      <c r="M1001" s="116">
        <v>3</v>
      </c>
      <c r="N1001" s="137">
        <v>45961</v>
      </c>
      <c r="O1001" s="118">
        <f>DAY('BD2'!$N1001)</f>
        <v>31</v>
      </c>
      <c r="P1001" s="118">
        <f>MONTH('BD2'!$N1001)</f>
        <v>10</v>
      </c>
      <c r="Q1001" s="118">
        <f>YEAR('BD2'!$N1001)</f>
        <v>2025</v>
      </c>
      <c r="R1001" s="118">
        <v>2</v>
      </c>
      <c r="S1001" s="118" t="s">
        <v>138</v>
      </c>
      <c r="T1001" s="118" t="s">
        <v>138</v>
      </c>
      <c r="U1001" s="118" t="s">
        <v>138</v>
      </c>
      <c r="V1001" s="118" t="s">
        <v>138</v>
      </c>
      <c r="W1001" s="118" t="s">
        <v>138</v>
      </c>
      <c r="X1001" s="118" t="s">
        <v>138</v>
      </c>
      <c r="Y1001" s="118" t="s">
        <v>138</v>
      </c>
      <c r="Z1001" s="118" t="str">
        <f>IF('BD2'!$AA1001 &lt; 14, "no", "si")</f>
        <v>si</v>
      </c>
      <c r="AA1001" s="118">
        <v>44</v>
      </c>
      <c r="AB1001" s="118">
        <v>26.9</v>
      </c>
      <c r="AC1001" s="119" t="s">
        <v>967</v>
      </c>
      <c r="AD1001" s="119" t="s">
        <v>2436</v>
      </c>
      <c r="AE1001" s="118">
        <f>COUNTIF(S1001:Z1001, "si")</f>
        <v>8</v>
      </c>
      <c r="AF1001" s="120" t="str">
        <f t="shared" si="48"/>
        <v>Estable</v>
      </c>
    </row>
    <row r="1002" spans="1:32" x14ac:dyDescent="0.2">
      <c r="A1002" s="121" t="s">
        <v>3060</v>
      </c>
      <c r="B1002" s="122" t="s">
        <v>1204</v>
      </c>
      <c r="C1002" s="123" t="s">
        <v>11</v>
      </c>
      <c r="D1002" s="123" t="s">
        <v>404</v>
      </c>
      <c r="E1002" s="123" t="s">
        <v>2700</v>
      </c>
      <c r="F1002" s="124" t="s">
        <v>2701</v>
      </c>
      <c r="G1002" s="124" t="s">
        <v>2969</v>
      </c>
      <c r="H1002" s="124" t="s">
        <v>2691</v>
      </c>
      <c r="I1002" s="123">
        <v>20.97775</v>
      </c>
      <c r="J1002" s="123">
        <v>-101.28678600000001</v>
      </c>
      <c r="K1002" s="122" t="s">
        <v>139</v>
      </c>
      <c r="L1002" s="125" t="str">
        <f t="shared" si="50"/>
        <v>Ver en Google Maps</v>
      </c>
      <c r="M1002" s="125">
        <v>3</v>
      </c>
      <c r="N1002" s="138">
        <v>45961</v>
      </c>
      <c r="O1002" s="109">
        <f>DAY('BD2'!$N1002)</f>
        <v>31</v>
      </c>
      <c r="P1002" s="109">
        <f>MONTH('BD2'!$N1002)</f>
        <v>10</v>
      </c>
      <c r="Q1002" s="109">
        <f>YEAR('BD2'!$N1002)</f>
        <v>2025</v>
      </c>
      <c r="R1002" s="109">
        <v>2</v>
      </c>
      <c r="S1002" s="109" t="s">
        <v>138</v>
      </c>
      <c r="T1002" s="109" t="s">
        <v>138</v>
      </c>
      <c r="U1002" s="109" t="s">
        <v>138</v>
      </c>
      <c r="V1002" s="109" t="s">
        <v>138</v>
      </c>
      <c r="W1002" s="109" t="s">
        <v>138</v>
      </c>
      <c r="X1002" s="109" t="s">
        <v>138</v>
      </c>
      <c r="Y1002" s="109" t="s">
        <v>138</v>
      </c>
      <c r="Z1002" s="109" t="str">
        <f>IF('BD2'!$AA1002 &lt; 14, "no", "si")</f>
        <v>si</v>
      </c>
      <c r="AA1002" s="109">
        <v>48.5</v>
      </c>
      <c r="AB1002" s="109">
        <v>21.2</v>
      </c>
      <c r="AC1002" s="110" t="s">
        <v>967</v>
      </c>
      <c r="AD1002" s="110" t="s">
        <v>2436</v>
      </c>
      <c r="AE1002" s="109">
        <f t="shared" si="49"/>
        <v>8</v>
      </c>
      <c r="AF1002" s="111" t="str">
        <f t="shared" si="48"/>
        <v>Estable</v>
      </c>
    </row>
    <row r="1003" spans="1:32" x14ac:dyDescent="0.2">
      <c r="A1003" s="112">
        <v>76</v>
      </c>
      <c r="B1003" s="113" t="s">
        <v>1204</v>
      </c>
      <c r="C1003" s="114" t="s">
        <v>14</v>
      </c>
      <c r="D1003" s="114" t="s">
        <v>404</v>
      </c>
      <c r="E1003" s="114" t="s">
        <v>2702</v>
      </c>
      <c r="F1003" s="115" t="s">
        <v>2703</v>
      </c>
      <c r="G1003" s="115" t="s">
        <v>2970</v>
      </c>
      <c r="H1003" s="115" t="s">
        <v>2691</v>
      </c>
      <c r="I1003" s="114">
        <v>21.013065000000001</v>
      </c>
      <c r="J1003" s="114">
        <v>-101.26133</v>
      </c>
      <c r="K1003" s="113"/>
      <c r="L1003" s="116" t="str">
        <f t="shared" si="50"/>
        <v>Ver en Google Maps</v>
      </c>
      <c r="M1003" s="116">
        <v>1</v>
      </c>
      <c r="N1003" s="139"/>
      <c r="O1003" s="118"/>
      <c r="P1003" s="118"/>
      <c r="Q1003" s="118"/>
      <c r="R1003" s="118"/>
      <c r="S1003" s="118"/>
      <c r="T1003" s="118"/>
      <c r="U1003" s="118"/>
      <c r="V1003" s="118"/>
      <c r="W1003" s="118"/>
      <c r="X1003" s="118"/>
      <c r="Y1003" s="118"/>
      <c r="Z1003" s="118"/>
      <c r="AA1003" s="118"/>
      <c r="AB1003" s="118"/>
      <c r="AC1003" s="119"/>
      <c r="AD1003" s="119"/>
      <c r="AE1003" s="118"/>
      <c r="AF1003" s="120"/>
    </row>
    <row r="1004" spans="1:32" x14ac:dyDescent="0.2">
      <c r="A1004" s="121">
        <v>77</v>
      </c>
      <c r="B1004" s="122" t="s">
        <v>1204</v>
      </c>
      <c r="C1004" s="123" t="s">
        <v>18</v>
      </c>
      <c r="D1004" s="123" t="s">
        <v>404</v>
      </c>
      <c r="E1004" s="123" t="s">
        <v>2704</v>
      </c>
      <c r="F1004" s="124" t="s">
        <v>2705</v>
      </c>
      <c r="G1004" s="124" t="s">
        <v>2971</v>
      </c>
      <c r="H1004" s="124" t="s">
        <v>2691</v>
      </c>
      <c r="I1004" s="123">
        <v>21.041778999999998</v>
      </c>
      <c r="J1004" s="123">
        <v>-101.260717</v>
      </c>
      <c r="K1004" s="122"/>
      <c r="L1004" s="125" t="str">
        <f t="shared" si="50"/>
        <v>Ver en Google Maps</v>
      </c>
      <c r="M1004" s="125">
        <v>3</v>
      </c>
      <c r="N1004" s="140"/>
      <c r="O1004" s="109"/>
      <c r="P1004" s="109"/>
      <c r="Q1004" s="109"/>
      <c r="R1004" s="109"/>
      <c r="S1004" s="109"/>
      <c r="T1004" s="109"/>
      <c r="U1004" s="109"/>
      <c r="V1004" s="109"/>
      <c r="W1004" s="109"/>
      <c r="X1004" s="109"/>
      <c r="Y1004" s="109"/>
      <c r="Z1004" s="109"/>
      <c r="AA1004" s="109"/>
      <c r="AB1004" s="109"/>
      <c r="AC1004" s="110"/>
      <c r="AD1004" s="110"/>
      <c r="AE1004" s="109"/>
      <c r="AF1004" s="111"/>
    </row>
    <row r="1005" spans="1:32" x14ac:dyDescent="0.2">
      <c r="A1005" s="112">
        <v>79</v>
      </c>
      <c r="B1005" s="113" t="s">
        <v>1204</v>
      </c>
      <c r="C1005" s="114" t="s">
        <v>1449</v>
      </c>
      <c r="D1005" s="114" t="s">
        <v>404</v>
      </c>
      <c r="E1005" s="114" t="s">
        <v>2706</v>
      </c>
      <c r="F1005" s="115" t="s">
        <v>2707</v>
      </c>
      <c r="G1005" s="115" t="s">
        <v>2972</v>
      </c>
      <c r="H1005" s="115" t="s">
        <v>2691</v>
      </c>
      <c r="I1005" s="114">
        <v>21.012563</v>
      </c>
      <c r="J1005" s="114">
        <v>-101.251769</v>
      </c>
      <c r="K1005" s="113"/>
      <c r="L1005" s="116" t="str">
        <f t="shared" si="50"/>
        <v>Ver en Google Maps</v>
      </c>
      <c r="M1005" s="116">
        <v>1</v>
      </c>
      <c r="N1005" s="139"/>
      <c r="O1005" s="118"/>
      <c r="P1005" s="118"/>
      <c r="Q1005" s="118"/>
      <c r="R1005" s="118"/>
      <c r="S1005" s="118"/>
      <c r="T1005" s="118"/>
      <c r="U1005" s="118"/>
      <c r="V1005" s="118"/>
      <c r="W1005" s="118"/>
      <c r="X1005" s="118"/>
      <c r="Y1005" s="118"/>
      <c r="Z1005" s="118"/>
      <c r="AA1005" s="118"/>
      <c r="AB1005" s="118"/>
      <c r="AC1005" s="119"/>
      <c r="AD1005" s="119"/>
      <c r="AE1005" s="118"/>
      <c r="AF1005" s="120"/>
    </row>
    <row r="1006" spans="1:32" x14ac:dyDescent="0.2">
      <c r="A1006" s="121">
        <v>80</v>
      </c>
      <c r="B1006" s="122" t="s">
        <v>1204</v>
      </c>
      <c r="C1006" s="123" t="s">
        <v>14</v>
      </c>
      <c r="D1006" s="123" t="s">
        <v>404</v>
      </c>
      <c r="E1006" s="123" t="s">
        <v>2708</v>
      </c>
      <c r="F1006" s="124" t="s">
        <v>2709</v>
      </c>
      <c r="G1006" s="124" t="s">
        <v>2973</v>
      </c>
      <c r="H1006" s="124" t="s">
        <v>2691</v>
      </c>
      <c r="I1006" s="123">
        <v>20.960373000000001</v>
      </c>
      <c r="J1006" s="123">
        <v>-101.272847</v>
      </c>
      <c r="K1006" s="122"/>
      <c r="L1006" s="125" t="str">
        <f t="shared" si="50"/>
        <v>Ver en Google Maps</v>
      </c>
      <c r="M1006" s="125">
        <v>2</v>
      </c>
      <c r="N1006" s="140"/>
      <c r="O1006" s="109"/>
      <c r="P1006" s="109"/>
      <c r="Q1006" s="109"/>
      <c r="R1006" s="109"/>
      <c r="S1006" s="109"/>
      <c r="T1006" s="109"/>
      <c r="U1006" s="109"/>
      <c r="V1006" s="109"/>
      <c r="W1006" s="109"/>
      <c r="X1006" s="109"/>
      <c r="Y1006" s="109"/>
      <c r="Z1006" s="109"/>
      <c r="AA1006" s="109"/>
      <c r="AB1006" s="109"/>
      <c r="AC1006" s="110"/>
      <c r="AD1006" s="110"/>
      <c r="AE1006" s="109"/>
      <c r="AF1006" s="111"/>
    </row>
    <row r="1007" spans="1:32" x14ac:dyDescent="0.2">
      <c r="A1007" s="112">
        <v>82</v>
      </c>
      <c r="B1007" s="113" t="s">
        <v>1204</v>
      </c>
      <c r="C1007" s="114" t="s">
        <v>350</v>
      </c>
      <c r="D1007" s="114" t="s">
        <v>404</v>
      </c>
      <c r="E1007" s="114" t="s">
        <v>2710</v>
      </c>
      <c r="F1007" s="115" t="s">
        <v>2711</v>
      </c>
      <c r="G1007" s="115" t="s">
        <v>2973</v>
      </c>
      <c r="H1007" s="115" t="s">
        <v>2691</v>
      </c>
      <c r="I1007" s="114">
        <v>20.971526999999998</v>
      </c>
      <c r="J1007" s="114">
        <v>-101.2794</v>
      </c>
      <c r="K1007" s="113"/>
      <c r="L1007" s="116" t="str">
        <f t="shared" si="50"/>
        <v>Ver en Google Maps</v>
      </c>
      <c r="M1007" s="116">
        <v>1</v>
      </c>
      <c r="N1007" s="139"/>
      <c r="O1007" s="118"/>
      <c r="P1007" s="118"/>
      <c r="Q1007" s="118"/>
      <c r="R1007" s="118"/>
      <c r="S1007" s="118"/>
      <c r="T1007" s="118"/>
      <c r="U1007" s="118"/>
      <c r="V1007" s="118"/>
      <c r="W1007" s="118"/>
      <c r="X1007" s="118"/>
      <c r="Y1007" s="118"/>
      <c r="Z1007" s="118"/>
      <c r="AA1007" s="118"/>
      <c r="AB1007" s="118"/>
      <c r="AC1007" s="119"/>
      <c r="AD1007" s="119"/>
      <c r="AE1007" s="118"/>
      <c r="AF1007" s="120"/>
    </row>
    <row r="1008" spans="1:32" x14ac:dyDescent="0.2">
      <c r="A1008" s="121">
        <v>83</v>
      </c>
      <c r="B1008" s="122" t="s">
        <v>1204</v>
      </c>
      <c r="C1008" s="123" t="s">
        <v>350</v>
      </c>
      <c r="D1008" s="123" t="s">
        <v>404</v>
      </c>
      <c r="E1008" s="123" t="s">
        <v>2712</v>
      </c>
      <c r="F1008" s="124" t="s">
        <v>2713</v>
      </c>
      <c r="G1008" s="124" t="s">
        <v>1231</v>
      </c>
      <c r="H1008" s="124" t="s">
        <v>2691</v>
      </c>
      <c r="I1008" s="123">
        <v>21.004055999999999</v>
      </c>
      <c r="J1008" s="123">
        <v>-101.24448599999999</v>
      </c>
      <c r="K1008" s="122"/>
      <c r="L1008" s="125" t="str">
        <f t="shared" si="50"/>
        <v>Ver en Google Maps</v>
      </c>
      <c r="M1008" s="125">
        <v>1</v>
      </c>
      <c r="N1008" s="140"/>
      <c r="O1008" s="109"/>
      <c r="P1008" s="109"/>
      <c r="Q1008" s="109"/>
      <c r="R1008" s="109"/>
      <c r="S1008" s="109"/>
      <c r="T1008" s="109"/>
      <c r="U1008" s="109"/>
      <c r="V1008" s="109"/>
      <c r="W1008" s="109"/>
      <c r="X1008" s="109"/>
      <c r="Y1008" s="109"/>
      <c r="Z1008" s="109"/>
      <c r="AA1008" s="109"/>
      <c r="AB1008" s="109"/>
      <c r="AC1008" s="110"/>
      <c r="AD1008" s="110"/>
      <c r="AE1008" s="109"/>
      <c r="AF1008" s="111"/>
    </row>
    <row r="1009" spans="1:32" x14ac:dyDescent="0.2">
      <c r="A1009" s="112">
        <v>84</v>
      </c>
      <c r="B1009" s="113" t="s">
        <v>1204</v>
      </c>
      <c r="C1009" s="114" t="s">
        <v>350</v>
      </c>
      <c r="D1009" s="114" t="s">
        <v>404</v>
      </c>
      <c r="E1009" s="114" t="s">
        <v>2714</v>
      </c>
      <c r="F1009" s="115" t="s">
        <v>2715</v>
      </c>
      <c r="G1009" s="115" t="s">
        <v>2974</v>
      </c>
      <c r="H1009" s="115" t="s">
        <v>2691</v>
      </c>
      <c r="I1009" s="114">
        <v>20.985875</v>
      </c>
      <c r="J1009" s="114">
        <v>-101.28621099999999</v>
      </c>
      <c r="K1009" s="113" t="s">
        <v>139</v>
      </c>
      <c r="L1009" s="116" t="str">
        <f t="shared" si="50"/>
        <v>Ver en Google Maps</v>
      </c>
      <c r="M1009" s="116">
        <v>1</v>
      </c>
      <c r="N1009" s="137">
        <v>45961</v>
      </c>
      <c r="O1009" s="118">
        <f>DAY('BD2'!$N1009)</f>
        <v>31</v>
      </c>
      <c r="P1009" s="118">
        <f>MONTH('BD2'!$N1009)</f>
        <v>10</v>
      </c>
      <c r="Q1009" s="118">
        <f>YEAR('BD2'!$N1009)</f>
        <v>2025</v>
      </c>
      <c r="R1009" s="118">
        <v>2</v>
      </c>
      <c r="S1009" s="118" t="s">
        <v>138</v>
      </c>
      <c r="T1009" s="118" t="s">
        <v>138</v>
      </c>
      <c r="U1009" s="118" t="s">
        <v>138</v>
      </c>
      <c r="V1009" s="118" t="s">
        <v>138</v>
      </c>
      <c r="W1009" s="118" t="s">
        <v>138</v>
      </c>
      <c r="X1009" s="118" t="s">
        <v>138</v>
      </c>
      <c r="Y1009" s="118" t="s">
        <v>138</v>
      </c>
      <c r="Z1009" s="118" t="str">
        <f>IF('BD2'!$AA1009 &lt; 14, "no", "si")</f>
        <v>si</v>
      </c>
      <c r="AA1009" s="118">
        <v>111</v>
      </c>
      <c r="AB1009" s="118">
        <v>124</v>
      </c>
      <c r="AC1009" s="119" t="s">
        <v>967</v>
      </c>
      <c r="AD1009" s="119" t="s">
        <v>2436</v>
      </c>
      <c r="AE1009" s="118">
        <f t="shared" si="49"/>
        <v>8</v>
      </c>
      <c r="AF1009" s="120" t="str">
        <f t="shared" si="48"/>
        <v>Estable</v>
      </c>
    </row>
    <row r="1010" spans="1:32" x14ac:dyDescent="0.2">
      <c r="A1010" s="121">
        <v>85</v>
      </c>
      <c r="B1010" s="122" t="s">
        <v>1204</v>
      </c>
      <c r="C1010" s="123" t="s">
        <v>350</v>
      </c>
      <c r="D1010" s="123" t="s">
        <v>404</v>
      </c>
      <c r="E1010" s="123" t="s">
        <v>2716</v>
      </c>
      <c r="F1010" s="124" t="s">
        <v>2717</v>
      </c>
      <c r="G1010" s="124" t="s">
        <v>2975</v>
      </c>
      <c r="H1010" s="124" t="s">
        <v>2691</v>
      </c>
      <c r="I1010" s="123">
        <v>21.02225</v>
      </c>
      <c r="J1010" s="123">
        <v>-101.2577</v>
      </c>
      <c r="K1010" s="122"/>
      <c r="L1010" s="125" t="str">
        <f t="shared" si="50"/>
        <v>Ver en Google Maps</v>
      </c>
      <c r="M1010" s="125">
        <v>1</v>
      </c>
      <c r="N1010" s="140"/>
      <c r="O1010" s="109"/>
      <c r="P1010" s="109"/>
      <c r="Q1010" s="109"/>
      <c r="R1010" s="109"/>
      <c r="S1010" s="109"/>
      <c r="T1010" s="109"/>
      <c r="U1010" s="109"/>
      <c r="V1010" s="109"/>
      <c r="W1010" s="109"/>
      <c r="X1010" s="109"/>
      <c r="Y1010" s="109"/>
      <c r="Z1010" s="109"/>
      <c r="AA1010" s="109"/>
      <c r="AB1010" s="109"/>
      <c r="AC1010" s="110"/>
      <c r="AD1010" s="110"/>
      <c r="AE1010" s="109"/>
      <c r="AF1010" s="111"/>
    </row>
    <row r="1011" spans="1:32" x14ac:dyDescent="0.2">
      <c r="A1011" s="112">
        <v>86</v>
      </c>
      <c r="B1011" s="113" t="s">
        <v>1204</v>
      </c>
      <c r="C1011" s="114" t="s">
        <v>350</v>
      </c>
      <c r="D1011" s="114" t="s">
        <v>404</v>
      </c>
      <c r="E1011" s="114" t="s">
        <v>2718</v>
      </c>
      <c r="F1011" s="115" t="s">
        <v>2719</v>
      </c>
      <c r="G1011" s="115" t="s">
        <v>2976</v>
      </c>
      <c r="H1011" s="115" t="s">
        <v>2691</v>
      </c>
      <c r="I1011" s="114">
        <v>20.963633999999999</v>
      </c>
      <c r="J1011" s="114">
        <v>-101.28901500000001</v>
      </c>
      <c r="K1011" s="113"/>
      <c r="L1011" s="116" t="str">
        <f t="shared" si="50"/>
        <v>Ver en Google Maps</v>
      </c>
      <c r="M1011" s="116">
        <v>1</v>
      </c>
      <c r="N1011" s="139"/>
      <c r="O1011" s="118"/>
      <c r="P1011" s="118"/>
      <c r="Q1011" s="118"/>
      <c r="R1011" s="118"/>
      <c r="S1011" s="118"/>
      <c r="T1011" s="118"/>
      <c r="U1011" s="118"/>
      <c r="V1011" s="118"/>
      <c r="W1011" s="118"/>
      <c r="X1011" s="118"/>
      <c r="Y1011" s="118"/>
      <c r="Z1011" s="118"/>
      <c r="AA1011" s="118"/>
      <c r="AB1011" s="118"/>
      <c r="AC1011" s="119"/>
      <c r="AD1011" s="119"/>
      <c r="AE1011" s="118"/>
      <c r="AF1011" s="120"/>
    </row>
    <row r="1012" spans="1:32" x14ac:dyDescent="0.2">
      <c r="A1012" s="121">
        <v>87</v>
      </c>
      <c r="B1012" s="122" t="s">
        <v>1204</v>
      </c>
      <c r="C1012" s="123" t="s">
        <v>14</v>
      </c>
      <c r="D1012" s="123" t="s">
        <v>404</v>
      </c>
      <c r="E1012" s="123" t="s">
        <v>2720</v>
      </c>
      <c r="F1012" s="124" t="s">
        <v>2721</v>
      </c>
      <c r="G1012" s="124" t="s">
        <v>2973</v>
      </c>
      <c r="H1012" s="124" t="s">
        <v>2691</v>
      </c>
      <c r="I1012" s="123">
        <v>20.959440000000001</v>
      </c>
      <c r="J1012" s="123">
        <v>-101.27451000000001</v>
      </c>
      <c r="K1012" s="122"/>
      <c r="L1012" s="125" t="str">
        <f t="shared" si="50"/>
        <v>Ver en Google Maps</v>
      </c>
      <c r="M1012" s="125">
        <v>2</v>
      </c>
      <c r="N1012" s="140"/>
      <c r="O1012" s="109"/>
      <c r="P1012" s="109"/>
      <c r="Q1012" s="109"/>
      <c r="R1012" s="109"/>
      <c r="S1012" s="109"/>
      <c r="T1012" s="109"/>
      <c r="U1012" s="109"/>
      <c r="V1012" s="109"/>
      <c r="W1012" s="109"/>
      <c r="X1012" s="109"/>
      <c r="Y1012" s="109"/>
      <c r="Z1012" s="109"/>
      <c r="AA1012" s="109"/>
      <c r="AB1012" s="109"/>
      <c r="AC1012" s="110"/>
      <c r="AD1012" s="110"/>
      <c r="AE1012" s="109"/>
      <c r="AF1012" s="111"/>
    </row>
    <row r="1013" spans="1:32" x14ac:dyDescent="0.2">
      <c r="A1013" s="112">
        <v>90</v>
      </c>
      <c r="B1013" s="113" t="s">
        <v>1204</v>
      </c>
      <c r="C1013" s="114" t="s">
        <v>429</v>
      </c>
      <c r="D1013" s="114" t="s">
        <v>17</v>
      </c>
      <c r="E1013" s="114" t="s">
        <v>2722</v>
      </c>
      <c r="F1013" s="115" t="s">
        <v>2723</v>
      </c>
      <c r="G1013" s="115" t="s">
        <v>2977</v>
      </c>
      <c r="H1013" s="115" t="s">
        <v>2691</v>
      </c>
      <c r="I1013" s="114">
        <v>21.011431000000002</v>
      </c>
      <c r="J1013" s="114">
        <v>-101.25842799999999</v>
      </c>
      <c r="K1013" s="113"/>
      <c r="L1013" s="116" t="str">
        <f t="shared" si="50"/>
        <v>Ver en Google Maps</v>
      </c>
      <c r="M1013" s="116">
        <v>1</v>
      </c>
      <c r="N1013" s="139"/>
      <c r="O1013" s="118"/>
      <c r="P1013" s="118"/>
      <c r="Q1013" s="118"/>
      <c r="R1013" s="118"/>
      <c r="S1013" s="118"/>
      <c r="T1013" s="118"/>
      <c r="U1013" s="118"/>
      <c r="V1013" s="118"/>
      <c r="W1013" s="118"/>
      <c r="X1013" s="118"/>
      <c r="Y1013" s="118"/>
      <c r="Z1013" s="118"/>
      <c r="AA1013" s="118"/>
      <c r="AB1013" s="118"/>
      <c r="AC1013" s="119"/>
      <c r="AD1013" s="119"/>
      <c r="AE1013" s="118"/>
      <c r="AF1013" s="120"/>
    </row>
    <row r="1014" spans="1:32" x14ac:dyDescent="0.2">
      <c r="A1014" s="121">
        <v>91</v>
      </c>
      <c r="B1014" s="122" t="s">
        <v>1204</v>
      </c>
      <c r="C1014" s="123" t="s">
        <v>429</v>
      </c>
      <c r="D1014" s="123" t="s">
        <v>16</v>
      </c>
      <c r="E1014" s="123" t="s">
        <v>2724</v>
      </c>
      <c r="F1014" s="124" t="s">
        <v>2725</v>
      </c>
      <c r="G1014" s="124" t="s">
        <v>2978</v>
      </c>
      <c r="H1014" s="124" t="s">
        <v>2691</v>
      </c>
      <c r="I1014" s="123">
        <v>20.997250000000001</v>
      </c>
      <c r="J1014" s="123">
        <v>-101.29508</v>
      </c>
      <c r="K1014" s="122" t="s">
        <v>139</v>
      </c>
      <c r="L1014" s="125" t="str">
        <f t="shared" si="50"/>
        <v>Ver en Google Maps</v>
      </c>
      <c r="M1014" s="125">
        <v>1</v>
      </c>
      <c r="N1014" s="138">
        <v>45961</v>
      </c>
      <c r="O1014" s="109">
        <f>DAY('BD2'!$N1014)</f>
        <v>31</v>
      </c>
      <c r="P1014" s="109">
        <f>MONTH('BD2'!$N1014)</f>
        <v>10</v>
      </c>
      <c r="Q1014" s="109">
        <f>YEAR('BD2'!$N1014)</f>
        <v>2025</v>
      </c>
      <c r="R1014" s="109">
        <v>2</v>
      </c>
      <c r="S1014" s="109" t="s">
        <v>138</v>
      </c>
      <c r="T1014" s="109" t="s">
        <v>138</v>
      </c>
      <c r="U1014" s="109" t="s">
        <v>138</v>
      </c>
      <c r="V1014" s="109" t="s">
        <v>138</v>
      </c>
      <c r="W1014" s="109" t="s">
        <v>138</v>
      </c>
      <c r="X1014" s="109" t="s">
        <v>138</v>
      </c>
      <c r="Y1014" s="109" t="s">
        <v>138</v>
      </c>
      <c r="Z1014" s="109" t="str">
        <f>IF('BD2'!$AA1014 &lt; 14, "no", "si")</f>
        <v>si</v>
      </c>
      <c r="AA1014" s="109">
        <v>72.3</v>
      </c>
      <c r="AB1014" s="109">
        <v>18</v>
      </c>
      <c r="AC1014" s="110" t="s">
        <v>967</v>
      </c>
      <c r="AD1014" s="110" t="s">
        <v>2436</v>
      </c>
      <c r="AE1014" s="109">
        <f t="shared" si="49"/>
        <v>8</v>
      </c>
      <c r="AF1014" s="111" t="str">
        <f t="shared" si="48"/>
        <v>Estable</v>
      </c>
    </row>
    <row r="1015" spans="1:32" x14ac:dyDescent="0.2">
      <c r="A1015" s="112">
        <v>99</v>
      </c>
      <c r="B1015" s="113" t="s">
        <v>1204</v>
      </c>
      <c r="C1015" s="114" t="s">
        <v>429</v>
      </c>
      <c r="D1015" s="114" t="s">
        <v>15</v>
      </c>
      <c r="E1015" s="114" t="s">
        <v>2726</v>
      </c>
      <c r="F1015" s="115" t="s">
        <v>2727</v>
      </c>
      <c r="G1015" s="115" t="s">
        <v>2979</v>
      </c>
      <c r="H1015" s="115" t="s">
        <v>2691</v>
      </c>
      <c r="I1015" s="114">
        <v>21.023651000000001</v>
      </c>
      <c r="J1015" s="114">
        <v>-101.26884699999999</v>
      </c>
      <c r="K1015" s="113"/>
      <c r="L1015" s="116" t="str">
        <f t="shared" si="50"/>
        <v>Ver en Google Maps</v>
      </c>
      <c r="M1015" s="116">
        <v>2</v>
      </c>
      <c r="N1015" s="139"/>
      <c r="O1015" s="118"/>
      <c r="P1015" s="118"/>
      <c r="Q1015" s="118"/>
      <c r="R1015" s="118"/>
      <c r="S1015" s="118"/>
      <c r="T1015" s="118"/>
      <c r="U1015" s="118"/>
      <c r="V1015" s="118"/>
      <c r="W1015" s="118"/>
      <c r="X1015" s="118"/>
      <c r="Y1015" s="118"/>
      <c r="Z1015" s="118"/>
      <c r="AA1015" s="118"/>
      <c r="AB1015" s="118"/>
      <c r="AC1015" s="119"/>
      <c r="AD1015" s="119"/>
      <c r="AE1015" s="118"/>
      <c r="AF1015" s="120"/>
    </row>
    <row r="1016" spans="1:32" x14ac:dyDescent="0.2">
      <c r="A1016" s="121">
        <v>113</v>
      </c>
      <c r="B1016" s="122" t="s">
        <v>1204</v>
      </c>
      <c r="C1016" s="123" t="s">
        <v>429</v>
      </c>
      <c r="D1016" s="123" t="s">
        <v>15</v>
      </c>
      <c r="E1016" s="123" t="s">
        <v>2728</v>
      </c>
      <c r="F1016" s="124" t="s">
        <v>2729</v>
      </c>
      <c r="G1016" s="124" t="s">
        <v>2980</v>
      </c>
      <c r="H1016" s="124" t="s">
        <v>2691</v>
      </c>
      <c r="I1016" s="123">
        <v>21.009606000000002</v>
      </c>
      <c r="J1016" s="123">
        <v>-101.25045299999999</v>
      </c>
      <c r="K1016" s="122"/>
      <c r="L1016" s="125" t="str">
        <f t="shared" si="50"/>
        <v>Ver en Google Maps</v>
      </c>
      <c r="M1016" s="125">
        <v>2</v>
      </c>
      <c r="N1016" s="140"/>
      <c r="O1016" s="109"/>
      <c r="P1016" s="109"/>
      <c r="Q1016" s="109"/>
      <c r="R1016" s="109"/>
      <c r="S1016" s="109"/>
      <c r="T1016" s="109"/>
      <c r="U1016" s="109"/>
      <c r="V1016" s="109"/>
      <c r="W1016" s="109"/>
      <c r="X1016" s="109"/>
      <c r="Y1016" s="109"/>
      <c r="Z1016" s="109"/>
      <c r="AA1016" s="109"/>
      <c r="AB1016" s="109"/>
      <c r="AC1016" s="110"/>
      <c r="AD1016" s="110"/>
      <c r="AE1016" s="109"/>
      <c r="AF1016" s="111"/>
    </row>
    <row r="1017" spans="1:32" x14ac:dyDescent="0.2">
      <c r="A1017" s="112">
        <v>118</v>
      </c>
      <c r="B1017" s="113" t="s">
        <v>1204</v>
      </c>
      <c r="C1017" s="114" t="s">
        <v>429</v>
      </c>
      <c r="D1017" s="114" t="s">
        <v>17</v>
      </c>
      <c r="E1017" s="114" t="s">
        <v>2730</v>
      </c>
      <c r="F1017" s="115" t="s">
        <v>2731</v>
      </c>
      <c r="G1017" s="115" t="s">
        <v>2981</v>
      </c>
      <c r="H1017" s="115" t="s">
        <v>2691</v>
      </c>
      <c r="I1017" s="114">
        <v>21.029299999999999</v>
      </c>
      <c r="J1017" s="114">
        <v>-101.26038</v>
      </c>
      <c r="K1017" s="113"/>
      <c r="L1017" s="116" t="str">
        <f t="shared" si="50"/>
        <v>Ver en Google Maps</v>
      </c>
      <c r="M1017" s="116">
        <v>2</v>
      </c>
      <c r="N1017" s="139"/>
      <c r="O1017" s="118"/>
      <c r="P1017" s="118"/>
      <c r="Q1017" s="118"/>
      <c r="R1017" s="118"/>
      <c r="S1017" s="118"/>
      <c r="T1017" s="118"/>
      <c r="U1017" s="118"/>
      <c r="V1017" s="118"/>
      <c r="W1017" s="118"/>
      <c r="X1017" s="118"/>
      <c r="Y1017" s="118"/>
      <c r="Z1017" s="118"/>
      <c r="AA1017" s="118"/>
      <c r="AB1017" s="118"/>
      <c r="AC1017" s="119"/>
      <c r="AD1017" s="119"/>
      <c r="AE1017" s="118"/>
      <c r="AF1017" s="120"/>
    </row>
    <row r="1018" spans="1:32" x14ac:dyDescent="0.2">
      <c r="A1018" s="121">
        <v>134</v>
      </c>
      <c r="B1018" s="122" t="s">
        <v>1204</v>
      </c>
      <c r="C1018" s="123" t="s">
        <v>429</v>
      </c>
      <c r="D1018" s="123" t="s">
        <v>17</v>
      </c>
      <c r="E1018" s="123" t="s">
        <v>2732</v>
      </c>
      <c r="F1018" s="124" t="s">
        <v>2733</v>
      </c>
      <c r="G1018" s="124" t="s">
        <v>2982</v>
      </c>
      <c r="H1018" s="124" t="s">
        <v>2691</v>
      </c>
      <c r="I1018" s="123">
        <v>21.011115</v>
      </c>
      <c r="J1018" s="123">
        <v>-101.24168299999999</v>
      </c>
      <c r="K1018" s="122"/>
      <c r="L1018" s="125" t="str">
        <f t="shared" si="50"/>
        <v>Ver en Google Maps</v>
      </c>
      <c r="M1018" s="125">
        <v>2</v>
      </c>
      <c r="N1018" s="140"/>
      <c r="O1018" s="109"/>
      <c r="P1018" s="109"/>
      <c r="Q1018" s="109"/>
      <c r="R1018" s="109"/>
      <c r="S1018" s="109"/>
      <c r="T1018" s="109"/>
      <c r="U1018" s="109"/>
      <c r="V1018" s="109"/>
      <c r="W1018" s="109"/>
      <c r="X1018" s="109"/>
      <c r="Y1018" s="109"/>
      <c r="Z1018" s="109"/>
      <c r="AA1018" s="109"/>
      <c r="AB1018" s="109"/>
      <c r="AC1018" s="110"/>
      <c r="AD1018" s="110"/>
      <c r="AE1018" s="109"/>
      <c r="AF1018" s="111"/>
    </row>
    <row r="1019" spans="1:32" x14ac:dyDescent="0.2">
      <c r="A1019" s="112">
        <v>151</v>
      </c>
      <c r="B1019" s="113" t="s">
        <v>1204</v>
      </c>
      <c r="C1019" s="114" t="s">
        <v>429</v>
      </c>
      <c r="D1019" s="114" t="s">
        <v>17</v>
      </c>
      <c r="E1019" s="114" t="s">
        <v>2734</v>
      </c>
      <c r="F1019" s="115" t="s">
        <v>2735</v>
      </c>
      <c r="G1019" s="115" t="s">
        <v>2979</v>
      </c>
      <c r="H1019" s="115" t="s">
        <v>2691</v>
      </c>
      <c r="I1019" s="114">
        <v>21.021190000000001</v>
      </c>
      <c r="J1019" s="114">
        <v>-101.2694</v>
      </c>
      <c r="K1019" s="113"/>
      <c r="L1019" s="116" t="str">
        <f t="shared" si="50"/>
        <v>Ver en Google Maps</v>
      </c>
      <c r="M1019" s="116">
        <v>1</v>
      </c>
      <c r="N1019" s="139"/>
      <c r="O1019" s="118"/>
      <c r="P1019" s="118"/>
      <c r="Q1019" s="118"/>
      <c r="R1019" s="118"/>
      <c r="S1019" s="118"/>
      <c r="T1019" s="118"/>
      <c r="U1019" s="118"/>
      <c r="V1019" s="118"/>
      <c r="W1019" s="118"/>
      <c r="X1019" s="118"/>
      <c r="Y1019" s="118"/>
      <c r="Z1019" s="118"/>
      <c r="AA1019" s="118"/>
      <c r="AB1019" s="118"/>
      <c r="AC1019" s="119"/>
      <c r="AD1019" s="119"/>
      <c r="AE1019" s="118"/>
      <c r="AF1019" s="120"/>
    </row>
    <row r="1020" spans="1:32" x14ac:dyDescent="0.2">
      <c r="A1020" s="121">
        <v>152</v>
      </c>
      <c r="B1020" s="122" t="s">
        <v>1204</v>
      </c>
      <c r="C1020" s="123" t="s">
        <v>429</v>
      </c>
      <c r="D1020" s="123" t="s">
        <v>17</v>
      </c>
      <c r="E1020" s="123" t="s">
        <v>2736</v>
      </c>
      <c r="F1020" s="124" t="s">
        <v>2737</v>
      </c>
      <c r="G1020" s="124" t="s">
        <v>2983</v>
      </c>
      <c r="H1020" s="124" t="s">
        <v>2691</v>
      </c>
      <c r="I1020" s="123">
        <v>21.0122</v>
      </c>
      <c r="J1020" s="123">
        <v>-101.25931</v>
      </c>
      <c r="K1020" s="122"/>
      <c r="L1020" s="125" t="str">
        <f t="shared" si="50"/>
        <v>Ver en Google Maps</v>
      </c>
      <c r="M1020" s="125">
        <v>1</v>
      </c>
      <c r="N1020" s="140"/>
      <c r="O1020" s="109"/>
      <c r="P1020" s="109"/>
      <c r="Q1020" s="109"/>
      <c r="R1020" s="109"/>
      <c r="S1020" s="109"/>
      <c r="T1020" s="109"/>
      <c r="U1020" s="109"/>
      <c r="V1020" s="109"/>
      <c r="W1020" s="109"/>
      <c r="X1020" s="109"/>
      <c r="Y1020" s="109"/>
      <c r="Z1020" s="109"/>
      <c r="AA1020" s="109"/>
      <c r="AB1020" s="109"/>
      <c r="AC1020" s="110"/>
      <c r="AD1020" s="110"/>
      <c r="AE1020" s="109"/>
      <c r="AF1020" s="111"/>
    </row>
    <row r="1021" spans="1:32" x14ac:dyDescent="0.2">
      <c r="A1021" s="112">
        <v>159</v>
      </c>
      <c r="B1021" s="113" t="s">
        <v>1204</v>
      </c>
      <c r="C1021" s="114" t="s">
        <v>429</v>
      </c>
      <c r="D1021" s="114" t="s">
        <v>17</v>
      </c>
      <c r="E1021" s="114" t="s">
        <v>2738</v>
      </c>
      <c r="F1021" s="115" t="s">
        <v>2739</v>
      </c>
      <c r="G1021" s="115" t="s">
        <v>2973</v>
      </c>
      <c r="H1021" s="115" t="s">
        <v>2691</v>
      </c>
      <c r="I1021" s="114">
        <v>20.966978999999998</v>
      </c>
      <c r="J1021" s="114">
        <v>-101.275711</v>
      </c>
      <c r="K1021" s="113"/>
      <c r="L1021" s="116" t="str">
        <f t="shared" si="50"/>
        <v>Ver en Google Maps</v>
      </c>
      <c r="M1021" s="116">
        <v>1</v>
      </c>
      <c r="N1021" s="139"/>
      <c r="O1021" s="118"/>
      <c r="P1021" s="118"/>
      <c r="Q1021" s="118"/>
      <c r="R1021" s="118"/>
      <c r="S1021" s="118"/>
      <c r="T1021" s="118"/>
      <c r="U1021" s="118"/>
      <c r="V1021" s="118"/>
      <c r="W1021" s="118"/>
      <c r="X1021" s="118"/>
      <c r="Y1021" s="118"/>
      <c r="Z1021" s="118"/>
      <c r="AA1021" s="118"/>
      <c r="AB1021" s="118"/>
      <c r="AC1021" s="119"/>
      <c r="AD1021" s="119"/>
      <c r="AE1021" s="118"/>
      <c r="AF1021" s="120"/>
    </row>
    <row r="1022" spans="1:32" x14ac:dyDescent="0.2">
      <c r="A1022" s="121">
        <v>246</v>
      </c>
      <c r="B1022" s="122" t="s">
        <v>1204</v>
      </c>
      <c r="C1022" s="123" t="s">
        <v>429</v>
      </c>
      <c r="D1022" s="123" t="s">
        <v>17</v>
      </c>
      <c r="E1022" s="123" t="s">
        <v>2740</v>
      </c>
      <c r="F1022" s="124" t="s">
        <v>2741</v>
      </c>
      <c r="G1022" s="124" t="s">
        <v>2984</v>
      </c>
      <c r="H1022" s="124" t="s">
        <v>2691</v>
      </c>
      <c r="I1022" s="123">
        <v>20.996324000000001</v>
      </c>
      <c r="J1022" s="123">
        <v>-101.29487</v>
      </c>
      <c r="K1022" s="122" t="s">
        <v>139</v>
      </c>
      <c r="L1022" s="125" t="str">
        <f t="shared" si="50"/>
        <v>Ver en Google Maps</v>
      </c>
      <c r="M1022" s="125">
        <v>1</v>
      </c>
      <c r="N1022" s="138">
        <v>45961</v>
      </c>
      <c r="O1022" s="109">
        <f>DAY('BD2'!$N1022)</f>
        <v>31</v>
      </c>
      <c r="P1022" s="109">
        <f>MONTH('BD2'!$N1022)</f>
        <v>10</v>
      </c>
      <c r="Q1022" s="109">
        <f>YEAR('BD2'!$N1022)</f>
        <v>2025</v>
      </c>
      <c r="R1022" s="109">
        <v>2</v>
      </c>
      <c r="S1022" s="109" t="s">
        <v>138</v>
      </c>
      <c r="T1022" s="109" t="s">
        <v>138</v>
      </c>
      <c r="U1022" s="109" t="s">
        <v>138</v>
      </c>
      <c r="V1022" s="109" t="s">
        <v>138</v>
      </c>
      <c r="W1022" s="109" t="s">
        <v>138</v>
      </c>
      <c r="X1022" s="109" t="s">
        <v>138</v>
      </c>
      <c r="Y1022" s="109" t="s">
        <v>138</v>
      </c>
      <c r="Z1022" s="109" t="str">
        <f>IF('BD2'!$AA1022 &lt; 14, "no", "si")</f>
        <v>no</v>
      </c>
      <c r="AA1022" s="109">
        <v>3.11</v>
      </c>
      <c r="AB1022" s="109">
        <v>1.89</v>
      </c>
      <c r="AC1022" s="110" t="s">
        <v>3121</v>
      </c>
      <c r="AD1022" s="110" t="s">
        <v>2436</v>
      </c>
      <c r="AE1022" s="109">
        <f t="shared" si="49"/>
        <v>7</v>
      </c>
      <c r="AF1022" s="111" t="str">
        <f t="shared" si="48"/>
        <v>Funcional con observaciones</v>
      </c>
    </row>
    <row r="1023" spans="1:32" x14ac:dyDescent="0.2">
      <c r="A1023" s="112">
        <v>277</v>
      </c>
      <c r="B1023" s="113" t="s">
        <v>1204</v>
      </c>
      <c r="C1023" s="114" t="s">
        <v>429</v>
      </c>
      <c r="D1023" s="114" t="s">
        <v>17</v>
      </c>
      <c r="E1023" s="114" t="s">
        <v>2742</v>
      </c>
      <c r="F1023" s="115" t="s">
        <v>2743</v>
      </c>
      <c r="G1023" s="115" t="s">
        <v>2985</v>
      </c>
      <c r="H1023" s="115" t="s">
        <v>2691</v>
      </c>
      <c r="I1023" s="114">
        <v>20.967510000000001</v>
      </c>
      <c r="J1023" s="114">
        <v>-101.28522</v>
      </c>
      <c r="K1023" s="113"/>
      <c r="L1023" s="116" t="str">
        <f t="shared" si="50"/>
        <v>Ver en Google Maps</v>
      </c>
      <c r="M1023" s="116">
        <v>1</v>
      </c>
      <c r="N1023" s="139"/>
      <c r="O1023" s="118"/>
      <c r="P1023" s="118"/>
      <c r="Q1023" s="118"/>
      <c r="R1023" s="118"/>
      <c r="S1023" s="118"/>
      <c r="T1023" s="118"/>
      <c r="U1023" s="118"/>
      <c r="V1023" s="118"/>
      <c r="W1023" s="118"/>
      <c r="X1023" s="118"/>
      <c r="Y1023" s="118"/>
      <c r="Z1023" s="118"/>
      <c r="AA1023" s="118"/>
      <c r="AB1023" s="118"/>
      <c r="AC1023" s="119"/>
      <c r="AD1023" s="119"/>
      <c r="AE1023" s="118"/>
      <c r="AF1023" s="120"/>
    </row>
    <row r="1024" spans="1:32" x14ac:dyDescent="0.2">
      <c r="A1024" s="121">
        <v>278</v>
      </c>
      <c r="B1024" s="122" t="s">
        <v>1204</v>
      </c>
      <c r="C1024" s="123" t="s">
        <v>429</v>
      </c>
      <c r="D1024" s="123" t="s">
        <v>17</v>
      </c>
      <c r="E1024" s="123" t="s">
        <v>2744</v>
      </c>
      <c r="F1024" s="124" t="s">
        <v>2745</v>
      </c>
      <c r="G1024" s="124" t="s">
        <v>2966</v>
      </c>
      <c r="H1024" s="124" t="s">
        <v>2691</v>
      </c>
      <c r="I1024" s="123">
        <v>21.005230000000001</v>
      </c>
      <c r="J1024" s="123">
        <v>-101.28914</v>
      </c>
      <c r="K1024" s="122"/>
      <c r="L1024" s="125" t="str">
        <f t="shared" si="50"/>
        <v>Ver en Google Maps</v>
      </c>
      <c r="M1024" s="125">
        <v>1</v>
      </c>
      <c r="N1024" s="140"/>
      <c r="O1024" s="109"/>
      <c r="P1024" s="109"/>
      <c r="Q1024" s="109"/>
      <c r="R1024" s="109"/>
      <c r="S1024" s="109"/>
      <c r="T1024" s="109"/>
      <c r="U1024" s="109"/>
      <c r="V1024" s="109"/>
      <c r="W1024" s="109"/>
      <c r="X1024" s="109"/>
      <c r="Y1024" s="109"/>
      <c r="Z1024" s="109"/>
      <c r="AA1024" s="109"/>
      <c r="AB1024" s="109"/>
      <c r="AC1024" s="110"/>
      <c r="AD1024" s="110"/>
      <c r="AE1024" s="109"/>
      <c r="AF1024" s="111"/>
    </row>
    <row r="1025" spans="1:32" x14ac:dyDescent="0.2">
      <c r="A1025" s="112">
        <v>289</v>
      </c>
      <c r="B1025" s="113" t="s">
        <v>1204</v>
      </c>
      <c r="C1025" s="114" t="s">
        <v>429</v>
      </c>
      <c r="D1025" s="114" t="s">
        <v>16</v>
      </c>
      <c r="E1025" s="114" t="s">
        <v>2746</v>
      </c>
      <c r="F1025" s="115" t="s">
        <v>2747</v>
      </c>
      <c r="G1025" s="115" t="s">
        <v>2986</v>
      </c>
      <c r="H1025" s="115" t="s">
        <v>2691</v>
      </c>
      <c r="I1025" s="114">
        <v>21.014077</v>
      </c>
      <c r="J1025" s="114">
        <v>-101.262747</v>
      </c>
      <c r="K1025" s="113"/>
      <c r="L1025" s="116" t="str">
        <f t="shared" si="50"/>
        <v>Ver en Google Maps</v>
      </c>
      <c r="M1025" s="116">
        <v>1</v>
      </c>
      <c r="N1025" s="139"/>
      <c r="O1025" s="118"/>
      <c r="P1025" s="118"/>
      <c r="Q1025" s="118"/>
      <c r="R1025" s="118"/>
      <c r="S1025" s="118"/>
      <c r="T1025" s="118"/>
      <c r="U1025" s="118"/>
      <c r="V1025" s="118"/>
      <c r="W1025" s="118"/>
      <c r="X1025" s="118"/>
      <c r="Y1025" s="118"/>
      <c r="Z1025" s="118"/>
      <c r="AA1025" s="118"/>
      <c r="AB1025" s="118"/>
      <c r="AC1025" s="119"/>
      <c r="AD1025" s="119"/>
      <c r="AE1025" s="118"/>
      <c r="AF1025" s="120"/>
    </row>
    <row r="1026" spans="1:32" x14ac:dyDescent="0.2">
      <c r="A1026" s="121">
        <v>290</v>
      </c>
      <c r="B1026" s="122" t="s">
        <v>1204</v>
      </c>
      <c r="C1026" s="123" t="s">
        <v>429</v>
      </c>
      <c r="D1026" s="123" t="s">
        <v>16</v>
      </c>
      <c r="E1026" s="123" t="s">
        <v>2748</v>
      </c>
      <c r="F1026" s="124" t="s">
        <v>2749</v>
      </c>
      <c r="G1026" s="124" t="s">
        <v>2973</v>
      </c>
      <c r="H1026" s="124" t="s">
        <v>2691</v>
      </c>
      <c r="I1026" s="123">
        <v>20.970510000000001</v>
      </c>
      <c r="J1026" s="123">
        <v>-101.27507</v>
      </c>
      <c r="K1026" s="122"/>
      <c r="L1026" s="125" t="str">
        <f t="shared" si="50"/>
        <v>Ver en Google Maps</v>
      </c>
      <c r="M1026" s="125">
        <v>1</v>
      </c>
      <c r="N1026" s="140"/>
      <c r="O1026" s="109"/>
      <c r="P1026" s="109"/>
      <c r="Q1026" s="109"/>
      <c r="R1026" s="109"/>
      <c r="S1026" s="109"/>
      <c r="T1026" s="109"/>
      <c r="U1026" s="109"/>
      <c r="V1026" s="109"/>
      <c r="W1026" s="109"/>
      <c r="X1026" s="109"/>
      <c r="Y1026" s="109"/>
      <c r="Z1026" s="109"/>
      <c r="AA1026" s="109"/>
      <c r="AB1026" s="109"/>
      <c r="AC1026" s="110"/>
      <c r="AD1026" s="110"/>
      <c r="AE1026" s="109"/>
      <c r="AF1026" s="111"/>
    </row>
    <row r="1027" spans="1:32" x14ac:dyDescent="0.2">
      <c r="A1027" s="112">
        <v>316</v>
      </c>
      <c r="B1027" s="113" t="s">
        <v>1204</v>
      </c>
      <c r="C1027" s="114" t="s">
        <v>429</v>
      </c>
      <c r="D1027" s="114" t="s">
        <v>16</v>
      </c>
      <c r="E1027" s="114" t="s">
        <v>2750</v>
      </c>
      <c r="F1027" s="115" t="s">
        <v>2751</v>
      </c>
      <c r="G1027" s="115" t="s">
        <v>2987</v>
      </c>
      <c r="H1027" s="115" t="s">
        <v>2691</v>
      </c>
      <c r="I1027" s="114">
        <v>21.022469999999998</v>
      </c>
      <c r="J1027" s="114">
        <v>-101.26434999999999</v>
      </c>
      <c r="K1027" s="113"/>
      <c r="L1027" s="116" t="str">
        <f t="shared" si="50"/>
        <v>Ver en Google Maps</v>
      </c>
      <c r="M1027" s="116">
        <v>2</v>
      </c>
      <c r="N1027" s="139"/>
      <c r="O1027" s="118"/>
      <c r="P1027" s="118"/>
      <c r="Q1027" s="118"/>
      <c r="R1027" s="118"/>
      <c r="S1027" s="118"/>
      <c r="T1027" s="118"/>
      <c r="U1027" s="118"/>
      <c r="V1027" s="118"/>
      <c r="W1027" s="118"/>
      <c r="X1027" s="118"/>
      <c r="Y1027" s="118"/>
      <c r="Z1027" s="118"/>
      <c r="AA1027" s="118"/>
      <c r="AB1027" s="118"/>
      <c r="AC1027" s="119"/>
      <c r="AD1027" s="119"/>
      <c r="AE1027" s="118"/>
      <c r="AF1027" s="120"/>
    </row>
    <row r="1028" spans="1:32" x14ac:dyDescent="0.2">
      <c r="A1028" s="121">
        <v>329</v>
      </c>
      <c r="B1028" s="122" t="s">
        <v>1204</v>
      </c>
      <c r="C1028" s="123" t="s">
        <v>429</v>
      </c>
      <c r="D1028" s="123" t="s">
        <v>16</v>
      </c>
      <c r="E1028" s="123" t="s">
        <v>2752</v>
      </c>
      <c r="F1028" s="124" t="s">
        <v>2753</v>
      </c>
      <c r="G1028" s="124" t="s">
        <v>2980</v>
      </c>
      <c r="H1028" s="124" t="s">
        <v>2691</v>
      </c>
      <c r="I1028" s="123">
        <v>21.01013</v>
      </c>
      <c r="J1028" s="123">
        <v>-101.25104</v>
      </c>
      <c r="K1028" s="122"/>
      <c r="L1028" s="125" t="str">
        <f t="shared" si="50"/>
        <v>Ver en Google Maps</v>
      </c>
      <c r="M1028" s="125">
        <v>1</v>
      </c>
      <c r="N1028" s="140"/>
      <c r="O1028" s="109"/>
      <c r="P1028" s="109"/>
      <c r="Q1028" s="109"/>
      <c r="R1028" s="109"/>
      <c r="S1028" s="109"/>
      <c r="T1028" s="109"/>
      <c r="U1028" s="109"/>
      <c r="V1028" s="109"/>
      <c r="W1028" s="109"/>
      <c r="X1028" s="109"/>
      <c r="Y1028" s="109"/>
      <c r="Z1028" s="109"/>
      <c r="AA1028" s="109"/>
      <c r="AB1028" s="109"/>
      <c r="AC1028" s="110"/>
      <c r="AD1028" s="110"/>
      <c r="AE1028" s="109"/>
      <c r="AF1028" s="111"/>
    </row>
    <row r="1029" spans="1:32" x14ac:dyDescent="0.2">
      <c r="A1029" s="112">
        <v>392</v>
      </c>
      <c r="B1029" s="113" t="s">
        <v>1204</v>
      </c>
      <c r="C1029" s="114" t="s">
        <v>429</v>
      </c>
      <c r="D1029" s="114" t="s">
        <v>16</v>
      </c>
      <c r="E1029" s="114" t="s">
        <v>2754</v>
      </c>
      <c r="F1029" s="115" t="s">
        <v>2755</v>
      </c>
      <c r="G1029" s="115" t="s">
        <v>2966</v>
      </c>
      <c r="H1029" s="115" t="s">
        <v>2691</v>
      </c>
      <c r="I1029" s="114">
        <v>20.994859999999999</v>
      </c>
      <c r="J1029" s="114">
        <v>-101.28577</v>
      </c>
      <c r="K1029" s="113"/>
      <c r="L1029" s="116" t="str">
        <f t="shared" si="50"/>
        <v>Ver en Google Maps</v>
      </c>
      <c r="M1029" s="116">
        <v>1</v>
      </c>
      <c r="N1029" s="139"/>
      <c r="O1029" s="118"/>
      <c r="P1029" s="118"/>
      <c r="Q1029" s="118"/>
      <c r="R1029" s="118"/>
      <c r="S1029" s="118"/>
      <c r="T1029" s="118"/>
      <c r="U1029" s="118"/>
      <c r="V1029" s="118"/>
      <c r="W1029" s="118"/>
      <c r="X1029" s="118"/>
      <c r="Y1029" s="118"/>
      <c r="Z1029" s="118"/>
      <c r="AA1029" s="118"/>
      <c r="AB1029" s="118"/>
      <c r="AC1029" s="119"/>
      <c r="AD1029" s="119"/>
      <c r="AE1029" s="118"/>
      <c r="AF1029" s="120"/>
    </row>
    <row r="1030" spans="1:32" x14ac:dyDescent="0.2">
      <c r="A1030" s="121">
        <v>397</v>
      </c>
      <c r="B1030" s="122" t="s">
        <v>1204</v>
      </c>
      <c r="C1030" s="123" t="s">
        <v>429</v>
      </c>
      <c r="D1030" s="123" t="s">
        <v>16</v>
      </c>
      <c r="E1030" s="123" t="s">
        <v>2756</v>
      </c>
      <c r="F1030" s="124" t="s">
        <v>2757</v>
      </c>
      <c r="G1030" s="124" t="s">
        <v>2979</v>
      </c>
      <c r="H1030" s="124" t="s">
        <v>2691</v>
      </c>
      <c r="I1030" s="123">
        <v>21.02074</v>
      </c>
      <c r="J1030" s="123">
        <v>-101.27003999999999</v>
      </c>
      <c r="K1030" s="122"/>
      <c r="L1030" s="125" t="str">
        <f t="shared" si="50"/>
        <v>Ver en Google Maps</v>
      </c>
      <c r="M1030" s="125">
        <v>1</v>
      </c>
      <c r="N1030" s="140"/>
      <c r="O1030" s="109"/>
      <c r="P1030" s="109"/>
      <c r="Q1030" s="109"/>
      <c r="R1030" s="109"/>
      <c r="S1030" s="109"/>
      <c r="T1030" s="109"/>
      <c r="U1030" s="109"/>
      <c r="V1030" s="109"/>
      <c r="W1030" s="109"/>
      <c r="X1030" s="109"/>
      <c r="Y1030" s="109"/>
      <c r="Z1030" s="109"/>
      <c r="AA1030" s="109"/>
      <c r="AB1030" s="109"/>
      <c r="AC1030" s="110"/>
      <c r="AD1030" s="110"/>
      <c r="AE1030" s="109"/>
      <c r="AF1030" s="111"/>
    </row>
    <row r="1031" spans="1:32" x14ac:dyDescent="0.2">
      <c r="A1031" s="112">
        <v>403</v>
      </c>
      <c r="B1031" s="113" t="s">
        <v>1204</v>
      </c>
      <c r="C1031" s="114" t="s">
        <v>429</v>
      </c>
      <c r="D1031" s="114" t="s">
        <v>16</v>
      </c>
      <c r="E1031" s="114" t="s">
        <v>2758</v>
      </c>
      <c r="F1031" s="115" t="s">
        <v>2759</v>
      </c>
      <c r="G1031" s="115" t="s">
        <v>2975</v>
      </c>
      <c r="H1031" s="115" t="s">
        <v>2691</v>
      </c>
      <c r="I1031" s="114">
        <v>21.022977999999998</v>
      </c>
      <c r="J1031" s="114">
        <v>-101.25678499999999</v>
      </c>
      <c r="K1031" s="113"/>
      <c r="L1031" s="116" t="str">
        <f t="shared" si="50"/>
        <v>Ver en Google Maps</v>
      </c>
      <c r="M1031" s="116">
        <v>2</v>
      </c>
      <c r="N1031" s="139"/>
      <c r="O1031" s="118"/>
      <c r="P1031" s="118"/>
      <c r="Q1031" s="118"/>
      <c r="R1031" s="118"/>
      <c r="S1031" s="118"/>
      <c r="T1031" s="118"/>
      <c r="U1031" s="118"/>
      <c r="V1031" s="118"/>
      <c r="W1031" s="118"/>
      <c r="X1031" s="118"/>
      <c r="Y1031" s="118"/>
      <c r="Z1031" s="118"/>
      <c r="AA1031" s="118"/>
      <c r="AB1031" s="118"/>
      <c r="AC1031" s="119"/>
      <c r="AD1031" s="119"/>
      <c r="AE1031" s="118"/>
      <c r="AF1031" s="120"/>
    </row>
    <row r="1032" spans="1:32" x14ac:dyDescent="0.2">
      <c r="A1032" s="121">
        <v>405</v>
      </c>
      <c r="B1032" s="122" t="s">
        <v>1204</v>
      </c>
      <c r="C1032" s="123" t="s">
        <v>429</v>
      </c>
      <c r="D1032" s="123" t="s">
        <v>15</v>
      </c>
      <c r="E1032" s="123" t="s">
        <v>2760</v>
      </c>
      <c r="F1032" s="124" t="s">
        <v>2761</v>
      </c>
      <c r="G1032" s="124" t="s">
        <v>2988</v>
      </c>
      <c r="H1032" s="124" t="s">
        <v>2691</v>
      </c>
      <c r="I1032" s="123">
        <v>20.969469</v>
      </c>
      <c r="J1032" s="123">
        <v>-101.288776</v>
      </c>
      <c r="K1032" s="122"/>
      <c r="L1032" s="125" t="str">
        <f t="shared" si="50"/>
        <v>Ver en Google Maps</v>
      </c>
      <c r="M1032" s="125">
        <v>2</v>
      </c>
      <c r="N1032" s="140"/>
      <c r="O1032" s="109"/>
      <c r="P1032" s="109"/>
      <c r="Q1032" s="109"/>
      <c r="R1032" s="109"/>
      <c r="S1032" s="109"/>
      <c r="T1032" s="109"/>
      <c r="U1032" s="109"/>
      <c r="V1032" s="109"/>
      <c r="W1032" s="109"/>
      <c r="X1032" s="109"/>
      <c r="Y1032" s="109"/>
      <c r="Z1032" s="109"/>
      <c r="AA1032" s="109"/>
      <c r="AB1032" s="109"/>
      <c r="AC1032" s="110"/>
      <c r="AD1032" s="110"/>
      <c r="AE1032" s="109"/>
      <c r="AF1032" s="111"/>
    </row>
    <row r="1033" spans="1:32" x14ac:dyDescent="0.2">
      <c r="A1033" s="112">
        <v>495</v>
      </c>
      <c r="B1033" s="113" t="s">
        <v>1204</v>
      </c>
      <c r="C1033" s="114" t="s">
        <v>429</v>
      </c>
      <c r="D1033" s="114" t="s">
        <v>16</v>
      </c>
      <c r="E1033" s="114" t="s">
        <v>2762</v>
      </c>
      <c r="F1033" s="115" t="s">
        <v>2763</v>
      </c>
      <c r="G1033" s="115" t="s">
        <v>2989</v>
      </c>
      <c r="H1033" s="115" t="s">
        <v>2691</v>
      </c>
      <c r="I1033" s="114">
        <v>20.967140000000001</v>
      </c>
      <c r="J1033" s="114">
        <v>-101.28362</v>
      </c>
      <c r="K1033" s="113"/>
      <c r="L1033" s="116" t="str">
        <f t="shared" si="50"/>
        <v>Ver en Google Maps</v>
      </c>
      <c r="M1033" s="116">
        <v>1</v>
      </c>
      <c r="N1033" s="139"/>
      <c r="O1033" s="118"/>
      <c r="P1033" s="118"/>
      <c r="Q1033" s="118"/>
      <c r="R1033" s="118"/>
      <c r="S1033" s="118"/>
      <c r="T1033" s="118"/>
      <c r="U1033" s="118"/>
      <c r="V1033" s="118"/>
      <c r="W1033" s="118"/>
      <c r="X1033" s="118"/>
      <c r="Y1033" s="118"/>
      <c r="Z1033" s="118"/>
      <c r="AA1033" s="118"/>
      <c r="AB1033" s="118"/>
      <c r="AC1033" s="119"/>
      <c r="AD1033" s="119"/>
      <c r="AE1033" s="118"/>
      <c r="AF1033" s="120"/>
    </row>
    <row r="1034" spans="1:32" x14ac:dyDescent="0.2">
      <c r="A1034" s="121">
        <v>511</v>
      </c>
      <c r="B1034" s="122" t="s">
        <v>1204</v>
      </c>
      <c r="C1034" s="123" t="s">
        <v>429</v>
      </c>
      <c r="D1034" s="123" t="s">
        <v>15</v>
      </c>
      <c r="E1034" s="123" t="s">
        <v>2764</v>
      </c>
      <c r="F1034" s="124" t="s">
        <v>2765</v>
      </c>
      <c r="G1034" s="124" t="s">
        <v>2979</v>
      </c>
      <c r="H1034" s="124" t="s">
        <v>2691</v>
      </c>
      <c r="I1034" s="123">
        <v>21.017130000000002</v>
      </c>
      <c r="J1034" s="123">
        <v>-101.27776</v>
      </c>
      <c r="K1034" s="122" t="s">
        <v>139</v>
      </c>
      <c r="L1034" s="125" t="str">
        <f t="shared" si="50"/>
        <v>Ver en Google Maps</v>
      </c>
      <c r="M1034" s="125">
        <v>2</v>
      </c>
      <c r="N1034" s="138">
        <v>45961</v>
      </c>
      <c r="O1034" s="109">
        <f>DAY('BD2'!$N1034)</f>
        <v>31</v>
      </c>
      <c r="P1034" s="109">
        <f>MONTH('BD2'!$N1034)</f>
        <v>10</v>
      </c>
      <c r="Q1034" s="109">
        <f>YEAR('BD2'!$N1034)</f>
        <v>2025</v>
      </c>
      <c r="R1034" s="109">
        <v>2</v>
      </c>
      <c r="S1034" s="109" t="s">
        <v>138</v>
      </c>
      <c r="T1034" s="109" t="s">
        <v>138</v>
      </c>
      <c r="U1034" s="109" t="s">
        <v>138</v>
      </c>
      <c r="V1034" s="109" t="s">
        <v>138</v>
      </c>
      <c r="W1034" s="109" t="s">
        <v>138</v>
      </c>
      <c r="X1034" s="109" t="s">
        <v>138</v>
      </c>
      <c r="Y1034" s="109" t="s">
        <v>138</v>
      </c>
      <c r="Z1034" s="109" t="str">
        <f>IF('BD2'!$AA1034 &lt; 14, "no", "si")</f>
        <v>no</v>
      </c>
      <c r="AA1034" s="109">
        <v>0.44</v>
      </c>
      <c r="AB1034" s="109">
        <v>6.48</v>
      </c>
      <c r="AC1034" s="110" t="s">
        <v>3121</v>
      </c>
      <c r="AD1034" s="110" t="s">
        <v>2436</v>
      </c>
      <c r="AE1034" s="109">
        <f t="shared" ref="AE1034:AE1095" si="51">COUNTIF(S1034:Z1034, "si")</f>
        <v>7</v>
      </c>
      <c r="AF1034" s="111" t="str">
        <f t="shared" ref="AF1028:AF1091" si="52">IF(AE1034=8,"Estable",(IF(AE1034=7,"Funcional con observaciones", (IF(AE1034=6,"Funcional con observaciones",(IF(AE1034=5,"Rendimiento bajo",(IF(AE1034=4,"Parcialmente funcional",(IF(AE1034=3,"Parcialmente funcional",(IF(AE1034=2,"Inoperativo",(IF(AE1034=1,"Inoperativo","Crítico")))))))))))))))</f>
        <v>Funcional con observaciones</v>
      </c>
    </row>
    <row r="1035" spans="1:32" x14ac:dyDescent="0.2">
      <c r="A1035" s="112">
        <v>521</v>
      </c>
      <c r="B1035" s="113" t="s">
        <v>1204</v>
      </c>
      <c r="C1035" s="114" t="s">
        <v>429</v>
      </c>
      <c r="D1035" s="114" t="s">
        <v>15</v>
      </c>
      <c r="E1035" s="114" t="s">
        <v>2766</v>
      </c>
      <c r="F1035" s="115" t="s">
        <v>2767</v>
      </c>
      <c r="G1035" s="115" t="s">
        <v>2984</v>
      </c>
      <c r="H1035" s="115" t="s">
        <v>2691</v>
      </c>
      <c r="I1035" s="114">
        <v>20.996169999999999</v>
      </c>
      <c r="J1035" s="114">
        <v>-101.29536</v>
      </c>
      <c r="K1035" s="113" t="s">
        <v>139</v>
      </c>
      <c r="L1035" s="116" t="str">
        <f t="shared" si="50"/>
        <v>Ver en Google Maps</v>
      </c>
      <c r="M1035" s="116">
        <v>2</v>
      </c>
      <c r="N1035" s="137">
        <v>45961</v>
      </c>
      <c r="O1035" s="118">
        <f>DAY('BD2'!$N1035)</f>
        <v>31</v>
      </c>
      <c r="P1035" s="118">
        <f>MONTH('BD2'!$N1035)</f>
        <v>10</v>
      </c>
      <c r="Q1035" s="118">
        <f>YEAR('BD2'!$N1035)</f>
        <v>2025</v>
      </c>
      <c r="R1035" s="118">
        <v>2</v>
      </c>
      <c r="S1035" s="118" t="s">
        <v>138</v>
      </c>
      <c r="T1035" s="118" t="s">
        <v>138</v>
      </c>
      <c r="U1035" s="118" t="s">
        <v>138</v>
      </c>
      <c r="V1035" s="118" t="s">
        <v>138</v>
      </c>
      <c r="W1035" s="118" t="s">
        <v>138</v>
      </c>
      <c r="X1035" s="118" t="s">
        <v>138</v>
      </c>
      <c r="Y1035" s="118" t="s">
        <v>138</v>
      </c>
      <c r="Z1035" s="118" t="str">
        <f>IF('BD2'!$AA1035 &lt; 14, "no", "si")</f>
        <v>si</v>
      </c>
      <c r="AA1035" s="118">
        <v>49.6</v>
      </c>
      <c r="AB1035" s="118">
        <v>29.3</v>
      </c>
      <c r="AC1035" s="119" t="s">
        <v>967</v>
      </c>
      <c r="AD1035" s="119" t="s">
        <v>2436</v>
      </c>
      <c r="AE1035" s="118">
        <f t="shared" si="51"/>
        <v>8</v>
      </c>
      <c r="AF1035" s="120" t="str">
        <f t="shared" si="52"/>
        <v>Estable</v>
      </c>
    </row>
    <row r="1036" spans="1:32" x14ac:dyDescent="0.2">
      <c r="A1036" s="121">
        <v>526</v>
      </c>
      <c r="B1036" s="122" t="s">
        <v>1204</v>
      </c>
      <c r="C1036" s="123" t="s">
        <v>429</v>
      </c>
      <c r="D1036" s="123" t="s">
        <v>17</v>
      </c>
      <c r="E1036" s="123" t="s">
        <v>2768</v>
      </c>
      <c r="F1036" s="124" t="s">
        <v>2769</v>
      </c>
      <c r="G1036" s="124" t="s">
        <v>2990</v>
      </c>
      <c r="H1036" s="124" t="s">
        <v>2691</v>
      </c>
      <c r="I1036" s="123">
        <v>21.02129</v>
      </c>
      <c r="J1036" s="123">
        <v>-101.27472</v>
      </c>
      <c r="K1036" s="122" t="s">
        <v>139</v>
      </c>
      <c r="L1036" s="125" t="str">
        <f t="shared" si="50"/>
        <v>Ver en Google Maps</v>
      </c>
      <c r="M1036" s="125">
        <v>1</v>
      </c>
      <c r="N1036" s="138">
        <v>45961</v>
      </c>
      <c r="O1036" s="109">
        <f>DAY('BD2'!$N1036)</f>
        <v>31</v>
      </c>
      <c r="P1036" s="109">
        <f>MONTH('BD2'!$N1036)</f>
        <v>10</v>
      </c>
      <c r="Q1036" s="109">
        <f>YEAR('BD2'!$N1036)</f>
        <v>2025</v>
      </c>
      <c r="R1036" s="109">
        <v>2</v>
      </c>
      <c r="S1036" s="109" t="s">
        <v>138</v>
      </c>
      <c r="T1036" s="109" t="s">
        <v>934</v>
      </c>
      <c r="U1036" s="109" t="s">
        <v>138</v>
      </c>
      <c r="V1036" s="109" t="s">
        <v>934</v>
      </c>
      <c r="W1036" s="109" t="s">
        <v>138</v>
      </c>
      <c r="X1036" s="109" t="s">
        <v>934</v>
      </c>
      <c r="Y1036" s="109" t="s">
        <v>934</v>
      </c>
      <c r="Z1036" s="109" t="str">
        <f>IF('BD2'!$AA1036 &lt; 14, "no", "si")</f>
        <v>no</v>
      </c>
      <c r="AA1036" s="109">
        <v>0</v>
      </c>
      <c r="AB1036" s="109">
        <v>0</v>
      </c>
      <c r="AC1036" s="110" t="s">
        <v>3122</v>
      </c>
      <c r="AD1036" s="110" t="s">
        <v>2436</v>
      </c>
      <c r="AE1036" s="109">
        <f t="shared" si="51"/>
        <v>3</v>
      </c>
      <c r="AF1036" s="111" t="str">
        <f t="shared" si="52"/>
        <v>Parcialmente funcional</v>
      </c>
    </row>
    <row r="1037" spans="1:32" x14ac:dyDescent="0.2">
      <c r="A1037" s="112">
        <v>540</v>
      </c>
      <c r="B1037" s="113" t="s">
        <v>1204</v>
      </c>
      <c r="C1037" s="114" t="s">
        <v>429</v>
      </c>
      <c r="D1037" s="114" t="s">
        <v>17</v>
      </c>
      <c r="E1037" s="114" t="s">
        <v>2770</v>
      </c>
      <c r="F1037" s="115" t="s">
        <v>2771</v>
      </c>
      <c r="G1037" s="115" t="s">
        <v>2991</v>
      </c>
      <c r="H1037" s="115" t="s">
        <v>2691</v>
      </c>
      <c r="I1037" s="114">
        <v>21.012830000000001</v>
      </c>
      <c r="J1037" s="114">
        <v>-101.26519999999999</v>
      </c>
      <c r="K1037" s="113"/>
      <c r="L1037" s="116" t="str">
        <f t="shared" si="50"/>
        <v>Ver en Google Maps</v>
      </c>
      <c r="M1037" s="116">
        <v>1</v>
      </c>
      <c r="N1037" s="139"/>
      <c r="O1037" s="118"/>
      <c r="P1037" s="118"/>
      <c r="Q1037" s="118"/>
      <c r="R1037" s="118"/>
      <c r="S1037" s="118"/>
      <c r="T1037" s="118"/>
      <c r="U1037" s="118"/>
      <c r="V1037" s="118"/>
      <c r="W1037" s="118"/>
      <c r="X1037" s="118"/>
      <c r="Y1037" s="118"/>
      <c r="Z1037" s="118"/>
      <c r="AA1037" s="118"/>
      <c r="AB1037" s="118"/>
      <c r="AC1037" s="119"/>
      <c r="AD1037" s="119"/>
      <c r="AE1037" s="118"/>
      <c r="AF1037" s="120"/>
    </row>
    <row r="1038" spans="1:32" x14ac:dyDescent="0.2">
      <c r="A1038" s="121">
        <v>553</v>
      </c>
      <c r="B1038" s="122" t="s">
        <v>1204</v>
      </c>
      <c r="C1038" s="123" t="s">
        <v>429</v>
      </c>
      <c r="D1038" s="123" t="s">
        <v>17</v>
      </c>
      <c r="E1038" s="123" t="s">
        <v>2772</v>
      </c>
      <c r="F1038" s="124" t="s">
        <v>2773</v>
      </c>
      <c r="G1038" s="124" t="s">
        <v>2992</v>
      </c>
      <c r="H1038" s="124" t="s">
        <v>2691</v>
      </c>
      <c r="I1038" s="123">
        <v>21.024539999999998</v>
      </c>
      <c r="J1038" s="123">
        <v>-101.2651</v>
      </c>
      <c r="K1038" s="122"/>
      <c r="L1038" s="125" t="str">
        <f t="shared" si="50"/>
        <v>Ver en Google Maps</v>
      </c>
      <c r="M1038" s="125">
        <v>1</v>
      </c>
      <c r="N1038" s="140"/>
      <c r="O1038" s="109"/>
      <c r="P1038" s="109"/>
      <c r="Q1038" s="109"/>
      <c r="R1038" s="109"/>
      <c r="S1038" s="109"/>
      <c r="T1038" s="109"/>
      <c r="U1038" s="109"/>
      <c r="V1038" s="109"/>
      <c r="W1038" s="109"/>
      <c r="X1038" s="109"/>
      <c r="Y1038" s="109"/>
      <c r="Z1038" s="109"/>
      <c r="AA1038" s="109"/>
      <c r="AB1038" s="109"/>
      <c r="AC1038" s="110"/>
      <c r="AD1038" s="110"/>
      <c r="AE1038" s="109"/>
      <c r="AF1038" s="111"/>
    </row>
    <row r="1039" spans="1:32" x14ac:dyDescent="0.2">
      <c r="A1039" s="112">
        <v>566</v>
      </c>
      <c r="B1039" s="113" t="s">
        <v>1204</v>
      </c>
      <c r="C1039" s="114" t="s">
        <v>429</v>
      </c>
      <c r="D1039" s="114" t="s">
        <v>17</v>
      </c>
      <c r="E1039" s="114" t="s">
        <v>2774</v>
      </c>
      <c r="F1039" s="115" t="s">
        <v>2775</v>
      </c>
      <c r="G1039" s="115" t="s">
        <v>2993</v>
      </c>
      <c r="H1039" s="115" t="s">
        <v>2691</v>
      </c>
      <c r="I1039" s="114">
        <v>21.014289999999999</v>
      </c>
      <c r="J1039" s="114">
        <v>-101.27015</v>
      </c>
      <c r="K1039" s="113"/>
      <c r="L1039" s="116" t="str">
        <f t="shared" si="50"/>
        <v>Ver en Google Maps</v>
      </c>
      <c r="M1039" s="116">
        <v>1</v>
      </c>
      <c r="N1039" s="139"/>
      <c r="O1039" s="118"/>
      <c r="P1039" s="118"/>
      <c r="Q1039" s="118"/>
      <c r="R1039" s="118"/>
      <c r="S1039" s="118"/>
      <c r="T1039" s="118"/>
      <c r="U1039" s="118"/>
      <c r="V1039" s="118"/>
      <c r="W1039" s="118"/>
      <c r="X1039" s="118"/>
      <c r="Y1039" s="118"/>
      <c r="Z1039" s="118"/>
      <c r="AA1039" s="118"/>
      <c r="AB1039" s="118"/>
      <c r="AC1039" s="119"/>
      <c r="AD1039" s="119"/>
      <c r="AE1039" s="118"/>
      <c r="AF1039" s="120"/>
    </row>
    <row r="1040" spans="1:32" x14ac:dyDescent="0.2">
      <c r="A1040" s="121">
        <v>567</v>
      </c>
      <c r="B1040" s="122" t="s">
        <v>1204</v>
      </c>
      <c r="C1040" s="123" t="s">
        <v>429</v>
      </c>
      <c r="D1040" s="123" t="s">
        <v>17</v>
      </c>
      <c r="E1040" s="123" t="s">
        <v>2776</v>
      </c>
      <c r="F1040" s="124" t="s">
        <v>2777</v>
      </c>
      <c r="G1040" s="124" t="s">
        <v>2979</v>
      </c>
      <c r="H1040" s="124" t="s">
        <v>2691</v>
      </c>
      <c r="I1040" s="123">
        <v>21.018180000000001</v>
      </c>
      <c r="J1040" s="123">
        <v>-101.27439</v>
      </c>
      <c r="K1040" s="122" t="s">
        <v>139</v>
      </c>
      <c r="L1040" s="125" t="str">
        <f t="shared" si="50"/>
        <v>Ver en Google Maps</v>
      </c>
      <c r="M1040" s="125">
        <v>1</v>
      </c>
      <c r="N1040" s="138">
        <v>45961</v>
      </c>
      <c r="O1040" s="109">
        <f>DAY('BD2'!$N1040)</f>
        <v>31</v>
      </c>
      <c r="P1040" s="109">
        <f>MONTH('BD2'!$N1040)</f>
        <v>10</v>
      </c>
      <c r="Q1040" s="109">
        <f>YEAR('BD2'!$N1040)</f>
        <v>2025</v>
      </c>
      <c r="R1040" s="109">
        <v>2</v>
      </c>
      <c r="S1040" s="109" t="s">
        <v>934</v>
      </c>
      <c r="T1040" s="109" t="s">
        <v>934</v>
      </c>
      <c r="U1040" s="109" t="s">
        <v>934</v>
      </c>
      <c r="V1040" s="109" t="s">
        <v>934</v>
      </c>
      <c r="W1040" s="109" t="s">
        <v>934</v>
      </c>
      <c r="X1040" s="109" t="s">
        <v>934</v>
      </c>
      <c r="Y1040" s="109" t="s">
        <v>934</v>
      </c>
      <c r="Z1040" s="109" t="str">
        <f>IF('BD2'!$AA1040 &lt; 14, "no", "si")</f>
        <v>no</v>
      </c>
      <c r="AA1040" s="109">
        <v>0</v>
      </c>
      <c r="AB1040" s="109">
        <v>0</v>
      </c>
      <c r="AC1040" s="110" t="s">
        <v>3123</v>
      </c>
      <c r="AD1040" s="110" t="s">
        <v>2436</v>
      </c>
      <c r="AE1040" s="109">
        <f t="shared" si="51"/>
        <v>0</v>
      </c>
      <c r="AF1040" s="111" t="str">
        <f t="shared" si="52"/>
        <v>Crítico</v>
      </c>
    </row>
    <row r="1041" spans="1:32" x14ac:dyDescent="0.2">
      <c r="A1041" s="112">
        <v>588</v>
      </c>
      <c r="B1041" s="113" t="s">
        <v>1204</v>
      </c>
      <c r="C1041" s="114" t="s">
        <v>429</v>
      </c>
      <c r="D1041" s="114" t="s">
        <v>17</v>
      </c>
      <c r="E1041" s="114" t="s">
        <v>2778</v>
      </c>
      <c r="F1041" s="115" t="s">
        <v>2779</v>
      </c>
      <c r="G1041" s="115" t="s">
        <v>2994</v>
      </c>
      <c r="H1041" s="115" t="s">
        <v>2691</v>
      </c>
      <c r="I1041" s="114">
        <v>20.98189</v>
      </c>
      <c r="J1041" s="114">
        <v>-101.28206</v>
      </c>
      <c r="K1041" s="113" t="s">
        <v>3057</v>
      </c>
      <c r="L1041" s="116" t="str">
        <f t="shared" ref="L1041:L1105" si="53">HYPERLINK("https://www.google.com/maps?q=" &amp; I1041 &amp; "," &amp; J1041, "Ver en Google Maps")</f>
        <v>Ver en Google Maps</v>
      </c>
      <c r="M1041" s="116">
        <v>1</v>
      </c>
      <c r="N1041" s="139"/>
      <c r="O1041" s="118">
        <f>DAY('BD2'!$N1041)</f>
        <v>0</v>
      </c>
      <c r="P1041" s="118">
        <f>MONTH('BD2'!$N1041)</f>
        <v>1</v>
      </c>
      <c r="Q1041" s="118">
        <f>YEAR('BD2'!$N1041)</f>
        <v>1900</v>
      </c>
      <c r="R1041" s="118"/>
      <c r="S1041" s="118"/>
      <c r="T1041" s="118"/>
      <c r="U1041" s="118"/>
      <c r="V1041" s="118"/>
      <c r="W1041" s="118"/>
      <c r="X1041" s="118"/>
      <c r="Y1041" s="118"/>
      <c r="Z1041" s="118" t="str">
        <f>IF('BD2'!$AA1041 &lt; 14, "no", "si")</f>
        <v>no</v>
      </c>
      <c r="AA1041" s="118"/>
      <c r="AB1041" s="118"/>
      <c r="AC1041" s="119"/>
      <c r="AD1041" s="119"/>
      <c r="AE1041" s="118">
        <f t="shared" si="51"/>
        <v>0</v>
      </c>
      <c r="AF1041" s="120" t="str">
        <f t="shared" si="52"/>
        <v>Crítico</v>
      </c>
    </row>
    <row r="1042" spans="1:32" x14ac:dyDescent="0.2">
      <c r="A1042" s="121">
        <v>598</v>
      </c>
      <c r="B1042" s="122" t="s">
        <v>1204</v>
      </c>
      <c r="C1042" s="123" t="s">
        <v>429</v>
      </c>
      <c r="D1042" s="123" t="s">
        <v>17</v>
      </c>
      <c r="E1042" s="123" t="s">
        <v>2780</v>
      </c>
      <c r="F1042" s="124" t="s">
        <v>2781</v>
      </c>
      <c r="G1042" s="124" t="s">
        <v>1788</v>
      </c>
      <c r="H1042" s="124" t="s">
        <v>2691</v>
      </c>
      <c r="I1042" s="123">
        <v>20.973189999999999</v>
      </c>
      <c r="J1042" s="123">
        <v>-101.29049999999999</v>
      </c>
      <c r="K1042" s="122"/>
      <c r="L1042" s="125" t="str">
        <f t="shared" si="53"/>
        <v>Ver en Google Maps</v>
      </c>
      <c r="M1042" s="125">
        <v>1</v>
      </c>
      <c r="N1042" s="140"/>
      <c r="O1042" s="109"/>
      <c r="P1042" s="109"/>
      <c r="Q1042" s="109"/>
      <c r="R1042" s="109"/>
      <c r="S1042" s="109"/>
      <c r="T1042" s="109"/>
      <c r="U1042" s="109"/>
      <c r="V1042" s="109"/>
      <c r="W1042" s="109"/>
      <c r="X1042" s="109"/>
      <c r="Y1042" s="109"/>
      <c r="Z1042" s="109"/>
      <c r="AA1042" s="109"/>
      <c r="AB1042" s="109"/>
      <c r="AC1042" s="110"/>
      <c r="AD1042" s="110"/>
      <c r="AE1042" s="109"/>
      <c r="AF1042" s="111"/>
    </row>
    <row r="1043" spans="1:32" x14ac:dyDescent="0.2">
      <c r="A1043" s="112">
        <v>609</v>
      </c>
      <c r="B1043" s="113" t="s">
        <v>1204</v>
      </c>
      <c r="C1043" s="114" t="s">
        <v>429</v>
      </c>
      <c r="D1043" s="114" t="s">
        <v>16</v>
      </c>
      <c r="E1043" s="114" t="s">
        <v>2782</v>
      </c>
      <c r="F1043" s="115" t="s">
        <v>2783</v>
      </c>
      <c r="G1043" s="115" t="s">
        <v>2987</v>
      </c>
      <c r="H1043" s="115" t="s">
        <v>2691</v>
      </c>
      <c r="I1043" s="114">
        <v>21.022729999999999</v>
      </c>
      <c r="J1043" s="114">
        <v>-101.262373</v>
      </c>
      <c r="K1043" s="113"/>
      <c r="L1043" s="116" t="str">
        <f t="shared" si="53"/>
        <v>Ver en Google Maps</v>
      </c>
      <c r="M1043" s="116">
        <v>1</v>
      </c>
      <c r="N1043" s="139"/>
      <c r="O1043" s="118"/>
      <c r="P1043" s="118"/>
      <c r="Q1043" s="118"/>
      <c r="R1043" s="118"/>
      <c r="S1043" s="118"/>
      <c r="T1043" s="118"/>
      <c r="U1043" s="118"/>
      <c r="V1043" s="118"/>
      <c r="W1043" s="118"/>
      <c r="X1043" s="118"/>
      <c r="Y1043" s="118"/>
      <c r="Z1043" s="118"/>
      <c r="AA1043" s="118"/>
      <c r="AB1043" s="118"/>
      <c r="AC1043" s="119"/>
      <c r="AD1043" s="119"/>
      <c r="AE1043" s="118"/>
      <c r="AF1043" s="120"/>
    </row>
    <row r="1044" spans="1:32" x14ac:dyDescent="0.2">
      <c r="A1044" s="121">
        <v>614</v>
      </c>
      <c r="B1044" s="122" t="s">
        <v>1204</v>
      </c>
      <c r="C1044" s="123" t="s">
        <v>429</v>
      </c>
      <c r="D1044" s="123" t="s">
        <v>16</v>
      </c>
      <c r="E1044" s="123" t="s">
        <v>2784</v>
      </c>
      <c r="F1044" s="124" t="s">
        <v>2785</v>
      </c>
      <c r="G1044" s="124" t="s">
        <v>2979</v>
      </c>
      <c r="H1044" s="124" t="s">
        <v>2691</v>
      </c>
      <c r="I1044" s="123">
        <v>21.021740000000001</v>
      </c>
      <c r="J1044" s="123">
        <v>-101.27068</v>
      </c>
      <c r="K1044" s="122"/>
      <c r="L1044" s="125" t="str">
        <f t="shared" si="53"/>
        <v>Ver en Google Maps</v>
      </c>
      <c r="M1044" s="125">
        <v>2</v>
      </c>
      <c r="N1044" s="140"/>
      <c r="O1044" s="109"/>
      <c r="P1044" s="109"/>
      <c r="Q1044" s="109"/>
      <c r="R1044" s="109"/>
      <c r="S1044" s="109"/>
      <c r="T1044" s="109"/>
      <c r="U1044" s="109"/>
      <c r="V1044" s="109"/>
      <c r="W1044" s="109"/>
      <c r="X1044" s="109"/>
      <c r="Y1044" s="109"/>
      <c r="Z1044" s="109"/>
      <c r="AA1044" s="109"/>
      <c r="AB1044" s="109"/>
      <c r="AC1044" s="110"/>
      <c r="AD1044" s="110"/>
      <c r="AE1044" s="109"/>
      <c r="AF1044" s="111"/>
    </row>
    <row r="1045" spans="1:32" x14ac:dyDescent="0.2">
      <c r="A1045" s="112">
        <v>615</v>
      </c>
      <c r="B1045" s="113" t="s">
        <v>1204</v>
      </c>
      <c r="C1045" s="114" t="s">
        <v>429</v>
      </c>
      <c r="D1045" s="114" t="s">
        <v>16</v>
      </c>
      <c r="E1045" s="114" t="s">
        <v>2786</v>
      </c>
      <c r="F1045" s="115" t="s">
        <v>2787</v>
      </c>
      <c r="G1045" s="115" t="s">
        <v>2972</v>
      </c>
      <c r="H1045" s="115" t="s">
        <v>2691</v>
      </c>
      <c r="I1045" s="114">
        <v>21.0124</v>
      </c>
      <c r="J1045" s="114">
        <v>-101.25136999999999</v>
      </c>
      <c r="K1045" s="113"/>
      <c r="L1045" s="116" t="str">
        <f t="shared" si="53"/>
        <v>Ver en Google Maps</v>
      </c>
      <c r="M1045" s="116">
        <v>1</v>
      </c>
      <c r="N1045" s="139"/>
      <c r="O1045" s="118"/>
      <c r="P1045" s="118"/>
      <c r="Q1045" s="118"/>
      <c r="R1045" s="118"/>
      <c r="S1045" s="118"/>
      <c r="T1045" s="118"/>
      <c r="U1045" s="118"/>
      <c r="V1045" s="118"/>
      <c r="W1045" s="118"/>
      <c r="X1045" s="118"/>
      <c r="Y1045" s="118"/>
      <c r="Z1045" s="118"/>
      <c r="AA1045" s="118"/>
      <c r="AB1045" s="118"/>
      <c r="AC1045" s="119"/>
      <c r="AD1045" s="119"/>
      <c r="AE1045" s="118"/>
      <c r="AF1045" s="120"/>
    </row>
    <row r="1046" spans="1:32" x14ac:dyDescent="0.2">
      <c r="A1046" s="121">
        <v>616</v>
      </c>
      <c r="B1046" s="122" t="s">
        <v>1204</v>
      </c>
      <c r="C1046" s="123" t="s">
        <v>429</v>
      </c>
      <c r="D1046" s="123" t="s">
        <v>16</v>
      </c>
      <c r="E1046" s="123" t="s">
        <v>2788</v>
      </c>
      <c r="F1046" s="124" t="s">
        <v>2789</v>
      </c>
      <c r="G1046" s="124" t="s">
        <v>2972</v>
      </c>
      <c r="H1046" s="124" t="s">
        <v>2691</v>
      </c>
      <c r="I1046" s="123">
        <v>21.015429999999999</v>
      </c>
      <c r="J1046" s="123">
        <v>-101.25366</v>
      </c>
      <c r="K1046" s="122" t="s">
        <v>139</v>
      </c>
      <c r="L1046" s="125" t="str">
        <f t="shared" si="53"/>
        <v>Ver en Google Maps</v>
      </c>
      <c r="M1046" s="125">
        <v>1</v>
      </c>
      <c r="N1046" s="138">
        <v>45961</v>
      </c>
      <c r="O1046" s="109">
        <f>DAY('BD2'!$N1046)</f>
        <v>31</v>
      </c>
      <c r="P1046" s="109">
        <f>MONTH('BD2'!$N1046)</f>
        <v>10</v>
      </c>
      <c r="Q1046" s="109">
        <f>YEAR('BD2'!$N1046)</f>
        <v>2025</v>
      </c>
      <c r="R1046" s="109">
        <v>2</v>
      </c>
      <c r="S1046" s="109" t="s">
        <v>138</v>
      </c>
      <c r="T1046" s="109" t="s">
        <v>934</v>
      </c>
      <c r="U1046" s="109" t="s">
        <v>138</v>
      </c>
      <c r="V1046" s="109" t="s">
        <v>934</v>
      </c>
      <c r="W1046" s="109" t="s">
        <v>934</v>
      </c>
      <c r="X1046" s="109" t="s">
        <v>934</v>
      </c>
      <c r="Y1046" s="109" t="s">
        <v>934</v>
      </c>
      <c r="Z1046" s="109" t="str">
        <f>IF('BD2'!$AA1046 &lt; 14, "no", "si")</f>
        <v>no</v>
      </c>
      <c r="AA1046" s="109">
        <v>0</v>
      </c>
      <c r="AB1046" s="109">
        <v>0</v>
      </c>
      <c r="AC1046" s="110" t="s">
        <v>3123</v>
      </c>
      <c r="AD1046" s="110" t="s">
        <v>2436</v>
      </c>
      <c r="AE1046" s="109">
        <f t="shared" si="51"/>
        <v>2</v>
      </c>
      <c r="AF1046" s="111" t="str">
        <f t="shared" si="52"/>
        <v>Inoperativo</v>
      </c>
    </row>
    <row r="1047" spans="1:32" x14ac:dyDescent="0.2">
      <c r="A1047" s="112">
        <v>617</v>
      </c>
      <c r="B1047" s="113" t="s">
        <v>1204</v>
      </c>
      <c r="C1047" s="114" t="s">
        <v>429</v>
      </c>
      <c r="D1047" s="114" t="s">
        <v>404</v>
      </c>
      <c r="E1047" s="114" t="s">
        <v>2790</v>
      </c>
      <c r="F1047" s="115" t="s">
        <v>2791</v>
      </c>
      <c r="G1047" s="115" t="s">
        <v>2995</v>
      </c>
      <c r="H1047" s="115" t="s">
        <v>2691</v>
      </c>
      <c r="I1047" s="114">
        <v>20.951419999999999</v>
      </c>
      <c r="J1047" s="114">
        <v>-101.28131</v>
      </c>
      <c r="K1047" s="113"/>
      <c r="L1047" s="116" t="str">
        <f t="shared" si="53"/>
        <v>Ver en Google Maps</v>
      </c>
      <c r="M1047" s="116">
        <v>1</v>
      </c>
      <c r="N1047" s="139"/>
      <c r="O1047" s="118"/>
      <c r="P1047" s="118"/>
      <c r="Q1047" s="118"/>
      <c r="R1047" s="118"/>
      <c r="S1047" s="118"/>
      <c r="T1047" s="118"/>
      <c r="U1047" s="118"/>
      <c r="V1047" s="118"/>
      <c r="W1047" s="118"/>
      <c r="X1047" s="118"/>
      <c r="Y1047" s="118"/>
      <c r="Z1047" s="118"/>
      <c r="AA1047" s="118"/>
      <c r="AB1047" s="118"/>
      <c r="AC1047" s="119"/>
      <c r="AD1047" s="119"/>
      <c r="AE1047" s="118"/>
      <c r="AF1047" s="120"/>
    </row>
    <row r="1048" spans="1:32" x14ac:dyDescent="0.2">
      <c r="A1048" s="121">
        <v>667</v>
      </c>
      <c r="B1048" s="122" t="s">
        <v>1204</v>
      </c>
      <c r="C1048" s="123" t="s">
        <v>429</v>
      </c>
      <c r="D1048" s="123" t="s">
        <v>15</v>
      </c>
      <c r="E1048" s="123" t="s">
        <v>2792</v>
      </c>
      <c r="F1048" s="124" t="s">
        <v>2793</v>
      </c>
      <c r="G1048" s="124" t="s">
        <v>1783</v>
      </c>
      <c r="H1048" s="124" t="s">
        <v>2691</v>
      </c>
      <c r="I1048" s="123">
        <v>21.01397</v>
      </c>
      <c r="J1048" s="123">
        <v>-101.278413</v>
      </c>
      <c r="K1048" s="122" t="s">
        <v>139</v>
      </c>
      <c r="L1048" s="125" t="str">
        <f t="shared" si="53"/>
        <v>Ver en Google Maps</v>
      </c>
      <c r="M1048" s="125">
        <v>2</v>
      </c>
      <c r="N1048" s="138">
        <v>45961</v>
      </c>
      <c r="O1048" s="109">
        <f>DAY('BD2'!$N1048)</f>
        <v>31</v>
      </c>
      <c r="P1048" s="109">
        <f>MONTH('BD2'!$N1048)</f>
        <v>10</v>
      </c>
      <c r="Q1048" s="109">
        <f>YEAR('BD2'!$N1048)</f>
        <v>2025</v>
      </c>
      <c r="R1048" s="109">
        <v>2</v>
      </c>
      <c r="S1048" s="109" t="s">
        <v>138</v>
      </c>
      <c r="T1048" s="109" t="s">
        <v>138</v>
      </c>
      <c r="U1048" s="109" t="s">
        <v>138</v>
      </c>
      <c r="V1048" s="109" t="s">
        <v>934</v>
      </c>
      <c r="W1048" s="109" t="s">
        <v>138</v>
      </c>
      <c r="X1048" s="109" t="s">
        <v>934</v>
      </c>
      <c r="Y1048" s="109" t="s">
        <v>934</v>
      </c>
      <c r="Z1048" s="109" t="str">
        <f>IF('BD2'!$AA1048 &lt; 14, "no", "si")</f>
        <v>no</v>
      </c>
      <c r="AA1048" s="109">
        <v>0</v>
      </c>
      <c r="AB1048" s="109">
        <v>0</v>
      </c>
      <c r="AC1048" s="110" t="s">
        <v>3124</v>
      </c>
      <c r="AD1048" s="110" t="s">
        <v>2436</v>
      </c>
      <c r="AE1048" s="109">
        <f t="shared" si="51"/>
        <v>4</v>
      </c>
      <c r="AF1048" s="111" t="str">
        <f t="shared" si="52"/>
        <v>Parcialmente funcional</v>
      </c>
    </row>
    <row r="1049" spans="1:32" x14ac:dyDescent="0.2">
      <c r="A1049" s="112">
        <v>727</v>
      </c>
      <c r="B1049" s="113" t="s">
        <v>1204</v>
      </c>
      <c r="C1049" s="114" t="s">
        <v>429</v>
      </c>
      <c r="D1049" s="114" t="s">
        <v>15</v>
      </c>
      <c r="E1049" s="114" t="s">
        <v>2794</v>
      </c>
      <c r="F1049" s="115" t="s">
        <v>2795</v>
      </c>
      <c r="G1049" s="115" t="s">
        <v>2973</v>
      </c>
      <c r="H1049" s="115" t="s">
        <v>2691</v>
      </c>
      <c r="I1049" s="114">
        <v>20.97082</v>
      </c>
      <c r="J1049" s="114">
        <v>-101.27497</v>
      </c>
      <c r="K1049" s="113"/>
      <c r="L1049" s="116" t="str">
        <f t="shared" si="53"/>
        <v>Ver en Google Maps</v>
      </c>
      <c r="M1049" s="116">
        <v>2</v>
      </c>
      <c r="N1049" s="139"/>
      <c r="O1049" s="118"/>
      <c r="P1049" s="118"/>
      <c r="Q1049" s="118"/>
      <c r="R1049" s="118"/>
      <c r="S1049" s="118"/>
      <c r="T1049" s="118"/>
      <c r="U1049" s="118"/>
      <c r="V1049" s="118"/>
      <c r="W1049" s="118"/>
      <c r="X1049" s="118"/>
      <c r="Y1049" s="118"/>
      <c r="Z1049" s="118"/>
      <c r="AA1049" s="118"/>
      <c r="AB1049" s="118"/>
      <c r="AC1049" s="119"/>
      <c r="AD1049" s="119"/>
      <c r="AE1049" s="118"/>
      <c r="AF1049" s="120"/>
    </row>
    <row r="1050" spans="1:32" x14ac:dyDescent="0.2">
      <c r="A1050" s="121">
        <v>751</v>
      </c>
      <c r="B1050" s="122" t="s">
        <v>1204</v>
      </c>
      <c r="C1050" s="123" t="s">
        <v>429</v>
      </c>
      <c r="D1050" s="123" t="s">
        <v>17</v>
      </c>
      <c r="E1050" s="123" t="s">
        <v>2796</v>
      </c>
      <c r="F1050" s="124" t="s">
        <v>2797</v>
      </c>
      <c r="G1050" s="124" t="s">
        <v>2996</v>
      </c>
      <c r="H1050" s="124" t="s">
        <v>2691</v>
      </c>
      <c r="I1050" s="123">
        <v>21.011479999999999</v>
      </c>
      <c r="J1050" s="123">
        <v>-101.2814</v>
      </c>
      <c r="K1050" s="122" t="s">
        <v>139</v>
      </c>
      <c r="L1050" s="125" t="str">
        <f t="shared" si="53"/>
        <v>Ver en Google Maps</v>
      </c>
      <c r="M1050" s="125">
        <v>1</v>
      </c>
      <c r="N1050" s="138">
        <v>45961</v>
      </c>
      <c r="O1050" s="109">
        <f>DAY('BD2'!$N1050)</f>
        <v>31</v>
      </c>
      <c r="P1050" s="109">
        <f>MONTH('BD2'!$N1050)</f>
        <v>10</v>
      </c>
      <c r="Q1050" s="109">
        <f>YEAR('BD2'!$N1050)</f>
        <v>2025</v>
      </c>
      <c r="R1050" s="109">
        <v>2</v>
      </c>
      <c r="S1050" s="109" t="s">
        <v>138</v>
      </c>
      <c r="T1050" s="109" t="s">
        <v>934</v>
      </c>
      <c r="U1050" s="109" t="s">
        <v>138</v>
      </c>
      <c r="V1050" s="109" t="s">
        <v>934</v>
      </c>
      <c r="W1050" s="109" t="s">
        <v>138</v>
      </c>
      <c r="X1050" s="109" t="s">
        <v>934</v>
      </c>
      <c r="Y1050" s="109" t="s">
        <v>934</v>
      </c>
      <c r="Z1050" s="109" t="s">
        <v>934</v>
      </c>
      <c r="AA1050" s="109">
        <v>0</v>
      </c>
      <c r="AB1050" s="109">
        <v>0</v>
      </c>
      <c r="AC1050" s="110" t="s">
        <v>3032</v>
      </c>
      <c r="AD1050" s="110" t="s">
        <v>2436</v>
      </c>
      <c r="AE1050" s="109">
        <f t="shared" si="51"/>
        <v>3</v>
      </c>
      <c r="AF1050" s="111" t="str">
        <f t="shared" si="52"/>
        <v>Parcialmente funcional</v>
      </c>
    </row>
    <row r="1051" spans="1:32" x14ac:dyDescent="0.2">
      <c r="A1051" s="112">
        <v>768</v>
      </c>
      <c r="B1051" s="113" t="s">
        <v>1204</v>
      </c>
      <c r="C1051" s="114" t="s">
        <v>429</v>
      </c>
      <c r="D1051" s="114" t="s">
        <v>16</v>
      </c>
      <c r="E1051" s="114" t="s">
        <v>2798</v>
      </c>
      <c r="F1051" s="115" t="s">
        <v>2799</v>
      </c>
      <c r="G1051" s="115" t="s">
        <v>2997</v>
      </c>
      <c r="H1051" s="115" t="s">
        <v>2691</v>
      </c>
      <c r="I1051" s="114">
        <v>20.969676</v>
      </c>
      <c r="J1051" s="114">
        <v>-101.293995</v>
      </c>
      <c r="K1051" s="113"/>
      <c r="L1051" s="116" t="str">
        <f t="shared" si="53"/>
        <v>Ver en Google Maps</v>
      </c>
      <c r="M1051" s="116">
        <v>1</v>
      </c>
      <c r="N1051" s="139"/>
      <c r="O1051" s="118"/>
      <c r="P1051" s="118"/>
      <c r="Q1051" s="118"/>
      <c r="R1051" s="118"/>
      <c r="S1051" s="118"/>
      <c r="T1051" s="118"/>
      <c r="U1051" s="118"/>
      <c r="V1051" s="118"/>
      <c r="W1051" s="118"/>
      <c r="X1051" s="118"/>
      <c r="Y1051" s="118"/>
      <c r="Z1051" s="118"/>
      <c r="AA1051" s="118"/>
      <c r="AB1051" s="118"/>
      <c r="AC1051" s="119"/>
      <c r="AD1051" s="119"/>
      <c r="AE1051" s="118"/>
      <c r="AF1051" s="120"/>
    </row>
    <row r="1052" spans="1:32" x14ac:dyDescent="0.2">
      <c r="A1052" s="121">
        <v>769</v>
      </c>
      <c r="B1052" s="122" t="s">
        <v>1204</v>
      </c>
      <c r="C1052" s="123" t="s">
        <v>429</v>
      </c>
      <c r="D1052" s="123" t="s">
        <v>15</v>
      </c>
      <c r="E1052" s="123" t="s">
        <v>2800</v>
      </c>
      <c r="F1052" s="124" t="s">
        <v>2801</v>
      </c>
      <c r="G1052" s="124" t="s">
        <v>2998</v>
      </c>
      <c r="H1052" s="124" t="s">
        <v>2691</v>
      </c>
      <c r="I1052" s="123">
        <v>20.979462999999999</v>
      </c>
      <c r="J1052" s="123">
        <v>-101.27690699999999</v>
      </c>
      <c r="K1052" s="122" t="s">
        <v>3057</v>
      </c>
      <c r="L1052" s="125" t="str">
        <f t="shared" si="53"/>
        <v>Ver en Google Maps</v>
      </c>
      <c r="M1052" s="125">
        <v>2</v>
      </c>
      <c r="N1052" s="140"/>
      <c r="O1052" s="109">
        <f>DAY('BD2'!$N1052)</f>
        <v>0</v>
      </c>
      <c r="P1052" s="109">
        <f>MONTH('BD2'!$N1052)</f>
        <v>1</v>
      </c>
      <c r="Q1052" s="109">
        <f>YEAR('BD2'!$N1052)</f>
        <v>1900</v>
      </c>
      <c r="R1052" s="109"/>
      <c r="S1052" s="109"/>
      <c r="T1052" s="109"/>
      <c r="U1052" s="109"/>
      <c r="V1052" s="109"/>
      <c r="W1052" s="109"/>
      <c r="X1052" s="109"/>
      <c r="Y1052" s="109"/>
      <c r="Z1052" s="109" t="str">
        <f>IF('BD2'!$AA1052 &lt; 14, "no", "si")</f>
        <v>no</v>
      </c>
      <c r="AA1052" s="109"/>
      <c r="AB1052" s="109"/>
      <c r="AC1052" s="110"/>
      <c r="AD1052" s="110"/>
      <c r="AE1052" s="109">
        <f t="shared" si="51"/>
        <v>0</v>
      </c>
      <c r="AF1052" s="111" t="str">
        <f t="shared" si="52"/>
        <v>Crítico</v>
      </c>
    </row>
    <row r="1053" spans="1:32" x14ac:dyDescent="0.2">
      <c r="A1053" s="112">
        <v>776</v>
      </c>
      <c r="B1053" s="113" t="s">
        <v>1204</v>
      </c>
      <c r="C1053" s="114" t="s">
        <v>429</v>
      </c>
      <c r="D1053" s="114" t="s">
        <v>15</v>
      </c>
      <c r="E1053" s="114" t="s">
        <v>2792</v>
      </c>
      <c r="F1053" s="115" t="s">
        <v>2793</v>
      </c>
      <c r="G1053" s="115" t="s">
        <v>2309</v>
      </c>
      <c r="H1053" s="115" t="s">
        <v>2691</v>
      </c>
      <c r="I1053" s="114">
        <v>21.01397</v>
      </c>
      <c r="J1053" s="114">
        <v>-101.278413</v>
      </c>
      <c r="K1053" s="113"/>
      <c r="L1053" s="116" t="str">
        <f t="shared" si="53"/>
        <v>Ver en Google Maps</v>
      </c>
      <c r="M1053" s="116">
        <v>2</v>
      </c>
      <c r="N1053" s="139"/>
      <c r="O1053" s="118"/>
      <c r="P1053" s="118"/>
      <c r="Q1053" s="118"/>
      <c r="R1053" s="118"/>
      <c r="S1053" s="118"/>
      <c r="T1053" s="118"/>
      <c r="U1053" s="118"/>
      <c r="V1053" s="118"/>
      <c r="W1053" s="118"/>
      <c r="X1053" s="118"/>
      <c r="Y1053" s="118"/>
      <c r="Z1053" s="118"/>
      <c r="AA1053" s="118"/>
      <c r="AB1053" s="118"/>
      <c r="AC1053" s="119"/>
      <c r="AD1053" s="119"/>
      <c r="AE1053" s="118"/>
      <c r="AF1053" s="120"/>
    </row>
    <row r="1054" spans="1:32" x14ac:dyDescent="0.2">
      <c r="A1054" s="121">
        <v>789</v>
      </c>
      <c r="B1054" s="122" t="s">
        <v>1204</v>
      </c>
      <c r="C1054" s="123" t="s">
        <v>429</v>
      </c>
      <c r="D1054" s="123" t="s">
        <v>15</v>
      </c>
      <c r="E1054" s="123" t="s">
        <v>2802</v>
      </c>
      <c r="F1054" s="124" t="s">
        <v>2803</v>
      </c>
      <c r="G1054" s="124" t="s">
        <v>1231</v>
      </c>
      <c r="H1054" s="124" t="s">
        <v>2691</v>
      </c>
      <c r="I1054" s="123">
        <v>21.01052</v>
      </c>
      <c r="J1054" s="123">
        <v>-101.246905</v>
      </c>
      <c r="K1054" s="122"/>
      <c r="L1054" s="125" t="str">
        <f t="shared" si="53"/>
        <v>Ver en Google Maps</v>
      </c>
      <c r="M1054" s="125">
        <v>1</v>
      </c>
      <c r="N1054" s="140"/>
      <c r="O1054" s="109"/>
      <c r="P1054" s="109"/>
      <c r="Q1054" s="109"/>
      <c r="R1054" s="109"/>
      <c r="S1054" s="109"/>
      <c r="T1054" s="109"/>
      <c r="U1054" s="109"/>
      <c r="V1054" s="109"/>
      <c r="W1054" s="109"/>
      <c r="X1054" s="109"/>
      <c r="Y1054" s="109"/>
      <c r="Z1054" s="109"/>
      <c r="AA1054" s="109"/>
      <c r="AB1054" s="109"/>
      <c r="AC1054" s="110"/>
      <c r="AD1054" s="110"/>
      <c r="AE1054" s="109"/>
      <c r="AF1054" s="111"/>
    </row>
    <row r="1055" spans="1:32" x14ac:dyDescent="0.2">
      <c r="A1055" s="112">
        <v>798</v>
      </c>
      <c r="B1055" s="113" t="s">
        <v>1204</v>
      </c>
      <c r="C1055" s="114" t="s">
        <v>429</v>
      </c>
      <c r="D1055" s="114" t="s">
        <v>16</v>
      </c>
      <c r="E1055" s="114" t="s">
        <v>2804</v>
      </c>
      <c r="F1055" s="115" t="s">
        <v>2805</v>
      </c>
      <c r="G1055" s="115" t="s">
        <v>360</v>
      </c>
      <c r="H1055" s="115" t="s">
        <v>2691</v>
      </c>
      <c r="I1055" s="114">
        <v>21.003830000000001</v>
      </c>
      <c r="J1055" s="114">
        <v>-101.2406</v>
      </c>
      <c r="K1055" s="113"/>
      <c r="L1055" s="116" t="str">
        <f t="shared" si="53"/>
        <v>Ver en Google Maps</v>
      </c>
      <c r="M1055" s="116">
        <v>2</v>
      </c>
      <c r="N1055" s="139"/>
      <c r="O1055" s="118"/>
      <c r="P1055" s="118"/>
      <c r="Q1055" s="118"/>
      <c r="R1055" s="118"/>
      <c r="S1055" s="118"/>
      <c r="T1055" s="118"/>
      <c r="U1055" s="118"/>
      <c r="V1055" s="118"/>
      <c r="W1055" s="118"/>
      <c r="X1055" s="118"/>
      <c r="Y1055" s="118"/>
      <c r="Z1055" s="118"/>
      <c r="AA1055" s="118"/>
      <c r="AB1055" s="118"/>
      <c r="AC1055" s="119"/>
      <c r="AD1055" s="119"/>
      <c r="AE1055" s="118"/>
      <c r="AF1055" s="120"/>
    </row>
    <row r="1056" spans="1:32" x14ac:dyDescent="0.2">
      <c r="A1056" s="121">
        <v>816</v>
      </c>
      <c r="B1056" s="122" t="s">
        <v>1204</v>
      </c>
      <c r="C1056" s="123" t="s">
        <v>429</v>
      </c>
      <c r="D1056" s="123" t="s">
        <v>16</v>
      </c>
      <c r="E1056" s="123" t="s">
        <v>2806</v>
      </c>
      <c r="F1056" s="124" t="s">
        <v>2807</v>
      </c>
      <c r="G1056" s="124" t="s">
        <v>2999</v>
      </c>
      <c r="H1056" s="124" t="s">
        <v>2691</v>
      </c>
      <c r="I1056" s="123">
        <v>21.041519999999998</v>
      </c>
      <c r="J1056" s="123">
        <v>-101.25815</v>
      </c>
      <c r="K1056" s="122"/>
      <c r="L1056" s="125" t="str">
        <f t="shared" si="53"/>
        <v>Ver en Google Maps</v>
      </c>
      <c r="M1056" s="125">
        <v>1</v>
      </c>
      <c r="N1056" s="140"/>
      <c r="O1056" s="109"/>
      <c r="P1056" s="109"/>
      <c r="Q1056" s="109"/>
      <c r="R1056" s="109"/>
      <c r="S1056" s="109"/>
      <c r="T1056" s="109"/>
      <c r="U1056" s="109"/>
      <c r="V1056" s="109"/>
      <c r="W1056" s="109"/>
      <c r="X1056" s="109"/>
      <c r="Y1056" s="109"/>
      <c r="Z1056" s="109"/>
      <c r="AA1056" s="109"/>
      <c r="AB1056" s="109"/>
      <c r="AC1056" s="110"/>
      <c r="AD1056" s="110"/>
      <c r="AE1056" s="109"/>
      <c r="AF1056" s="111"/>
    </row>
    <row r="1057" spans="1:32" x14ac:dyDescent="0.2">
      <c r="A1057" s="112">
        <v>817</v>
      </c>
      <c r="B1057" s="113" t="s">
        <v>1204</v>
      </c>
      <c r="C1057" s="114" t="s">
        <v>429</v>
      </c>
      <c r="D1057" s="114" t="s">
        <v>15</v>
      </c>
      <c r="E1057" s="114" t="s">
        <v>2808</v>
      </c>
      <c r="F1057" s="115" t="s">
        <v>2809</v>
      </c>
      <c r="G1057" s="115" t="s">
        <v>2971</v>
      </c>
      <c r="H1057" s="115" t="s">
        <v>2691</v>
      </c>
      <c r="I1057" s="114">
        <v>21.038927999999999</v>
      </c>
      <c r="J1057" s="114">
        <v>-101.25676</v>
      </c>
      <c r="K1057" s="113"/>
      <c r="L1057" s="116" t="str">
        <f t="shared" si="53"/>
        <v>Ver en Google Maps</v>
      </c>
      <c r="M1057" s="116">
        <v>2</v>
      </c>
      <c r="N1057" s="139"/>
      <c r="O1057" s="118"/>
      <c r="P1057" s="118"/>
      <c r="Q1057" s="118"/>
      <c r="R1057" s="118"/>
      <c r="S1057" s="118"/>
      <c r="T1057" s="118"/>
      <c r="U1057" s="118"/>
      <c r="V1057" s="118"/>
      <c r="W1057" s="118"/>
      <c r="X1057" s="118"/>
      <c r="Y1057" s="118"/>
      <c r="Z1057" s="118"/>
      <c r="AA1057" s="118"/>
      <c r="AB1057" s="118"/>
      <c r="AC1057" s="119"/>
      <c r="AD1057" s="119"/>
      <c r="AE1057" s="118"/>
      <c r="AF1057" s="120"/>
    </row>
    <row r="1058" spans="1:32" x14ac:dyDescent="0.2">
      <c r="A1058" s="121">
        <v>818</v>
      </c>
      <c r="B1058" s="122" t="s">
        <v>1204</v>
      </c>
      <c r="C1058" s="123" t="s">
        <v>429</v>
      </c>
      <c r="D1058" s="123" t="s">
        <v>17</v>
      </c>
      <c r="E1058" s="123" t="s">
        <v>2810</v>
      </c>
      <c r="F1058" s="124" t="s">
        <v>2811</v>
      </c>
      <c r="G1058" s="124" t="s">
        <v>3000</v>
      </c>
      <c r="H1058" s="124" t="s">
        <v>2691</v>
      </c>
      <c r="I1058" s="123">
        <v>21.02852</v>
      </c>
      <c r="J1058" s="123">
        <v>-101.25026099999999</v>
      </c>
      <c r="K1058" s="122"/>
      <c r="L1058" s="125" t="str">
        <f t="shared" si="53"/>
        <v>Ver en Google Maps</v>
      </c>
      <c r="M1058" s="125">
        <v>1</v>
      </c>
      <c r="N1058" s="140"/>
      <c r="O1058" s="109"/>
      <c r="P1058" s="109"/>
      <c r="Q1058" s="109"/>
      <c r="R1058" s="109"/>
      <c r="S1058" s="109"/>
      <c r="T1058" s="109"/>
      <c r="U1058" s="109"/>
      <c r="V1058" s="109"/>
      <c r="W1058" s="109"/>
      <c r="X1058" s="109"/>
      <c r="Y1058" s="109"/>
      <c r="Z1058" s="109"/>
      <c r="AA1058" s="109"/>
      <c r="AB1058" s="109"/>
      <c r="AC1058" s="110"/>
      <c r="AD1058" s="110"/>
      <c r="AE1058" s="109"/>
      <c r="AF1058" s="111"/>
    </row>
    <row r="1059" spans="1:32" x14ac:dyDescent="0.2">
      <c r="A1059" s="112">
        <v>819</v>
      </c>
      <c r="B1059" s="113" t="s">
        <v>1204</v>
      </c>
      <c r="C1059" s="114" t="s">
        <v>429</v>
      </c>
      <c r="D1059" s="114" t="s">
        <v>16</v>
      </c>
      <c r="E1059" s="114" t="s">
        <v>2812</v>
      </c>
      <c r="F1059" s="115" t="s">
        <v>2813</v>
      </c>
      <c r="G1059" s="115" t="s">
        <v>3001</v>
      </c>
      <c r="H1059" s="115" t="s">
        <v>2691</v>
      </c>
      <c r="I1059" s="114">
        <v>21.007273000000001</v>
      </c>
      <c r="J1059" s="114">
        <v>-101.249742</v>
      </c>
      <c r="K1059" s="113"/>
      <c r="L1059" s="116" t="str">
        <f t="shared" si="53"/>
        <v>Ver en Google Maps</v>
      </c>
      <c r="M1059" s="116">
        <v>1</v>
      </c>
      <c r="N1059" s="139"/>
      <c r="O1059" s="118"/>
      <c r="P1059" s="118"/>
      <c r="Q1059" s="118"/>
      <c r="R1059" s="118"/>
      <c r="S1059" s="118"/>
      <c r="T1059" s="118"/>
      <c r="U1059" s="118"/>
      <c r="V1059" s="118"/>
      <c r="W1059" s="118"/>
      <c r="X1059" s="118"/>
      <c r="Y1059" s="118"/>
      <c r="Z1059" s="118"/>
      <c r="AA1059" s="118"/>
      <c r="AB1059" s="118"/>
      <c r="AC1059" s="119"/>
      <c r="AD1059" s="119"/>
      <c r="AE1059" s="118"/>
      <c r="AF1059" s="120"/>
    </row>
    <row r="1060" spans="1:32" x14ac:dyDescent="0.2">
      <c r="A1060" s="121">
        <v>820</v>
      </c>
      <c r="B1060" s="122" t="s">
        <v>1204</v>
      </c>
      <c r="C1060" s="123" t="s">
        <v>429</v>
      </c>
      <c r="D1060" s="123" t="s">
        <v>15</v>
      </c>
      <c r="E1060" s="123" t="s">
        <v>2814</v>
      </c>
      <c r="F1060" s="124" t="s">
        <v>2815</v>
      </c>
      <c r="G1060" s="124" t="s">
        <v>3002</v>
      </c>
      <c r="H1060" s="124" t="s">
        <v>2691</v>
      </c>
      <c r="I1060" s="123">
        <v>21.020060000000001</v>
      </c>
      <c r="J1060" s="123">
        <v>-101.25351999999999</v>
      </c>
      <c r="K1060" s="122"/>
      <c r="L1060" s="125" t="str">
        <f t="shared" si="53"/>
        <v>Ver en Google Maps</v>
      </c>
      <c r="M1060" s="125">
        <v>2</v>
      </c>
      <c r="N1060" s="140"/>
      <c r="O1060" s="109"/>
      <c r="P1060" s="109"/>
      <c r="Q1060" s="109"/>
      <c r="R1060" s="109"/>
      <c r="S1060" s="109"/>
      <c r="T1060" s="109"/>
      <c r="U1060" s="109"/>
      <c r="V1060" s="109"/>
      <c r="W1060" s="109"/>
      <c r="X1060" s="109"/>
      <c r="Y1060" s="109"/>
      <c r="Z1060" s="109"/>
      <c r="AA1060" s="109"/>
      <c r="AB1060" s="109"/>
      <c r="AC1060" s="110"/>
      <c r="AD1060" s="110"/>
      <c r="AE1060" s="109"/>
      <c r="AF1060" s="111"/>
    </row>
    <row r="1061" spans="1:32" x14ac:dyDescent="0.2">
      <c r="A1061" s="112">
        <v>824</v>
      </c>
      <c r="B1061" s="113" t="s">
        <v>1204</v>
      </c>
      <c r="C1061" s="114" t="s">
        <v>14</v>
      </c>
      <c r="D1061" s="114" t="s">
        <v>404</v>
      </c>
      <c r="E1061" s="114" t="s">
        <v>2816</v>
      </c>
      <c r="F1061" s="115" t="s">
        <v>2817</v>
      </c>
      <c r="G1061" s="115" t="s">
        <v>2977</v>
      </c>
      <c r="H1061" s="115" t="s">
        <v>2691</v>
      </c>
      <c r="I1061" s="114">
        <v>21.010770999999998</v>
      </c>
      <c r="J1061" s="114">
        <v>-101.261668</v>
      </c>
      <c r="K1061" s="113"/>
      <c r="L1061" s="116" t="str">
        <f t="shared" si="53"/>
        <v>Ver en Google Maps</v>
      </c>
      <c r="M1061" s="116">
        <v>1</v>
      </c>
      <c r="N1061" s="139"/>
      <c r="O1061" s="118"/>
      <c r="P1061" s="118"/>
      <c r="Q1061" s="118"/>
      <c r="R1061" s="118"/>
      <c r="S1061" s="118"/>
      <c r="T1061" s="118"/>
      <c r="U1061" s="118"/>
      <c r="V1061" s="118"/>
      <c r="W1061" s="118"/>
      <c r="X1061" s="118"/>
      <c r="Y1061" s="118"/>
      <c r="Z1061" s="118"/>
      <c r="AA1061" s="118"/>
      <c r="AB1061" s="118"/>
      <c r="AC1061" s="119"/>
      <c r="AD1061" s="119"/>
      <c r="AE1061" s="118"/>
      <c r="AF1061" s="120"/>
    </row>
    <row r="1062" spans="1:32" x14ac:dyDescent="0.2">
      <c r="A1062" s="121">
        <v>825</v>
      </c>
      <c r="B1062" s="122" t="s">
        <v>1204</v>
      </c>
      <c r="C1062" s="123" t="s">
        <v>14</v>
      </c>
      <c r="D1062" s="123" t="s">
        <v>404</v>
      </c>
      <c r="E1062" s="123" t="s">
        <v>2818</v>
      </c>
      <c r="F1062" s="124" t="s">
        <v>2819</v>
      </c>
      <c r="G1062" s="124" t="s">
        <v>2979</v>
      </c>
      <c r="H1062" s="124" t="s">
        <v>2691</v>
      </c>
      <c r="I1062" s="123">
        <v>21.018605000000001</v>
      </c>
      <c r="J1062" s="123">
        <v>-101.274235</v>
      </c>
      <c r="K1062" s="122" t="s">
        <v>139</v>
      </c>
      <c r="L1062" s="125" t="str">
        <f t="shared" si="53"/>
        <v>Ver en Google Maps</v>
      </c>
      <c r="M1062" s="125">
        <v>1</v>
      </c>
      <c r="N1062" s="138">
        <v>45961</v>
      </c>
      <c r="O1062" s="109">
        <f>DAY('BD2'!$N1062)</f>
        <v>31</v>
      </c>
      <c r="P1062" s="109">
        <f>MONTH('BD2'!$N1062)</f>
        <v>10</v>
      </c>
      <c r="Q1062" s="109">
        <f>YEAR('BD2'!$N1062)</f>
        <v>2025</v>
      </c>
      <c r="R1062" s="109">
        <v>2</v>
      </c>
      <c r="S1062" s="109" t="s">
        <v>934</v>
      </c>
      <c r="T1062" s="109" t="s">
        <v>934</v>
      </c>
      <c r="U1062" s="109" t="s">
        <v>934</v>
      </c>
      <c r="V1062" s="109" t="s">
        <v>934</v>
      </c>
      <c r="W1062" s="109" t="s">
        <v>934</v>
      </c>
      <c r="X1062" s="109" t="s">
        <v>934</v>
      </c>
      <c r="Y1062" s="109" t="s">
        <v>934</v>
      </c>
      <c r="Z1062" s="109" t="str">
        <f>IF('BD2'!$AA1062 &lt; 14, "no", "si")</f>
        <v>no</v>
      </c>
      <c r="AA1062" s="109">
        <v>0</v>
      </c>
      <c r="AB1062" s="109">
        <v>0</v>
      </c>
      <c r="AC1062" s="110" t="s">
        <v>3123</v>
      </c>
      <c r="AD1062" s="110" t="s">
        <v>2436</v>
      </c>
      <c r="AE1062" s="109">
        <f t="shared" si="51"/>
        <v>0</v>
      </c>
      <c r="AF1062" s="111" t="str">
        <f t="shared" si="52"/>
        <v>Crítico</v>
      </c>
    </row>
    <row r="1063" spans="1:32" x14ac:dyDescent="0.2">
      <c r="A1063" s="112">
        <v>826</v>
      </c>
      <c r="B1063" s="113" t="s">
        <v>1204</v>
      </c>
      <c r="C1063" s="114" t="s">
        <v>14</v>
      </c>
      <c r="D1063" s="114" t="s">
        <v>404</v>
      </c>
      <c r="E1063" s="114" t="s">
        <v>2820</v>
      </c>
      <c r="F1063" s="115" t="s">
        <v>2821</v>
      </c>
      <c r="G1063" s="115" t="s">
        <v>3003</v>
      </c>
      <c r="H1063" s="115" t="s">
        <v>2691</v>
      </c>
      <c r="I1063" s="114">
        <v>20.983035999999998</v>
      </c>
      <c r="J1063" s="114">
        <v>-101.2891</v>
      </c>
      <c r="K1063" s="113"/>
      <c r="L1063" s="116" t="str">
        <f t="shared" si="53"/>
        <v>Ver en Google Maps</v>
      </c>
      <c r="M1063" s="116">
        <v>1</v>
      </c>
      <c r="N1063" s="139"/>
      <c r="O1063" s="118"/>
      <c r="P1063" s="118"/>
      <c r="Q1063" s="118"/>
      <c r="R1063" s="118"/>
      <c r="S1063" s="118"/>
      <c r="T1063" s="118"/>
      <c r="U1063" s="118"/>
      <c r="V1063" s="118"/>
      <c r="W1063" s="118"/>
      <c r="X1063" s="118"/>
      <c r="Y1063" s="118"/>
      <c r="Z1063" s="118"/>
      <c r="AA1063" s="118"/>
      <c r="AB1063" s="118"/>
      <c r="AC1063" s="119"/>
      <c r="AD1063" s="119"/>
      <c r="AE1063" s="118"/>
      <c r="AF1063" s="120"/>
    </row>
    <row r="1064" spans="1:32" x14ac:dyDescent="0.2">
      <c r="A1064" s="121">
        <v>829</v>
      </c>
      <c r="B1064" s="122" t="s">
        <v>1204</v>
      </c>
      <c r="C1064" s="123" t="s">
        <v>14</v>
      </c>
      <c r="D1064" s="123" t="s">
        <v>404</v>
      </c>
      <c r="E1064" s="123" t="s">
        <v>2822</v>
      </c>
      <c r="F1064" s="124" t="s">
        <v>2823</v>
      </c>
      <c r="G1064" s="124" t="s">
        <v>1231</v>
      </c>
      <c r="H1064" s="124" t="s">
        <v>2691</v>
      </c>
      <c r="I1064" s="123">
        <v>21.002952000000001</v>
      </c>
      <c r="J1064" s="123">
        <v>-101.24316</v>
      </c>
      <c r="K1064" s="122"/>
      <c r="L1064" s="125" t="str">
        <f t="shared" si="53"/>
        <v>Ver en Google Maps</v>
      </c>
      <c r="M1064" s="125">
        <v>1</v>
      </c>
      <c r="N1064" s="140"/>
      <c r="O1064" s="109"/>
      <c r="P1064" s="109"/>
      <c r="Q1064" s="109"/>
      <c r="R1064" s="109"/>
      <c r="S1064" s="109"/>
      <c r="T1064" s="109"/>
      <c r="U1064" s="109"/>
      <c r="V1064" s="109"/>
      <c r="W1064" s="109"/>
      <c r="X1064" s="109"/>
      <c r="Y1064" s="109"/>
      <c r="Z1064" s="109"/>
      <c r="AA1064" s="109"/>
      <c r="AB1064" s="109"/>
      <c r="AC1064" s="110"/>
      <c r="AD1064" s="110"/>
      <c r="AE1064" s="109"/>
      <c r="AF1064" s="111"/>
    </row>
    <row r="1065" spans="1:32" x14ac:dyDescent="0.2">
      <c r="A1065" s="112">
        <v>830</v>
      </c>
      <c r="B1065" s="113" t="s">
        <v>1204</v>
      </c>
      <c r="C1065" s="114" t="s">
        <v>14</v>
      </c>
      <c r="D1065" s="114" t="s">
        <v>404</v>
      </c>
      <c r="E1065" s="114" t="s">
        <v>2824</v>
      </c>
      <c r="F1065" s="115" t="s">
        <v>2825</v>
      </c>
      <c r="G1065" s="115" t="s">
        <v>3004</v>
      </c>
      <c r="H1065" s="115" t="s">
        <v>2691</v>
      </c>
      <c r="I1065" s="114">
        <v>20.987703</v>
      </c>
      <c r="J1065" s="114">
        <v>-101.28367299999999</v>
      </c>
      <c r="K1065" s="113"/>
      <c r="L1065" s="116" t="str">
        <f t="shared" si="53"/>
        <v>Ver en Google Maps</v>
      </c>
      <c r="M1065" s="116">
        <v>1</v>
      </c>
      <c r="N1065" s="139"/>
      <c r="O1065" s="118"/>
      <c r="P1065" s="118"/>
      <c r="Q1065" s="118"/>
      <c r="R1065" s="118"/>
      <c r="S1065" s="118"/>
      <c r="T1065" s="118"/>
      <c r="U1065" s="118"/>
      <c r="V1065" s="118"/>
      <c r="W1065" s="118"/>
      <c r="X1065" s="118"/>
      <c r="Y1065" s="118"/>
      <c r="Z1065" s="118"/>
      <c r="AA1065" s="118"/>
      <c r="AB1065" s="118"/>
      <c r="AC1065" s="119"/>
      <c r="AD1065" s="119"/>
      <c r="AE1065" s="118"/>
      <c r="AF1065" s="120"/>
    </row>
    <row r="1066" spans="1:32" x14ac:dyDescent="0.2">
      <c r="A1066" s="121" t="s">
        <v>3028</v>
      </c>
      <c r="B1066" s="122" t="s">
        <v>1204</v>
      </c>
      <c r="C1066" s="123" t="s">
        <v>11</v>
      </c>
      <c r="D1066" s="123" t="s">
        <v>404</v>
      </c>
      <c r="E1066" s="123" t="s">
        <v>2826</v>
      </c>
      <c r="F1066" s="124" t="s">
        <v>2827</v>
      </c>
      <c r="G1066" s="124" t="s">
        <v>2966</v>
      </c>
      <c r="H1066" s="124" t="s">
        <v>2691</v>
      </c>
      <c r="I1066" s="123">
        <v>20.994810000000001</v>
      </c>
      <c r="J1066" s="123">
        <v>-101.27914</v>
      </c>
      <c r="K1066" s="122" t="s">
        <v>139</v>
      </c>
      <c r="L1066" s="125" t="str">
        <f t="shared" si="53"/>
        <v>Ver en Google Maps</v>
      </c>
      <c r="M1066" s="125">
        <v>2</v>
      </c>
      <c r="N1066" s="138">
        <v>45961</v>
      </c>
      <c r="O1066" s="109">
        <f>DAY('BD2'!$N1066)</f>
        <v>31</v>
      </c>
      <c r="P1066" s="109">
        <f>MONTH('BD2'!$N1066)</f>
        <v>10</v>
      </c>
      <c r="Q1066" s="109">
        <f>YEAR('BD2'!$N1066)</f>
        <v>2025</v>
      </c>
      <c r="R1066" s="109">
        <v>2</v>
      </c>
      <c r="S1066" s="109" t="s">
        <v>138</v>
      </c>
      <c r="T1066" s="109" t="s">
        <v>138</v>
      </c>
      <c r="U1066" s="109" t="s">
        <v>138</v>
      </c>
      <c r="V1066" s="109" t="s">
        <v>138</v>
      </c>
      <c r="W1066" s="109" t="s">
        <v>138</v>
      </c>
      <c r="X1066" s="109" t="s">
        <v>138</v>
      </c>
      <c r="Y1066" s="109" t="s">
        <v>138</v>
      </c>
      <c r="Z1066" s="109" t="str">
        <f>IF('BD2'!$AA1066 &lt; 14, "no", "si")</f>
        <v>si</v>
      </c>
      <c r="AA1066" s="109">
        <v>96.5</v>
      </c>
      <c r="AB1066" s="109">
        <v>115</v>
      </c>
      <c r="AC1066" s="110" t="s">
        <v>967</v>
      </c>
      <c r="AD1066" s="110" t="s">
        <v>2436</v>
      </c>
      <c r="AE1066" s="109">
        <f>COUNTIF(S1066:Z1066, "si")</f>
        <v>8</v>
      </c>
      <c r="AF1066" s="111" t="str">
        <f t="shared" si="52"/>
        <v>Estable</v>
      </c>
    </row>
    <row r="1067" spans="1:32" x14ac:dyDescent="0.2">
      <c r="A1067" s="112" t="s">
        <v>3029</v>
      </c>
      <c r="B1067" s="113" t="s">
        <v>1204</v>
      </c>
      <c r="C1067" s="114" t="s">
        <v>11</v>
      </c>
      <c r="D1067" s="114" t="s">
        <v>404</v>
      </c>
      <c r="E1067" s="114" t="s">
        <v>2826</v>
      </c>
      <c r="F1067" s="115" t="s">
        <v>2827</v>
      </c>
      <c r="G1067" s="115" t="s">
        <v>2966</v>
      </c>
      <c r="H1067" s="115" t="s">
        <v>2691</v>
      </c>
      <c r="I1067" s="114">
        <v>20.994810000000001</v>
      </c>
      <c r="J1067" s="114">
        <v>-101.27914</v>
      </c>
      <c r="K1067" s="113" t="s">
        <v>139</v>
      </c>
      <c r="L1067" s="116" t="str">
        <f t="shared" si="53"/>
        <v>Ver en Google Maps</v>
      </c>
      <c r="M1067" s="116">
        <v>2</v>
      </c>
      <c r="N1067" s="137">
        <v>45961</v>
      </c>
      <c r="O1067" s="118">
        <f>DAY('BD2'!$N1067)</f>
        <v>31</v>
      </c>
      <c r="P1067" s="118">
        <f>MONTH('BD2'!$N1067)</f>
        <v>10</v>
      </c>
      <c r="Q1067" s="118">
        <f>YEAR('BD2'!$N1067)</f>
        <v>2025</v>
      </c>
      <c r="R1067" s="118">
        <v>2</v>
      </c>
      <c r="S1067" s="118" t="s">
        <v>138</v>
      </c>
      <c r="T1067" s="118" t="s">
        <v>934</v>
      </c>
      <c r="U1067" s="118" t="s">
        <v>934</v>
      </c>
      <c r="V1067" s="118" t="s">
        <v>934</v>
      </c>
      <c r="W1067" s="118" t="s">
        <v>934</v>
      </c>
      <c r="X1067" s="118" t="s">
        <v>934</v>
      </c>
      <c r="Y1067" s="118" t="s">
        <v>934</v>
      </c>
      <c r="Z1067" s="118" t="str">
        <f>IF('BD2'!$AA1067 &lt; 14, "no", "si")</f>
        <v>no</v>
      </c>
      <c r="AA1067" s="118">
        <v>0</v>
      </c>
      <c r="AB1067" s="118">
        <v>0</v>
      </c>
      <c r="AC1067" s="119" t="s">
        <v>3125</v>
      </c>
      <c r="AD1067" s="119" t="s">
        <v>2436</v>
      </c>
      <c r="AE1067" s="118">
        <f t="shared" si="51"/>
        <v>1</v>
      </c>
      <c r="AF1067" s="120" t="str">
        <f t="shared" si="52"/>
        <v>Inoperativo</v>
      </c>
    </row>
    <row r="1068" spans="1:32" x14ac:dyDescent="0.2">
      <c r="A1068" s="121">
        <v>832</v>
      </c>
      <c r="B1068" s="122" t="s">
        <v>1204</v>
      </c>
      <c r="C1068" s="123" t="s">
        <v>14</v>
      </c>
      <c r="D1068" s="123" t="s">
        <v>404</v>
      </c>
      <c r="E1068" s="123" t="s">
        <v>2828</v>
      </c>
      <c r="F1068" s="124" t="s">
        <v>2829</v>
      </c>
      <c r="G1068" s="124" t="s">
        <v>2966</v>
      </c>
      <c r="H1068" s="124" t="s">
        <v>2691</v>
      </c>
      <c r="I1068" s="123">
        <v>20.984359000000001</v>
      </c>
      <c r="J1068" s="123">
        <v>-101.28804700000001</v>
      </c>
      <c r="K1068" s="122"/>
      <c r="L1068" s="125" t="str">
        <f t="shared" si="53"/>
        <v>Ver en Google Maps</v>
      </c>
      <c r="M1068" s="125">
        <v>1</v>
      </c>
      <c r="N1068" s="140"/>
      <c r="O1068" s="109"/>
      <c r="P1068" s="109"/>
      <c r="Q1068" s="109"/>
      <c r="R1068" s="109"/>
      <c r="S1068" s="109"/>
      <c r="T1068" s="109"/>
      <c r="U1068" s="109"/>
      <c r="V1068" s="109"/>
      <c r="W1068" s="109"/>
      <c r="X1068" s="109"/>
      <c r="Y1068" s="109"/>
      <c r="Z1068" s="109"/>
      <c r="AA1068" s="109"/>
      <c r="AB1068" s="109"/>
      <c r="AC1068" s="110"/>
      <c r="AD1068" s="110"/>
      <c r="AE1068" s="109"/>
      <c r="AF1068" s="111"/>
    </row>
    <row r="1069" spans="1:32" x14ac:dyDescent="0.2">
      <c r="A1069" s="112">
        <v>833</v>
      </c>
      <c r="B1069" s="113" t="s">
        <v>1204</v>
      </c>
      <c r="C1069" s="114" t="s">
        <v>14</v>
      </c>
      <c r="D1069" s="114" t="s">
        <v>404</v>
      </c>
      <c r="E1069" s="114" t="s">
        <v>2831</v>
      </c>
      <c r="F1069" s="115" t="s">
        <v>2832</v>
      </c>
      <c r="G1069" s="115" t="s">
        <v>1212</v>
      </c>
      <c r="H1069" s="115" t="s">
        <v>2691</v>
      </c>
      <c r="I1069" s="114">
        <v>21.003219999999999</v>
      </c>
      <c r="J1069" s="114">
        <v>-101.24047</v>
      </c>
      <c r="K1069" s="113"/>
      <c r="L1069" s="116" t="str">
        <f t="shared" si="53"/>
        <v>Ver en Google Maps</v>
      </c>
      <c r="M1069" s="116">
        <v>2</v>
      </c>
      <c r="N1069" s="139"/>
      <c r="O1069" s="118"/>
      <c r="P1069" s="118"/>
      <c r="Q1069" s="118"/>
      <c r="R1069" s="118"/>
      <c r="S1069" s="118"/>
      <c r="T1069" s="118"/>
      <c r="U1069" s="118"/>
      <c r="V1069" s="118"/>
      <c r="W1069" s="118"/>
      <c r="X1069" s="118"/>
      <c r="Y1069" s="118"/>
      <c r="Z1069" s="118"/>
      <c r="AA1069" s="118"/>
      <c r="AB1069" s="118"/>
      <c r="AC1069" s="119"/>
      <c r="AD1069" s="119"/>
      <c r="AE1069" s="118"/>
      <c r="AF1069" s="120"/>
    </row>
    <row r="1070" spans="1:32" x14ac:dyDescent="0.2">
      <c r="A1070" s="121">
        <v>834</v>
      </c>
      <c r="B1070" s="122" t="s">
        <v>1204</v>
      </c>
      <c r="C1070" s="123" t="s">
        <v>11</v>
      </c>
      <c r="D1070" s="123" t="s">
        <v>404</v>
      </c>
      <c r="E1070" s="123" t="s">
        <v>2833</v>
      </c>
      <c r="F1070" s="124" t="s">
        <v>2834</v>
      </c>
      <c r="G1070" s="124" t="s">
        <v>2971</v>
      </c>
      <c r="H1070" s="124" t="s">
        <v>2691</v>
      </c>
      <c r="I1070" s="123">
        <v>21.029724000000002</v>
      </c>
      <c r="J1070" s="123">
        <v>-101.255934</v>
      </c>
      <c r="K1070" s="122" t="s">
        <v>139</v>
      </c>
      <c r="L1070" s="125" t="str">
        <f t="shared" si="53"/>
        <v>Ver en Google Maps</v>
      </c>
      <c r="M1070" s="125">
        <v>1</v>
      </c>
      <c r="N1070" s="138">
        <v>45961</v>
      </c>
      <c r="O1070" s="109">
        <f>DAY('BD2'!$N1070)</f>
        <v>31</v>
      </c>
      <c r="P1070" s="109">
        <f>MONTH('BD2'!$N1070)</f>
        <v>10</v>
      </c>
      <c r="Q1070" s="109">
        <f>YEAR('BD2'!$N1070)</f>
        <v>2025</v>
      </c>
      <c r="R1070" s="109">
        <v>2</v>
      </c>
      <c r="S1070" s="109" t="s">
        <v>138</v>
      </c>
      <c r="T1070" s="109" t="s">
        <v>934</v>
      </c>
      <c r="U1070" s="109" t="s">
        <v>934</v>
      </c>
      <c r="V1070" s="109" t="s">
        <v>934</v>
      </c>
      <c r="W1070" s="109" t="s">
        <v>934</v>
      </c>
      <c r="X1070" s="109" t="s">
        <v>934</v>
      </c>
      <c r="Y1070" s="109" t="s">
        <v>934</v>
      </c>
      <c r="Z1070" s="109" t="str">
        <f>IF('BD2'!$AA1070 &lt; 14, "no", "si")</f>
        <v>no</v>
      </c>
      <c r="AA1070" s="109">
        <v>0</v>
      </c>
      <c r="AB1070" s="109">
        <v>0</v>
      </c>
      <c r="AC1070" s="110" t="s">
        <v>3125</v>
      </c>
      <c r="AD1070" s="110" t="s">
        <v>2436</v>
      </c>
      <c r="AE1070" s="109">
        <f t="shared" si="51"/>
        <v>1</v>
      </c>
      <c r="AF1070" s="111" t="str">
        <f t="shared" si="52"/>
        <v>Inoperativo</v>
      </c>
    </row>
    <row r="1071" spans="1:32" x14ac:dyDescent="0.2">
      <c r="A1071" s="112">
        <v>836</v>
      </c>
      <c r="B1071" s="113" t="s">
        <v>1204</v>
      </c>
      <c r="C1071" s="114" t="s">
        <v>14</v>
      </c>
      <c r="D1071" s="114" t="s">
        <v>404</v>
      </c>
      <c r="E1071" s="114" t="s">
        <v>2830</v>
      </c>
      <c r="F1071" s="115" t="s">
        <v>2835</v>
      </c>
      <c r="G1071" s="115" t="s">
        <v>1231</v>
      </c>
      <c r="H1071" s="115" t="s">
        <v>2691</v>
      </c>
      <c r="I1071" s="114">
        <v>21.012246000000001</v>
      </c>
      <c r="J1071" s="114">
        <v>-101.249082</v>
      </c>
      <c r="K1071" s="113"/>
      <c r="L1071" s="116" t="str">
        <f t="shared" si="53"/>
        <v>Ver en Google Maps</v>
      </c>
      <c r="M1071" s="116">
        <v>1</v>
      </c>
      <c r="N1071" s="139"/>
      <c r="O1071" s="118"/>
      <c r="P1071" s="118"/>
      <c r="Q1071" s="118"/>
      <c r="R1071" s="118"/>
      <c r="S1071" s="118"/>
      <c r="T1071" s="118"/>
      <c r="U1071" s="118"/>
      <c r="V1071" s="118"/>
      <c r="W1071" s="118"/>
      <c r="X1071" s="118"/>
      <c r="Y1071" s="118"/>
      <c r="Z1071" s="118"/>
      <c r="AA1071" s="118"/>
      <c r="AB1071" s="118"/>
      <c r="AC1071" s="119"/>
      <c r="AD1071" s="119"/>
      <c r="AE1071" s="118"/>
      <c r="AF1071" s="120"/>
    </row>
    <row r="1072" spans="1:32" x14ac:dyDescent="0.2">
      <c r="A1072" s="121">
        <v>837</v>
      </c>
      <c r="B1072" s="122" t="s">
        <v>1204</v>
      </c>
      <c r="C1072" s="123" t="s">
        <v>14</v>
      </c>
      <c r="D1072" s="123" t="s">
        <v>404</v>
      </c>
      <c r="E1072" s="123" t="s">
        <v>2836</v>
      </c>
      <c r="F1072" s="124" t="s">
        <v>2837</v>
      </c>
      <c r="G1072" s="124" t="s">
        <v>2968</v>
      </c>
      <c r="H1072" s="124" t="s">
        <v>2691</v>
      </c>
      <c r="I1072" s="123">
        <v>21.009150999999999</v>
      </c>
      <c r="J1072" s="123">
        <v>-101.273414</v>
      </c>
      <c r="K1072" s="122"/>
      <c r="L1072" s="125" t="str">
        <f t="shared" si="53"/>
        <v>Ver en Google Maps</v>
      </c>
      <c r="M1072" s="125">
        <v>1</v>
      </c>
      <c r="N1072" s="140"/>
      <c r="O1072" s="109"/>
      <c r="P1072" s="109"/>
      <c r="Q1072" s="109"/>
      <c r="R1072" s="109"/>
      <c r="S1072" s="109"/>
      <c r="T1072" s="109"/>
      <c r="U1072" s="109"/>
      <c r="V1072" s="109"/>
      <c r="W1072" s="109"/>
      <c r="X1072" s="109"/>
      <c r="Y1072" s="109"/>
      <c r="Z1072" s="109"/>
      <c r="AA1072" s="109"/>
      <c r="AB1072" s="109"/>
      <c r="AC1072" s="110"/>
      <c r="AD1072" s="110"/>
      <c r="AE1072" s="109"/>
      <c r="AF1072" s="111"/>
    </row>
    <row r="1073" spans="1:32" x14ac:dyDescent="0.2">
      <c r="A1073" s="112">
        <v>838</v>
      </c>
      <c r="B1073" s="113" t="s">
        <v>1204</v>
      </c>
      <c r="C1073" s="114" t="s">
        <v>14</v>
      </c>
      <c r="D1073" s="114" t="s">
        <v>404</v>
      </c>
      <c r="E1073" s="114" t="s">
        <v>2838</v>
      </c>
      <c r="F1073" s="115" t="s">
        <v>2839</v>
      </c>
      <c r="G1073" s="115" t="s">
        <v>1231</v>
      </c>
      <c r="H1073" s="115" t="s">
        <v>2691</v>
      </c>
      <c r="I1073" s="114">
        <v>21.004059000000002</v>
      </c>
      <c r="J1073" s="114">
        <v>-101.245217</v>
      </c>
      <c r="K1073" s="113"/>
      <c r="L1073" s="116" t="str">
        <f t="shared" si="53"/>
        <v>Ver en Google Maps</v>
      </c>
      <c r="M1073" s="116">
        <v>1</v>
      </c>
      <c r="N1073" s="139"/>
      <c r="O1073" s="118"/>
      <c r="P1073" s="118"/>
      <c r="Q1073" s="118"/>
      <c r="R1073" s="118"/>
      <c r="S1073" s="118"/>
      <c r="T1073" s="118"/>
      <c r="U1073" s="118"/>
      <c r="V1073" s="118"/>
      <c r="W1073" s="118"/>
      <c r="X1073" s="118"/>
      <c r="Y1073" s="118"/>
      <c r="Z1073" s="118"/>
      <c r="AA1073" s="118"/>
      <c r="AB1073" s="118"/>
      <c r="AC1073" s="119"/>
      <c r="AD1073" s="119"/>
      <c r="AE1073" s="118"/>
      <c r="AF1073" s="120"/>
    </row>
    <row r="1074" spans="1:32" ht="14.25" x14ac:dyDescent="0.2">
      <c r="A1074" s="121">
        <v>839</v>
      </c>
      <c r="B1074" s="122" t="s">
        <v>1204</v>
      </c>
      <c r="C1074" s="123" t="s">
        <v>14</v>
      </c>
      <c r="D1074" s="123" t="s">
        <v>404</v>
      </c>
      <c r="E1074" s="123" t="s">
        <v>2840</v>
      </c>
      <c r="F1074" s="124" t="s">
        <v>2841</v>
      </c>
      <c r="G1074" s="124" t="s">
        <v>1231</v>
      </c>
      <c r="H1074" s="124" t="s">
        <v>2691</v>
      </c>
      <c r="I1074" s="123">
        <v>21.020135</v>
      </c>
      <c r="J1074" s="123">
        <v>-101.260364</v>
      </c>
      <c r="K1074" s="122" t="s">
        <v>139</v>
      </c>
      <c r="L1074" s="141" t="str">
        <f>HYPERLINK("https://www.google.com/maps?q=" &amp; I1074 &amp; "," &amp; J1074, "Ver en Google Maps")</f>
        <v>Ver en Google Maps</v>
      </c>
      <c r="M1074" s="125">
        <v>1</v>
      </c>
      <c r="N1074" s="138">
        <v>45961</v>
      </c>
      <c r="O1074" s="109">
        <f>DAY('BD2'!$N1074)</f>
        <v>31</v>
      </c>
      <c r="P1074" s="109">
        <f>MONTH('BD2'!$N1074)</f>
        <v>10</v>
      </c>
      <c r="Q1074" s="109">
        <f>YEAR('BD2'!$N1074)</f>
        <v>2025</v>
      </c>
      <c r="R1074" s="109">
        <v>2</v>
      </c>
      <c r="S1074" s="109" t="s">
        <v>138</v>
      </c>
      <c r="T1074" s="109" t="s">
        <v>138</v>
      </c>
      <c r="U1074" s="109" t="s">
        <v>138</v>
      </c>
      <c r="V1074" s="109" t="s">
        <v>138</v>
      </c>
      <c r="W1074" s="109" t="s">
        <v>138</v>
      </c>
      <c r="X1074" s="109" t="s">
        <v>138</v>
      </c>
      <c r="Y1074" s="109" t="s">
        <v>138</v>
      </c>
      <c r="Z1074" s="109" t="str">
        <f>IF('BD2'!$AA1074 &lt; 14, "no", "si")</f>
        <v>si</v>
      </c>
      <c r="AA1074" s="109">
        <v>102</v>
      </c>
      <c r="AB1074" s="109">
        <v>131</v>
      </c>
      <c r="AC1074" s="110" t="s">
        <v>967</v>
      </c>
      <c r="AD1074" s="110" t="s">
        <v>2436</v>
      </c>
      <c r="AE1074" s="109">
        <f t="shared" si="51"/>
        <v>8</v>
      </c>
      <c r="AF1074" s="111" t="str">
        <f t="shared" si="52"/>
        <v>Estable</v>
      </c>
    </row>
    <row r="1075" spans="1:32" x14ac:dyDescent="0.2">
      <c r="A1075" s="112">
        <v>840</v>
      </c>
      <c r="B1075" s="113" t="s">
        <v>1204</v>
      </c>
      <c r="C1075" s="114" t="s">
        <v>14</v>
      </c>
      <c r="D1075" s="114" t="s">
        <v>404</v>
      </c>
      <c r="E1075" s="114" t="s">
        <v>2842</v>
      </c>
      <c r="F1075" s="115" t="s">
        <v>2843</v>
      </c>
      <c r="G1075" s="115" t="s">
        <v>2973</v>
      </c>
      <c r="H1075" s="115" t="s">
        <v>2691</v>
      </c>
      <c r="I1075" s="114">
        <v>20.959022000000001</v>
      </c>
      <c r="J1075" s="114">
        <v>-101.271619</v>
      </c>
      <c r="K1075" s="113"/>
      <c r="L1075" s="116" t="str">
        <f t="shared" si="53"/>
        <v>Ver en Google Maps</v>
      </c>
      <c r="M1075" s="116">
        <v>1</v>
      </c>
      <c r="N1075" s="139"/>
      <c r="O1075" s="118"/>
      <c r="P1075" s="118"/>
      <c r="Q1075" s="118"/>
      <c r="R1075" s="118"/>
      <c r="S1075" s="118"/>
      <c r="T1075" s="118"/>
      <c r="U1075" s="118"/>
      <c r="V1075" s="118"/>
      <c r="W1075" s="118"/>
      <c r="X1075" s="118"/>
      <c r="Y1075" s="118"/>
      <c r="Z1075" s="118"/>
      <c r="AA1075" s="118"/>
      <c r="AB1075" s="118"/>
      <c r="AC1075" s="119"/>
      <c r="AD1075" s="119"/>
      <c r="AE1075" s="118"/>
      <c r="AF1075" s="120"/>
    </row>
    <row r="1076" spans="1:32" x14ac:dyDescent="0.2">
      <c r="A1076" s="121">
        <v>841</v>
      </c>
      <c r="B1076" s="122" t="s">
        <v>1204</v>
      </c>
      <c r="C1076" s="123" t="s">
        <v>14</v>
      </c>
      <c r="D1076" s="123" t="s">
        <v>404</v>
      </c>
      <c r="E1076" s="123" t="s">
        <v>2844</v>
      </c>
      <c r="F1076" s="124" t="s">
        <v>2843</v>
      </c>
      <c r="G1076" s="124" t="s">
        <v>3005</v>
      </c>
      <c r="H1076" s="124" t="s">
        <v>2691</v>
      </c>
      <c r="I1076" s="123">
        <v>20.960394000000001</v>
      </c>
      <c r="J1076" s="123">
        <v>-101.274152</v>
      </c>
      <c r="K1076" s="122"/>
      <c r="L1076" s="125" t="str">
        <f t="shared" si="53"/>
        <v>Ver en Google Maps</v>
      </c>
      <c r="M1076" s="125">
        <v>1</v>
      </c>
      <c r="N1076" s="140"/>
      <c r="O1076" s="109"/>
      <c r="P1076" s="109"/>
      <c r="Q1076" s="109"/>
      <c r="R1076" s="109"/>
      <c r="S1076" s="109"/>
      <c r="T1076" s="109"/>
      <c r="U1076" s="109"/>
      <c r="V1076" s="109"/>
      <c r="W1076" s="109"/>
      <c r="X1076" s="109"/>
      <c r="Y1076" s="109"/>
      <c r="Z1076" s="109"/>
      <c r="AA1076" s="109"/>
      <c r="AB1076" s="109"/>
      <c r="AC1076" s="110"/>
      <c r="AD1076" s="110"/>
      <c r="AE1076" s="109"/>
      <c r="AF1076" s="111"/>
    </row>
    <row r="1077" spans="1:32" x14ac:dyDescent="0.2">
      <c r="A1077" s="112">
        <v>842</v>
      </c>
      <c r="B1077" s="113" t="s">
        <v>1204</v>
      </c>
      <c r="C1077" s="114" t="s">
        <v>14</v>
      </c>
      <c r="D1077" s="114" t="s">
        <v>404</v>
      </c>
      <c r="E1077" s="114" t="s">
        <v>2845</v>
      </c>
      <c r="F1077" s="115" t="s">
        <v>2843</v>
      </c>
      <c r="G1077" s="115" t="s">
        <v>2973</v>
      </c>
      <c r="H1077" s="115" t="s">
        <v>2691</v>
      </c>
      <c r="I1077" s="114">
        <v>20.959859999999999</v>
      </c>
      <c r="J1077" s="114">
        <v>-101.27365</v>
      </c>
      <c r="K1077" s="113"/>
      <c r="L1077" s="116" t="str">
        <f t="shared" si="53"/>
        <v>Ver en Google Maps</v>
      </c>
      <c r="M1077" s="116">
        <v>1</v>
      </c>
      <c r="N1077" s="139"/>
      <c r="O1077" s="118"/>
      <c r="P1077" s="118"/>
      <c r="Q1077" s="118"/>
      <c r="R1077" s="118"/>
      <c r="S1077" s="118"/>
      <c r="T1077" s="118"/>
      <c r="U1077" s="118"/>
      <c r="V1077" s="118"/>
      <c r="W1077" s="118"/>
      <c r="X1077" s="118"/>
      <c r="Y1077" s="118"/>
      <c r="Z1077" s="118"/>
      <c r="AA1077" s="118"/>
      <c r="AB1077" s="118"/>
      <c r="AC1077" s="119"/>
      <c r="AD1077" s="119"/>
      <c r="AE1077" s="118"/>
      <c r="AF1077" s="120"/>
    </row>
    <row r="1078" spans="1:32" x14ac:dyDescent="0.2">
      <c r="A1078" s="121">
        <v>843</v>
      </c>
      <c r="B1078" s="122" t="s">
        <v>1204</v>
      </c>
      <c r="C1078" s="123" t="s">
        <v>14</v>
      </c>
      <c r="D1078" s="123" t="s">
        <v>404</v>
      </c>
      <c r="E1078" s="123" t="s">
        <v>2846</v>
      </c>
      <c r="F1078" s="124" t="s">
        <v>2847</v>
      </c>
      <c r="G1078" s="124" t="s">
        <v>1231</v>
      </c>
      <c r="H1078" s="124" t="s">
        <v>2691</v>
      </c>
      <c r="I1078" s="123">
        <v>21.004138000000001</v>
      </c>
      <c r="J1078" s="123">
        <v>-101.246574</v>
      </c>
      <c r="K1078" s="122"/>
      <c r="L1078" s="125" t="str">
        <f t="shared" si="53"/>
        <v>Ver en Google Maps</v>
      </c>
      <c r="M1078" s="125">
        <v>1</v>
      </c>
      <c r="N1078" s="140"/>
      <c r="O1078" s="109"/>
      <c r="P1078" s="109"/>
      <c r="Q1078" s="109"/>
      <c r="R1078" s="109"/>
      <c r="S1078" s="109"/>
      <c r="T1078" s="109"/>
      <c r="U1078" s="109"/>
      <c r="V1078" s="109"/>
      <c r="W1078" s="109"/>
      <c r="X1078" s="109"/>
      <c r="Y1078" s="109"/>
      <c r="Z1078" s="109"/>
      <c r="AA1078" s="109"/>
      <c r="AB1078" s="109"/>
      <c r="AC1078" s="110"/>
      <c r="AD1078" s="110"/>
      <c r="AE1078" s="109"/>
      <c r="AF1078" s="111"/>
    </row>
    <row r="1079" spans="1:32" x14ac:dyDescent="0.2">
      <c r="A1079" s="112">
        <v>846</v>
      </c>
      <c r="B1079" s="113" t="s">
        <v>1204</v>
      </c>
      <c r="C1079" s="114" t="s">
        <v>14</v>
      </c>
      <c r="D1079" s="114" t="s">
        <v>404</v>
      </c>
      <c r="E1079" s="114" t="s">
        <v>2848</v>
      </c>
      <c r="F1079" s="115" t="s">
        <v>2849</v>
      </c>
      <c r="G1079" s="115" t="s">
        <v>1231</v>
      </c>
      <c r="H1079" s="115" t="s">
        <v>2691</v>
      </c>
      <c r="I1079" s="114">
        <v>21.010266000000001</v>
      </c>
      <c r="J1079" s="114">
        <v>-101.24072</v>
      </c>
      <c r="K1079" s="113"/>
      <c r="L1079" s="116" t="str">
        <f t="shared" si="53"/>
        <v>Ver en Google Maps</v>
      </c>
      <c r="M1079" s="116">
        <v>1</v>
      </c>
      <c r="N1079" s="139"/>
      <c r="O1079" s="118"/>
      <c r="P1079" s="118"/>
      <c r="Q1079" s="118"/>
      <c r="R1079" s="118"/>
      <c r="S1079" s="118"/>
      <c r="T1079" s="118"/>
      <c r="U1079" s="118"/>
      <c r="V1079" s="118"/>
      <c r="W1079" s="118"/>
      <c r="X1079" s="118"/>
      <c r="Y1079" s="118"/>
      <c r="Z1079" s="118"/>
      <c r="AA1079" s="118"/>
      <c r="AB1079" s="118"/>
      <c r="AC1079" s="119"/>
      <c r="AD1079" s="119"/>
      <c r="AE1079" s="118"/>
      <c r="AF1079" s="120"/>
    </row>
    <row r="1080" spans="1:32" x14ac:dyDescent="0.2">
      <c r="A1080" s="121">
        <v>851</v>
      </c>
      <c r="B1080" s="122" t="s">
        <v>1204</v>
      </c>
      <c r="C1080" s="123" t="s">
        <v>14</v>
      </c>
      <c r="D1080" s="123" t="s">
        <v>404</v>
      </c>
      <c r="E1080" s="123" t="s">
        <v>2850</v>
      </c>
      <c r="F1080" s="124" t="s">
        <v>2851</v>
      </c>
      <c r="G1080" s="124" t="s">
        <v>2977</v>
      </c>
      <c r="H1080" s="124" t="s">
        <v>2691</v>
      </c>
      <c r="I1080" s="123">
        <v>21.010159999999999</v>
      </c>
      <c r="J1080" s="123">
        <v>-101.25991</v>
      </c>
      <c r="K1080" s="122"/>
      <c r="L1080" s="125" t="str">
        <f t="shared" si="53"/>
        <v>Ver en Google Maps</v>
      </c>
      <c r="M1080" s="125">
        <v>1</v>
      </c>
      <c r="N1080" s="140"/>
      <c r="O1080" s="109"/>
      <c r="P1080" s="109"/>
      <c r="Q1080" s="109"/>
      <c r="R1080" s="109"/>
      <c r="S1080" s="109"/>
      <c r="T1080" s="109"/>
      <c r="U1080" s="109"/>
      <c r="V1080" s="109"/>
      <c r="W1080" s="109"/>
      <c r="X1080" s="109"/>
      <c r="Y1080" s="109"/>
      <c r="Z1080" s="109"/>
      <c r="AA1080" s="109"/>
      <c r="AB1080" s="109"/>
      <c r="AC1080" s="110"/>
      <c r="AD1080" s="110"/>
      <c r="AE1080" s="109"/>
      <c r="AF1080" s="111"/>
    </row>
    <row r="1081" spans="1:32" x14ac:dyDescent="0.2">
      <c r="A1081" s="112">
        <v>856</v>
      </c>
      <c r="B1081" s="113" t="s">
        <v>1204</v>
      </c>
      <c r="C1081" s="114" t="s">
        <v>14</v>
      </c>
      <c r="D1081" s="114" t="s">
        <v>404</v>
      </c>
      <c r="E1081" s="114" t="s">
        <v>2852</v>
      </c>
      <c r="F1081" s="115" t="s">
        <v>2853</v>
      </c>
      <c r="G1081" s="115" t="s">
        <v>1231</v>
      </c>
      <c r="H1081" s="115" t="s">
        <v>2691</v>
      </c>
      <c r="I1081" s="114">
        <v>21.003183</v>
      </c>
      <c r="J1081" s="114">
        <v>-101.24348000000001</v>
      </c>
      <c r="K1081" s="113"/>
      <c r="L1081" s="116" t="str">
        <f t="shared" si="53"/>
        <v>Ver en Google Maps</v>
      </c>
      <c r="M1081" s="116">
        <v>2</v>
      </c>
      <c r="N1081" s="139"/>
      <c r="O1081" s="118"/>
      <c r="P1081" s="118"/>
      <c r="Q1081" s="118"/>
      <c r="R1081" s="118"/>
      <c r="S1081" s="118"/>
      <c r="T1081" s="118"/>
      <c r="U1081" s="118"/>
      <c r="V1081" s="118"/>
      <c r="W1081" s="118"/>
      <c r="X1081" s="118"/>
      <c r="Y1081" s="118"/>
      <c r="Z1081" s="118"/>
      <c r="AA1081" s="118"/>
      <c r="AB1081" s="118"/>
      <c r="AC1081" s="119"/>
      <c r="AD1081" s="119"/>
      <c r="AE1081" s="118"/>
      <c r="AF1081" s="120"/>
    </row>
    <row r="1082" spans="1:32" x14ac:dyDescent="0.2">
      <c r="A1082" s="121">
        <v>857</v>
      </c>
      <c r="B1082" s="122" t="s">
        <v>1204</v>
      </c>
      <c r="C1082" s="123" t="s">
        <v>14</v>
      </c>
      <c r="D1082" s="123" t="s">
        <v>404</v>
      </c>
      <c r="E1082" s="123" t="s">
        <v>2854</v>
      </c>
      <c r="F1082" s="124" t="s">
        <v>2855</v>
      </c>
      <c r="G1082" s="124" t="s">
        <v>2979</v>
      </c>
      <c r="H1082" s="124" t="s">
        <v>2691</v>
      </c>
      <c r="I1082" s="123">
        <v>21.013544</v>
      </c>
      <c r="J1082" s="123">
        <v>-101.27430699999999</v>
      </c>
      <c r="K1082" s="122"/>
      <c r="L1082" s="125" t="str">
        <f t="shared" si="53"/>
        <v>Ver en Google Maps</v>
      </c>
      <c r="M1082" s="125">
        <v>2</v>
      </c>
      <c r="N1082" s="140"/>
      <c r="O1082" s="109"/>
      <c r="P1082" s="109"/>
      <c r="Q1082" s="109"/>
      <c r="R1082" s="109"/>
      <c r="S1082" s="109"/>
      <c r="T1082" s="109"/>
      <c r="U1082" s="109"/>
      <c r="V1082" s="109"/>
      <c r="W1082" s="109"/>
      <c r="X1082" s="109"/>
      <c r="Y1082" s="109"/>
      <c r="Z1082" s="109"/>
      <c r="AA1082" s="109"/>
      <c r="AB1082" s="109"/>
      <c r="AC1082" s="110"/>
      <c r="AD1082" s="110"/>
      <c r="AE1082" s="109"/>
      <c r="AF1082" s="111"/>
    </row>
    <row r="1083" spans="1:32" x14ac:dyDescent="0.2">
      <c r="A1083" s="112">
        <v>858</v>
      </c>
      <c r="B1083" s="113" t="s">
        <v>1204</v>
      </c>
      <c r="C1083" s="114" t="s">
        <v>14</v>
      </c>
      <c r="D1083" s="114" t="s">
        <v>404</v>
      </c>
      <c r="E1083" s="114" t="s">
        <v>2856</v>
      </c>
      <c r="F1083" s="115" t="s">
        <v>2857</v>
      </c>
      <c r="G1083" s="115" t="s">
        <v>2966</v>
      </c>
      <c r="H1083" s="115" t="s">
        <v>2691</v>
      </c>
      <c r="I1083" s="114">
        <v>20.997990000000001</v>
      </c>
      <c r="J1083" s="114">
        <v>-101.28736000000001</v>
      </c>
      <c r="K1083" s="113"/>
      <c r="L1083" s="116" t="str">
        <f t="shared" si="53"/>
        <v>Ver en Google Maps</v>
      </c>
      <c r="M1083" s="116">
        <v>1</v>
      </c>
      <c r="N1083" s="139"/>
      <c r="O1083" s="118"/>
      <c r="P1083" s="118"/>
      <c r="Q1083" s="118"/>
      <c r="R1083" s="118"/>
      <c r="S1083" s="118"/>
      <c r="T1083" s="118"/>
      <c r="U1083" s="118"/>
      <c r="V1083" s="118"/>
      <c r="W1083" s="118"/>
      <c r="X1083" s="118"/>
      <c r="Y1083" s="118"/>
      <c r="Z1083" s="118"/>
      <c r="AA1083" s="118"/>
      <c r="AB1083" s="118"/>
      <c r="AC1083" s="119"/>
      <c r="AD1083" s="119"/>
      <c r="AE1083" s="118"/>
      <c r="AF1083" s="120"/>
    </row>
    <row r="1084" spans="1:32" x14ac:dyDescent="0.2">
      <c r="A1084" s="121">
        <v>859</v>
      </c>
      <c r="B1084" s="122" t="s">
        <v>1204</v>
      </c>
      <c r="C1084" s="123" t="s">
        <v>429</v>
      </c>
      <c r="D1084" s="123" t="s">
        <v>336</v>
      </c>
      <c r="E1084" s="123" t="s">
        <v>2858</v>
      </c>
      <c r="F1084" s="124" t="s">
        <v>2859</v>
      </c>
      <c r="G1084" s="124" t="s">
        <v>3006</v>
      </c>
      <c r="H1084" s="124" t="s">
        <v>2691</v>
      </c>
      <c r="I1084" s="123">
        <v>20.94624</v>
      </c>
      <c r="J1084" s="123">
        <v>-101.29156999999999</v>
      </c>
      <c r="K1084" s="122"/>
      <c r="L1084" s="125" t="str">
        <f t="shared" si="53"/>
        <v>Ver en Google Maps</v>
      </c>
      <c r="M1084" s="125">
        <v>2</v>
      </c>
      <c r="N1084" s="140"/>
      <c r="O1084" s="109"/>
      <c r="P1084" s="109"/>
      <c r="Q1084" s="109"/>
      <c r="R1084" s="109"/>
      <c r="S1084" s="109"/>
      <c r="T1084" s="109"/>
      <c r="U1084" s="109"/>
      <c r="V1084" s="109"/>
      <c r="W1084" s="109"/>
      <c r="X1084" s="109"/>
      <c r="Y1084" s="109"/>
      <c r="Z1084" s="109"/>
      <c r="AA1084" s="109"/>
      <c r="AB1084" s="109"/>
      <c r="AC1084" s="110"/>
      <c r="AD1084" s="110"/>
      <c r="AE1084" s="109"/>
      <c r="AF1084" s="111"/>
    </row>
    <row r="1085" spans="1:32" x14ac:dyDescent="0.2">
      <c r="A1085" s="112">
        <v>860</v>
      </c>
      <c r="B1085" s="113" t="s">
        <v>1204</v>
      </c>
      <c r="C1085" s="114" t="s">
        <v>14</v>
      </c>
      <c r="D1085" s="114" t="s">
        <v>404</v>
      </c>
      <c r="E1085" s="114" t="s">
        <v>2860</v>
      </c>
      <c r="F1085" s="115" t="s">
        <v>2861</v>
      </c>
      <c r="G1085" s="115" t="s">
        <v>2974</v>
      </c>
      <c r="H1085" s="115" t="s">
        <v>2691</v>
      </c>
      <c r="I1085" s="114">
        <v>20.987966</v>
      </c>
      <c r="J1085" s="114">
        <v>-101.28432599999999</v>
      </c>
      <c r="K1085" s="113" t="s">
        <v>139</v>
      </c>
      <c r="L1085" s="116" t="str">
        <f t="shared" si="53"/>
        <v>Ver en Google Maps</v>
      </c>
      <c r="M1085" s="116">
        <v>1</v>
      </c>
      <c r="N1085" s="137">
        <v>45961</v>
      </c>
      <c r="O1085" s="118">
        <f>DAY('BD2'!$N1085)</f>
        <v>31</v>
      </c>
      <c r="P1085" s="118">
        <f>MONTH('BD2'!$N1085)</f>
        <v>10</v>
      </c>
      <c r="Q1085" s="118">
        <f>YEAR('BD2'!$N1085)</f>
        <v>2025</v>
      </c>
      <c r="R1085" s="118">
        <v>2</v>
      </c>
      <c r="S1085" s="118" t="s">
        <v>138</v>
      </c>
      <c r="T1085" s="118" t="s">
        <v>138</v>
      </c>
      <c r="U1085" s="118" t="s">
        <v>138</v>
      </c>
      <c r="V1085" s="118" t="s">
        <v>138</v>
      </c>
      <c r="W1085" s="118" t="s">
        <v>138</v>
      </c>
      <c r="X1085" s="118" t="s">
        <v>138</v>
      </c>
      <c r="Y1085" s="118" t="s">
        <v>138</v>
      </c>
      <c r="Z1085" s="118" t="str">
        <f>IF('BD2'!$AA1085 &lt; 14, "no", "si")</f>
        <v>no</v>
      </c>
      <c r="AA1085" s="118">
        <v>10.199999999999999</v>
      </c>
      <c r="AB1085" s="118">
        <v>15.5</v>
      </c>
      <c r="AC1085" s="119" t="s">
        <v>3126</v>
      </c>
      <c r="AD1085" s="119" t="s">
        <v>2436</v>
      </c>
      <c r="AE1085" s="118">
        <f t="shared" si="51"/>
        <v>7</v>
      </c>
      <c r="AF1085" s="120" t="str">
        <f t="shared" si="52"/>
        <v>Funcional con observaciones</v>
      </c>
    </row>
    <row r="1086" spans="1:32" x14ac:dyDescent="0.2">
      <c r="A1086" s="121">
        <v>861</v>
      </c>
      <c r="B1086" s="122" t="s">
        <v>1204</v>
      </c>
      <c r="C1086" s="123" t="s">
        <v>18</v>
      </c>
      <c r="D1086" s="123" t="s">
        <v>404</v>
      </c>
      <c r="E1086" s="123" t="s">
        <v>2862</v>
      </c>
      <c r="F1086" s="124" t="s">
        <v>2863</v>
      </c>
      <c r="G1086" s="124" t="s">
        <v>1105</v>
      </c>
      <c r="H1086" s="124" t="s">
        <v>2691</v>
      </c>
      <c r="I1086" s="123">
        <v>21.015574000000001</v>
      </c>
      <c r="J1086" s="123">
        <v>-101.25327299999999</v>
      </c>
      <c r="K1086" s="122" t="s">
        <v>139</v>
      </c>
      <c r="L1086" s="125" t="str">
        <f t="shared" si="53"/>
        <v>Ver en Google Maps</v>
      </c>
      <c r="M1086" s="125">
        <v>1</v>
      </c>
      <c r="N1086" s="138">
        <v>45961</v>
      </c>
      <c r="O1086" s="109">
        <f>DAY('BD2'!$N1086)</f>
        <v>31</v>
      </c>
      <c r="P1086" s="109">
        <f>MONTH('BD2'!$N1086)</f>
        <v>10</v>
      </c>
      <c r="Q1086" s="109">
        <f>YEAR('BD2'!$N1086)</f>
        <v>2025</v>
      </c>
      <c r="R1086" s="109">
        <v>2</v>
      </c>
      <c r="S1086" s="109" t="s">
        <v>138</v>
      </c>
      <c r="T1086" s="109" t="s">
        <v>138</v>
      </c>
      <c r="U1086" s="109" t="s">
        <v>138</v>
      </c>
      <c r="V1086" s="109" t="s">
        <v>138</v>
      </c>
      <c r="W1086" s="109" t="s">
        <v>138</v>
      </c>
      <c r="X1086" s="109" t="s">
        <v>138</v>
      </c>
      <c r="Y1086" s="109" t="s">
        <v>138</v>
      </c>
      <c r="Z1086" s="109" t="str">
        <f>IF('BD2'!$AA1086 &lt; 14, "no", "si")</f>
        <v>si</v>
      </c>
      <c r="AA1086" s="109">
        <v>102</v>
      </c>
      <c r="AB1086" s="109">
        <v>81.599999999999994</v>
      </c>
      <c r="AC1086" s="110" t="s">
        <v>967</v>
      </c>
      <c r="AD1086" s="110" t="s">
        <v>2436</v>
      </c>
      <c r="AE1086" s="109">
        <f t="shared" si="51"/>
        <v>8</v>
      </c>
      <c r="AF1086" s="111" t="str">
        <f t="shared" si="52"/>
        <v>Estable</v>
      </c>
    </row>
    <row r="1087" spans="1:32" x14ac:dyDescent="0.2">
      <c r="A1087" s="112">
        <v>865</v>
      </c>
      <c r="B1087" s="113" t="s">
        <v>1204</v>
      </c>
      <c r="C1087" s="114" t="s">
        <v>14</v>
      </c>
      <c r="D1087" s="114" t="s">
        <v>735</v>
      </c>
      <c r="E1087" s="114" t="s">
        <v>2864</v>
      </c>
      <c r="F1087" s="115" t="s">
        <v>2865</v>
      </c>
      <c r="G1087" s="115" t="s">
        <v>2966</v>
      </c>
      <c r="H1087" s="115" t="s">
        <v>2691</v>
      </c>
      <c r="I1087" s="114">
        <v>21.004021000000002</v>
      </c>
      <c r="J1087" s="114">
        <v>-101.285721</v>
      </c>
      <c r="K1087" s="113" t="s">
        <v>139</v>
      </c>
      <c r="L1087" s="116" t="str">
        <f t="shared" si="53"/>
        <v>Ver en Google Maps</v>
      </c>
      <c r="M1087" s="116">
        <v>2</v>
      </c>
      <c r="N1087" s="137">
        <v>45961</v>
      </c>
      <c r="O1087" s="118">
        <f>DAY('BD2'!$N1087)</f>
        <v>31</v>
      </c>
      <c r="P1087" s="118">
        <f>MONTH('BD2'!$N1087)</f>
        <v>10</v>
      </c>
      <c r="Q1087" s="118">
        <f>YEAR('BD2'!$N1087)</f>
        <v>2025</v>
      </c>
      <c r="R1087" s="118">
        <v>2</v>
      </c>
      <c r="S1087" s="118" t="s">
        <v>138</v>
      </c>
      <c r="T1087" s="118" t="s">
        <v>138</v>
      </c>
      <c r="U1087" s="118" t="s">
        <v>138</v>
      </c>
      <c r="V1087" s="118" t="s">
        <v>138</v>
      </c>
      <c r="W1087" s="118" t="s">
        <v>138</v>
      </c>
      <c r="X1087" s="118" t="s">
        <v>138</v>
      </c>
      <c r="Y1087" s="118" t="s">
        <v>138</v>
      </c>
      <c r="Z1087" s="118" t="str">
        <f>IF('BD2'!$AA1087 &lt; 14, "no", "si")</f>
        <v>si</v>
      </c>
      <c r="AA1087" s="118">
        <v>56.4</v>
      </c>
      <c r="AB1087" s="118">
        <v>38.4</v>
      </c>
      <c r="AC1087" s="119" t="s">
        <v>967</v>
      </c>
      <c r="AD1087" s="119" t="s">
        <v>2436</v>
      </c>
      <c r="AE1087" s="118">
        <f t="shared" si="51"/>
        <v>8</v>
      </c>
      <c r="AF1087" s="120" t="str">
        <f t="shared" si="52"/>
        <v>Estable</v>
      </c>
    </row>
    <row r="1088" spans="1:32" x14ac:dyDescent="0.2">
      <c r="A1088" s="121">
        <v>877</v>
      </c>
      <c r="B1088" s="122" t="s">
        <v>1204</v>
      </c>
      <c r="C1088" s="123" t="s">
        <v>14</v>
      </c>
      <c r="D1088" s="123" t="s">
        <v>404</v>
      </c>
      <c r="E1088" s="123" t="s">
        <v>2866</v>
      </c>
      <c r="F1088" s="124" t="s">
        <v>2867</v>
      </c>
      <c r="G1088" s="124" t="s">
        <v>3007</v>
      </c>
      <c r="H1088" s="124" t="s">
        <v>2691</v>
      </c>
      <c r="I1088" s="123">
        <v>21.012986999999999</v>
      </c>
      <c r="J1088" s="123">
        <v>-101.26099499999999</v>
      </c>
      <c r="K1088" s="122"/>
      <c r="L1088" s="125" t="str">
        <f t="shared" si="53"/>
        <v>Ver en Google Maps</v>
      </c>
      <c r="M1088" s="125">
        <v>1</v>
      </c>
      <c r="N1088" s="140"/>
      <c r="O1088" s="109"/>
      <c r="P1088" s="109"/>
      <c r="Q1088" s="109"/>
      <c r="R1088" s="109"/>
      <c r="S1088" s="109"/>
      <c r="T1088" s="109"/>
      <c r="U1088" s="109"/>
      <c r="V1088" s="109"/>
      <c r="W1088" s="109"/>
      <c r="X1088" s="109"/>
      <c r="Y1088" s="109"/>
      <c r="Z1088" s="109"/>
      <c r="AA1088" s="109"/>
      <c r="AB1088" s="109"/>
      <c r="AC1088" s="110"/>
      <c r="AD1088" s="110"/>
      <c r="AE1088" s="109"/>
      <c r="AF1088" s="111"/>
    </row>
    <row r="1089" spans="1:32" x14ac:dyDescent="0.2">
      <c r="A1089" s="112">
        <v>878</v>
      </c>
      <c r="B1089" s="113" t="s">
        <v>1204</v>
      </c>
      <c r="C1089" s="114" t="s">
        <v>14</v>
      </c>
      <c r="D1089" s="114" t="s">
        <v>404</v>
      </c>
      <c r="E1089" s="114" t="s">
        <v>2868</v>
      </c>
      <c r="F1089" s="115" t="s">
        <v>2869</v>
      </c>
      <c r="G1089" s="115" t="s">
        <v>3008</v>
      </c>
      <c r="H1089" s="115" t="s">
        <v>2691</v>
      </c>
      <c r="I1089" s="114">
        <v>20.987864999999999</v>
      </c>
      <c r="J1089" s="114">
        <v>-101.28378600000001</v>
      </c>
      <c r="K1089" s="113" t="s">
        <v>139</v>
      </c>
      <c r="L1089" s="116" t="str">
        <f t="shared" si="53"/>
        <v>Ver en Google Maps</v>
      </c>
      <c r="M1089" s="116">
        <v>1</v>
      </c>
      <c r="N1089" s="137">
        <v>45961</v>
      </c>
      <c r="O1089" s="118">
        <f>DAY('BD2'!$N1089)</f>
        <v>31</v>
      </c>
      <c r="P1089" s="118">
        <f>MONTH('BD2'!$N1089)</f>
        <v>10</v>
      </c>
      <c r="Q1089" s="118">
        <f>YEAR('BD2'!$N1089)</f>
        <v>2025</v>
      </c>
      <c r="R1089" s="118">
        <v>2</v>
      </c>
      <c r="S1089" s="118" t="s">
        <v>138</v>
      </c>
      <c r="T1089" s="118" t="s">
        <v>138</v>
      </c>
      <c r="U1089" s="118" t="s">
        <v>138</v>
      </c>
      <c r="V1089" s="118" t="s">
        <v>138</v>
      </c>
      <c r="W1089" s="118" t="s">
        <v>138</v>
      </c>
      <c r="X1089" s="118" t="s">
        <v>138</v>
      </c>
      <c r="Y1089" s="118" t="s">
        <v>138</v>
      </c>
      <c r="Z1089" s="118" t="str">
        <f>IF('BD2'!$AA1089 &lt; 14, "no", "si")</f>
        <v>si</v>
      </c>
      <c r="AA1089" s="118">
        <v>87.5</v>
      </c>
      <c r="AB1089" s="118">
        <v>82.9</v>
      </c>
      <c r="AC1089" s="119" t="s">
        <v>967</v>
      </c>
      <c r="AD1089" s="119" t="s">
        <v>2436</v>
      </c>
      <c r="AE1089" s="118">
        <f t="shared" si="51"/>
        <v>8</v>
      </c>
      <c r="AF1089" s="120" t="str">
        <f t="shared" si="52"/>
        <v>Estable</v>
      </c>
    </row>
    <row r="1090" spans="1:32" x14ac:dyDescent="0.2">
      <c r="A1090" s="121">
        <v>879</v>
      </c>
      <c r="B1090" s="122" t="s">
        <v>1204</v>
      </c>
      <c r="C1090" s="123" t="s">
        <v>14</v>
      </c>
      <c r="D1090" s="123" t="s">
        <v>404</v>
      </c>
      <c r="E1090" s="123" t="s">
        <v>2870</v>
      </c>
      <c r="F1090" s="124" t="s">
        <v>2871</v>
      </c>
      <c r="G1090" s="124" t="s">
        <v>2966</v>
      </c>
      <c r="H1090" s="124" t="s">
        <v>2691</v>
      </c>
      <c r="I1090" s="123">
        <v>21.0122</v>
      </c>
      <c r="J1090" s="123">
        <v>-101.27500000000001</v>
      </c>
      <c r="K1090" s="122"/>
      <c r="L1090" s="125" t="str">
        <f t="shared" si="53"/>
        <v>Ver en Google Maps</v>
      </c>
      <c r="M1090" s="125">
        <v>2</v>
      </c>
      <c r="N1090" s="140"/>
      <c r="O1090" s="109"/>
      <c r="P1090" s="109"/>
      <c r="Q1090" s="109"/>
      <c r="R1090" s="109"/>
      <c r="S1090" s="109"/>
      <c r="T1090" s="109"/>
      <c r="U1090" s="109"/>
      <c r="V1090" s="109"/>
      <c r="W1090" s="109"/>
      <c r="X1090" s="109"/>
      <c r="Y1090" s="109"/>
      <c r="Z1090" s="109"/>
      <c r="AA1090" s="109"/>
      <c r="AB1090" s="109"/>
      <c r="AC1090" s="110"/>
      <c r="AD1090" s="110"/>
      <c r="AE1090" s="109"/>
      <c r="AF1090" s="111"/>
    </row>
    <row r="1091" spans="1:32" x14ac:dyDescent="0.2">
      <c r="A1091" s="112">
        <v>893</v>
      </c>
      <c r="B1091" s="113" t="s">
        <v>1204</v>
      </c>
      <c r="C1091" s="114" t="s">
        <v>429</v>
      </c>
      <c r="D1091" s="114" t="s">
        <v>15</v>
      </c>
      <c r="E1091" s="114" t="s">
        <v>2872</v>
      </c>
      <c r="F1091" s="115" t="s">
        <v>2873</v>
      </c>
      <c r="G1091" s="115" t="s">
        <v>3001</v>
      </c>
      <c r="H1091" s="115" t="s">
        <v>2691</v>
      </c>
      <c r="I1091" s="114">
        <v>21.005870999999999</v>
      </c>
      <c r="J1091" s="114">
        <v>-101.24755999999999</v>
      </c>
      <c r="K1091" s="113"/>
      <c r="L1091" s="116" t="str">
        <f t="shared" si="53"/>
        <v>Ver en Google Maps</v>
      </c>
      <c r="M1091" s="116">
        <v>1</v>
      </c>
      <c r="N1091" s="139"/>
      <c r="O1091" s="118"/>
      <c r="P1091" s="118"/>
      <c r="Q1091" s="118"/>
      <c r="R1091" s="118"/>
      <c r="S1091" s="118"/>
      <c r="T1091" s="118"/>
      <c r="U1091" s="118"/>
      <c r="V1091" s="118"/>
      <c r="W1091" s="118"/>
      <c r="X1091" s="118"/>
      <c r="Y1091" s="118"/>
      <c r="Z1091" s="118"/>
      <c r="AA1091" s="118"/>
      <c r="AB1091" s="118"/>
      <c r="AC1091" s="119"/>
      <c r="AD1091" s="119"/>
      <c r="AE1091" s="118"/>
      <c r="AF1091" s="120"/>
    </row>
    <row r="1092" spans="1:32" x14ac:dyDescent="0.2">
      <c r="A1092" s="121">
        <v>896</v>
      </c>
      <c r="B1092" s="122" t="s">
        <v>1204</v>
      </c>
      <c r="C1092" s="123" t="s">
        <v>14</v>
      </c>
      <c r="D1092" s="123" t="s">
        <v>404</v>
      </c>
      <c r="E1092" s="123" t="s">
        <v>2874</v>
      </c>
      <c r="F1092" s="124" t="s">
        <v>2875</v>
      </c>
      <c r="G1092" s="124" t="s">
        <v>2966</v>
      </c>
      <c r="H1092" s="124" t="s">
        <v>2691</v>
      </c>
      <c r="I1092" s="123">
        <v>20.995384999999999</v>
      </c>
      <c r="J1092" s="123">
        <v>-101.290575</v>
      </c>
      <c r="K1092" s="122" t="s">
        <v>139</v>
      </c>
      <c r="L1092" s="125" t="str">
        <f t="shared" si="53"/>
        <v>Ver en Google Maps</v>
      </c>
      <c r="M1092" s="125">
        <v>1</v>
      </c>
      <c r="N1092" s="138">
        <v>45961</v>
      </c>
      <c r="O1092" s="109">
        <f>DAY('BD2'!$N1092)</f>
        <v>31</v>
      </c>
      <c r="P1092" s="109">
        <f>MONTH('BD2'!$N1092)</f>
        <v>10</v>
      </c>
      <c r="Q1092" s="109">
        <f>YEAR('BD2'!$N1092)</f>
        <v>2025</v>
      </c>
      <c r="R1092" s="109">
        <v>2</v>
      </c>
      <c r="S1092" s="109" t="s">
        <v>138</v>
      </c>
      <c r="T1092" s="109" t="s">
        <v>138</v>
      </c>
      <c r="U1092" s="109" t="s">
        <v>138</v>
      </c>
      <c r="V1092" s="109" t="s">
        <v>138</v>
      </c>
      <c r="W1092" s="109" t="s">
        <v>138</v>
      </c>
      <c r="X1092" s="109" t="s">
        <v>138</v>
      </c>
      <c r="Y1092" s="109" t="s">
        <v>138</v>
      </c>
      <c r="Z1092" s="109" t="str">
        <f>IF('BD2'!$AA1092 &lt; 14, "no", "si")</f>
        <v>si</v>
      </c>
      <c r="AA1092" s="109">
        <v>31.9</v>
      </c>
      <c r="AB1092" s="109">
        <v>17</v>
      </c>
      <c r="AC1092" s="110" t="s">
        <v>967</v>
      </c>
      <c r="AD1092" s="110" t="s">
        <v>2436</v>
      </c>
      <c r="AE1092" s="109">
        <f t="shared" si="51"/>
        <v>8</v>
      </c>
      <c r="AF1092" s="111" t="str">
        <f t="shared" ref="AF1092:AF1139" si="54">IF(AE1092=8,"Estable",(IF(AE1092=7,"Funcional con observaciones", (IF(AE1092=6,"Funcional con observaciones",(IF(AE1092=5,"Rendimiento bajo",(IF(AE1092=4,"Parcialmente funcional",(IF(AE1092=3,"Parcialmente funcional",(IF(AE1092=2,"Inoperativo",(IF(AE1092=1,"Inoperativo","Crítico")))))))))))))))</f>
        <v>Estable</v>
      </c>
    </row>
    <row r="1093" spans="1:32" x14ac:dyDescent="0.2">
      <c r="A1093" s="112">
        <v>899</v>
      </c>
      <c r="B1093" s="113" t="s">
        <v>1204</v>
      </c>
      <c r="C1093" s="114" t="s">
        <v>14</v>
      </c>
      <c r="D1093" s="114" t="s">
        <v>404</v>
      </c>
      <c r="E1093" s="114" t="s">
        <v>2876</v>
      </c>
      <c r="F1093" s="115" t="s">
        <v>2877</v>
      </c>
      <c r="G1093" s="115" t="s">
        <v>2968</v>
      </c>
      <c r="H1093" s="115" t="s">
        <v>2691</v>
      </c>
      <c r="I1093" s="114">
        <v>21.013662</v>
      </c>
      <c r="J1093" s="114">
        <v>-101.271931</v>
      </c>
      <c r="K1093" s="113"/>
      <c r="L1093" s="116" t="str">
        <f t="shared" si="53"/>
        <v>Ver en Google Maps</v>
      </c>
      <c r="M1093" s="116">
        <v>1</v>
      </c>
      <c r="N1093" s="139"/>
      <c r="O1093" s="118"/>
      <c r="P1093" s="118"/>
      <c r="Q1093" s="118"/>
      <c r="R1093" s="118"/>
      <c r="S1093" s="118"/>
      <c r="T1093" s="118"/>
      <c r="U1093" s="118"/>
      <c r="V1093" s="118"/>
      <c r="W1093" s="118"/>
      <c r="X1093" s="118"/>
      <c r="Y1093" s="118"/>
      <c r="Z1093" s="118"/>
      <c r="AA1093" s="118"/>
      <c r="AB1093" s="118"/>
      <c r="AC1093" s="119"/>
      <c r="AD1093" s="119"/>
      <c r="AE1093" s="118"/>
      <c r="AF1093" s="120"/>
    </row>
    <row r="1094" spans="1:32" x14ac:dyDescent="0.2">
      <c r="A1094" s="121">
        <v>901</v>
      </c>
      <c r="B1094" s="122" t="s">
        <v>1204</v>
      </c>
      <c r="C1094" s="123" t="s">
        <v>14</v>
      </c>
      <c r="D1094" s="123" t="s">
        <v>404</v>
      </c>
      <c r="E1094" s="123" t="s">
        <v>2878</v>
      </c>
      <c r="F1094" s="124" t="s">
        <v>2879</v>
      </c>
      <c r="G1094" s="124" t="s">
        <v>2966</v>
      </c>
      <c r="H1094" s="124" t="s">
        <v>2691</v>
      </c>
      <c r="I1094" s="123">
        <v>20.985609</v>
      </c>
      <c r="J1094" s="123">
        <v>-101.285455</v>
      </c>
      <c r="K1094" s="122" t="s">
        <v>3057</v>
      </c>
      <c r="L1094" s="125" t="str">
        <f t="shared" si="53"/>
        <v>Ver en Google Maps</v>
      </c>
      <c r="M1094" s="125">
        <v>1</v>
      </c>
      <c r="N1094" s="140"/>
      <c r="O1094" s="109">
        <f>DAY('BD2'!$N1094)</f>
        <v>0</v>
      </c>
      <c r="P1094" s="109">
        <f>MONTH('BD2'!$N1094)</f>
        <v>1</v>
      </c>
      <c r="Q1094" s="109">
        <f>YEAR('BD2'!$N1094)</f>
        <v>1900</v>
      </c>
      <c r="R1094" s="109"/>
      <c r="S1094" s="109"/>
      <c r="T1094" s="109"/>
      <c r="U1094" s="109"/>
      <c r="V1094" s="109"/>
      <c r="W1094" s="109"/>
      <c r="X1094" s="109"/>
      <c r="Y1094" s="109"/>
      <c r="Z1094" s="109" t="str">
        <f>IF('BD2'!$AA1094 &lt; 14, "no", "si")</f>
        <v>no</v>
      </c>
      <c r="AA1094" s="109"/>
      <c r="AB1094" s="109"/>
      <c r="AC1094" s="110"/>
      <c r="AD1094" s="110"/>
      <c r="AE1094" s="109">
        <f t="shared" si="51"/>
        <v>0</v>
      </c>
      <c r="AF1094" s="111" t="str">
        <f t="shared" si="54"/>
        <v>Crítico</v>
      </c>
    </row>
    <row r="1095" spans="1:32" x14ac:dyDescent="0.2">
      <c r="A1095" s="112">
        <v>907</v>
      </c>
      <c r="B1095" s="113" t="s">
        <v>1204</v>
      </c>
      <c r="C1095" s="114" t="s">
        <v>14</v>
      </c>
      <c r="D1095" s="114" t="s">
        <v>404</v>
      </c>
      <c r="E1095" s="114" t="s">
        <v>2880</v>
      </c>
      <c r="F1095" s="115" t="s">
        <v>2869</v>
      </c>
      <c r="G1095" s="115" t="s">
        <v>3008</v>
      </c>
      <c r="H1095" s="115" t="s">
        <v>2691</v>
      </c>
      <c r="I1095" s="114">
        <v>20.987929000000001</v>
      </c>
      <c r="J1095" s="114">
        <v>-101.28359399999999</v>
      </c>
      <c r="K1095" s="113" t="s">
        <v>139</v>
      </c>
      <c r="L1095" s="116" t="str">
        <f t="shared" si="53"/>
        <v>Ver en Google Maps</v>
      </c>
      <c r="M1095" s="116">
        <v>1</v>
      </c>
      <c r="N1095" s="137">
        <v>45961</v>
      </c>
      <c r="O1095" s="118">
        <f>DAY('BD2'!$N1095)</f>
        <v>31</v>
      </c>
      <c r="P1095" s="118">
        <f>MONTH('BD2'!$N1095)</f>
        <v>10</v>
      </c>
      <c r="Q1095" s="118">
        <f>YEAR('BD2'!$N1095)</f>
        <v>2025</v>
      </c>
      <c r="R1095" s="118">
        <v>2</v>
      </c>
      <c r="S1095" s="118" t="s">
        <v>138</v>
      </c>
      <c r="T1095" s="118" t="s">
        <v>138</v>
      </c>
      <c r="U1095" s="118" t="s">
        <v>138</v>
      </c>
      <c r="V1095" s="118" t="s">
        <v>138</v>
      </c>
      <c r="W1095" s="118" t="s">
        <v>138</v>
      </c>
      <c r="X1095" s="118" t="s">
        <v>138</v>
      </c>
      <c r="Y1095" s="118" t="s">
        <v>138</v>
      </c>
      <c r="Z1095" s="118" t="str">
        <f>IF('BD2'!$AA1095 &lt; 14, "no", "si")</f>
        <v>si</v>
      </c>
      <c r="AA1095" s="118">
        <v>118</v>
      </c>
      <c r="AB1095" s="118">
        <v>125</v>
      </c>
      <c r="AC1095" s="119" t="s">
        <v>967</v>
      </c>
      <c r="AD1095" s="119" t="s">
        <v>2436</v>
      </c>
      <c r="AE1095" s="118">
        <f t="shared" si="51"/>
        <v>8</v>
      </c>
      <c r="AF1095" s="120" t="str">
        <f t="shared" si="54"/>
        <v>Estable</v>
      </c>
    </row>
    <row r="1096" spans="1:32" x14ac:dyDescent="0.2">
      <c r="A1096" s="121">
        <v>908</v>
      </c>
      <c r="B1096" s="122" t="s">
        <v>1204</v>
      </c>
      <c r="C1096" s="123" t="s">
        <v>14</v>
      </c>
      <c r="D1096" s="123" t="s">
        <v>404</v>
      </c>
      <c r="E1096" s="123" t="s">
        <v>2881</v>
      </c>
      <c r="F1096" s="124" t="s">
        <v>2882</v>
      </c>
      <c r="G1096" s="124" t="s">
        <v>2650</v>
      </c>
      <c r="H1096" s="124" t="s">
        <v>2691</v>
      </c>
      <c r="I1096" s="123">
        <v>21.028261000000001</v>
      </c>
      <c r="J1096" s="123">
        <v>-101.261703</v>
      </c>
      <c r="K1096" s="122"/>
      <c r="L1096" s="125" t="str">
        <f t="shared" si="53"/>
        <v>Ver en Google Maps</v>
      </c>
      <c r="M1096" s="125">
        <v>1</v>
      </c>
      <c r="N1096" s="140"/>
      <c r="O1096" s="109"/>
      <c r="P1096" s="109"/>
      <c r="Q1096" s="109"/>
      <c r="R1096" s="109"/>
      <c r="S1096" s="109"/>
      <c r="T1096" s="109"/>
      <c r="U1096" s="109"/>
      <c r="V1096" s="109"/>
      <c r="W1096" s="109"/>
      <c r="X1096" s="109"/>
      <c r="Y1096" s="109"/>
      <c r="Z1096" s="109"/>
      <c r="AA1096" s="109"/>
      <c r="AB1096" s="109"/>
      <c r="AC1096" s="110"/>
      <c r="AD1096" s="110"/>
      <c r="AE1096" s="109"/>
      <c r="AF1096" s="111"/>
    </row>
    <row r="1097" spans="1:32" x14ac:dyDescent="0.2">
      <c r="A1097" s="112">
        <v>910</v>
      </c>
      <c r="B1097" s="113" t="s">
        <v>1204</v>
      </c>
      <c r="C1097" s="114" t="s">
        <v>14</v>
      </c>
      <c r="D1097" s="114" t="s">
        <v>404</v>
      </c>
      <c r="E1097" s="114" t="s">
        <v>2883</v>
      </c>
      <c r="F1097" s="115" t="s">
        <v>2884</v>
      </c>
      <c r="G1097" s="115" t="s">
        <v>2650</v>
      </c>
      <c r="H1097" s="115" t="s">
        <v>2691</v>
      </c>
      <c r="I1097" s="114">
        <v>21.027868999999999</v>
      </c>
      <c r="J1097" s="114">
        <v>-101.260209</v>
      </c>
      <c r="K1097" s="113"/>
      <c r="L1097" s="116" t="str">
        <f t="shared" si="53"/>
        <v>Ver en Google Maps</v>
      </c>
      <c r="M1097" s="116">
        <v>1</v>
      </c>
      <c r="N1097" s="139"/>
      <c r="O1097" s="118"/>
      <c r="P1097" s="118"/>
      <c r="Q1097" s="118"/>
      <c r="R1097" s="118"/>
      <c r="S1097" s="118"/>
      <c r="T1097" s="118"/>
      <c r="U1097" s="118"/>
      <c r="V1097" s="118"/>
      <c r="W1097" s="118"/>
      <c r="X1097" s="118"/>
      <c r="Y1097" s="118"/>
      <c r="Z1097" s="118"/>
      <c r="AA1097" s="118"/>
      <c r="AB1097" s="118"/>
      <c r="AC1097" s="119"/>
      <c r="AD1097" s="119"/>
      <c r="AE1097" s="118"/>
      <c r="AF1097" s="120"/>
    </row>
    <row r="1098" spans="1:32" x14ac:dyDescent="0.2">
      <c r="A1098" s="121">
        <v>913</v>
      </c>
      <c r="B1098" s="122" t="s">
        <v>1204</v>
      </c>
      <c r="C1098" s="123" t="s">
        <v>14</v>
      </c>
      <c r="D1098" s="123" t="s">
        <v>404</v>
      </c>
      <c r="E1098" s="123" t="s">
        <v>2885</v>
      </c>
      <c r="F1098" s="124" t="s">
        <v>2886</v>
      </c>
      <c r="G1098" s="124" t="s">
        <v>2996</v>
      </c>
      <c r="H1098" s="124" t="s">
        <v>2691</v>
      </c>
      <c r="I1098" s="123">
        <v>21.012329999999999</v>
      </c>
      <c r="J1098" s="123">
        <v>-101.28182700000001</v>
      </c>
      <c r="K1098" s="122" t="s">
        <v>139</v>
      </c>
      <c r="L1098" s="125" t="str">
        <f t="shared" si="53"/>
        <v>Ver en Google Maps</v>
      </c>
      <c r="M1098" s="125">
        <v>1</v>
      </c>
      <c r="N1098" s="138">
        <v>45961</v>
      </c>
      <c r="O1098" s="109">
        <f>DAY('BD2'!$N1098)</f>
        <v>31</v>
      </c>
      <c r="P1098" s="109">
        <f>MONTH('BD2'!$N1098)</f>
        <v>10</v>
      </c>
      <c r="Q1098" s="109">
        <f>YEAR('BD2'!$N1098)</f>
        <v>2025</v>
      </c>
      <c r="R1098" s="109">
        <v>2</v>
      </c>
      <c r="S1098" s="109" t="s">
        <v>138</v>
      </c>
      <c r="T1098" s="109" t="s">
        <v>138</v>
      </c>
      <c r="U1098" s="109" t="s">
        <v>138</v>
      </c>
      <c r="V1098" s="109" t="s">
        <v>138</v>
      </c>
      <c r="W1098" s="109" t="s">
        <v>138</v>
      </c>
      <c r="X1098" s="109" t="s">
        <v>138</v>
      </c>
      <c r="Y1098" s="109" t="s">
        <v>138</v>
      </c>
      <c r="Z1098" s="109" t="str">
        <f>IF('BD2'!$AA1098 &lt; 14, "no", "si")</f>
        <v>si</v>
      </c>
      <c r="AA1098" s="109">
        <v>118</v>
      </c>
      <c r="AB1098" s="109">
        <v>48.3</v>
      </c>
      <c r="AC1098" s="110" t="s">
        <v>967</v>
      </c>
      <c r="AD1098" s="110" t="s">
        <v>2436</v>
      </c>
      <c r="AE1098" s="109">
        <f t="shared" ref="AE1098:AE1139" si="55">COUNTIF(S1098:Z1098, "si")</f>
        <v>8</v>
      </c>
      <c r="AF1098" s="111" t="str">
        <f t="shared" si="54"/>
        <v>Estable</v>
      </c>
    </row>
    <row r="1099" spans="1:32" x14ac:dyDescent="0.2">
      <c r="A1099" s="112">
        <v>915</v>
      </c>
      <c r="B1099" s="113" t="s">
        <v>1204</v>
      </c>
      <c r="C1099" s="114" t="s">
        <v>14</v>
      </c>
      <c r="D1099" s="114" t="s">
        <v>404</v>
      </c>
      <c r="E1099" s="114" t="s">
        <v>2887</v>
      </c>
      <c r="F1099" s="115" t="s">
        <v>2888</v>
      </c>
      <c r="G1099" s="115" t="s">
        <v>3009</v>
      </c>
      <c r="H1099" s="115" t="s">
        <v>2691</v>
      </c>
      <c r="I1099" s="114">
        <v>21.014192000000001</v>
      </c>
      <c r="J1099" s="114">
        <v>-101.246546</v>
      </c>
      <c r="K1099" s="113"/>
      <c r="L1099" s="116" t="str">
        <f t="shared" si="53"/>
        <v>Ver en Google Maps</v>
      </c>
      <c r="M1099" s="116">
        <v>1</v>
      </c>
      <c r="N1099" s="139"/>
      <c r="O1099" s="118"/>
      <c r="P1099" s="118"/>
      <c r="Q1099" s="118"/>
      <c r="R1099" s="118"/>
      <c r="S1099" s="118"/>
      <c r="T1099" s="118"/>
      <c r="U1099" s="118"/>
      <c r="V1099" s="118"/>
      <c r="W1099" s="118"/>
      <c r="X1099" s="118"/>
      <c r="Y1099" s="118"/>
      <c r="Z1099" s="118"/>
      <c r="AA1099" s="118"/>
      <c r="AB1099" s="118"/>
      <c r="AC1099" s="119"/>
      <c r="AD1099" s="119"/>
      <c r="AE1099" s="118"/>
      <c r="AF1099" s="120"/>
    </row>
    <row r="1100" spans="1:32" x14ac:dyDescent="0.2">
      <c r="A1100" s="121">
        <v>918</v>
      </c>
      <c r="B1100" s="122" t="s">
        <v>1204</v>
      </c>
      <c r="C1100" s="123" t="s">
        <v>14</v>
      </c>
      <c r="D1100" s="123" t="s">
        <v>404</v>
      </c>
      <c r="E1100" s="123" t="s">
        <v>2889</v>
      </c>
      <c r="F1100" s="124" t="s">
        <v>2817</v>
      </c>
      <c r="G1100" s="124" t="s">
        <v>2970</v>
      </c>
      <c r="H1100" s="124" t="s">
        <v>2691</v>
      </c>
      <c r="I1100" s="123">
        <v>21.011520000000001</v>
      </c>
      <c r="J1100" s="123">
        <v>-101.26165</v>
      </c>
      <c r="K1100" s="122"/>
      <c r="L1100" s="125" t="str">
        <f t="shared" si="53"/>
        <v>Ver en Google Maps</v>
      </c>
      <c r="M1100" s="125">
        <v>1</v>
      </c>
      <c r="N1100" s="140"/>
      <c r="O1100" s="109"/>
      <c r="P1100" s="109"/>
      <c r="Q1100" s="109"/>
      <c r="R1100" s="109"/>
      <c r="S1100" s="109"/>
      <c r="T1100" s="109"/>
      <c r="U1100" s="109"/>
      <c r="V1100" s="109"/>
      <c r="W1100" s="109"/>
      <c r="X1100" s="109"/>
      <c r="Y1100" s="109"/>
      <c r="Z1100" s="109"/>
      <c r="AA1100" s="109"/>
      <c r="AB1100" s="109"/>
      <c r="AC1100" s="110"/>
      <c r="AD1100" s="110"/>
      <c r="AE1100" s="109"/>
      <c r="AF1100" s="111"/>
    </row>
    <row r="1101" spans="1:32" x14ac:dyDescent="0.2">
      <c r="A1101" s="112">
        <v>919</v>
      </c>
      <c r="B1101" s="113" t="s">
        <v>1204</v>
      </c>
      <c r="C1101" s="114" t="s">
        <v>14</v>
      </c>
      <c r="D1101" s="114" t="s">
        <v>404</v>
      </c>
      <c r="E1101" s="114" t="s">
        <v>2890</v>
      </c>
      <c r="F1101" s="115" t="s">
        <v>2827</v>
      </c>
      <c r="G1101" s="115" t="s">
        <v>2966</v>
      </c>
      <c r="H1101" s="115" t="s">
        <v>2691</v>
      </c>
      <c r="I1101" s="114">
        <v>20.993950000000002</v>
      </c>
      <c r="J1101" s="114">
        <v>-101.28264</v>
      </c>
      <c r="K1101" s="113"/>
      <c r="L1101" s="116" t="str">
        <f t="shared" si="53"/>
        <v>Ver en Google Maps</v>
      </c>
      <c r="M1101" s="116">
        <v>1</v>
      </c>
      <c r="N1101" s="139"/>
      <c r="O1101" s="118"/>
      <c r="P1101" s="118"/>
      <c r="Q1101" s="118"/>
      <c r="R1101" s="118"/>
      <c r="S1101" s="118"/>
      <c r="T1101" s="118"/>
      <c r="U1101" s="118"/>
      <c r="V1101" s="118"/>
      <c r="W1101" s="118"/>
      <c r="X1101" s="118"/>
      <c r="Y1101" s="118"/>
      <c r="Z1101" s="118"/>
      <c r="AA1101" s="118"/>
      <c r="AB1101" s="118"/>
      <c r="AC1101" s="119"/>
      <c r="AD1101" s="119"/>
      <c r="AE1101" s="118"/>
      <c r="AF1101" s="120"/>
    </row>
    <row r="1102" spans="1:32" x14ac:dyDescent="0.2">
      <c r="A1102" s="121">
        <v>920</v>
      </c>
      <c r="B1102" s="122" t="s">
        <v>1204</v>
      </c>
      <c r="C1102" s="123" t="s">
        <v>14</v>
      </c>
      <c r="D1102" s="123" t="s">
        <v>404</v>
      </c>
      <c r="E1102" s="123" t="s">
        <v>2891</v>
      </c>
      <c r="F1102" s="124" t="s">
        <v>2892</v>
      </c>
      <c r="G1102" s="124" t="s">
        <v>1212</v>
      </c>
      <c r="H1102" s="124" t="s">
        <v>2691</v>
      </c>
      <c r="I1102" s="123">
        <v>21.015219999999999</v>
      </c>
      <c r="J1102" s="123">
        <v>-101.26647</v>
      </c>
      <c r="K1102" s="122"/>
      <c r="L1102" s="125" t="str">
        <f t="shared" si="53"/>
        <v>Ver en Google Maps</v>
      </c>
      <c r="M1102" s="125">
        <v>1</v>
      </c>
      <c r="N1102" s="140"/>
      <c r="O1102" s="109"/>
      <c r="P1102" s="109"/>
      <c r="Q1102" s="109"/>
      <c r="R1102" s="109"/>
      <c r="S1102" s="109"/>
      <c r="T1102" s="109"/>
      <c r="U1102" s="109"/>
      <c r="V1102" s="109"/>
      <c r="W1102" s="109"/>
      <c r="X1102" s="109"/>
      <c r="Y1102" s="109"/>
      <c r="Z1102" s="109"/>
      <c r="AA1102" s="109"/>
      <c r="AB1102" s="109"/>
      <c r="AC1102" s="110"/>
      <c r="AD1102" s="110"/>
      <c r="AE1102" s="109"/>
      <c r="AF1102" s="111"/>
    </row>
    <row r="1103" spans="1:32" x14ac:dyDescent="0.2">
      <c r="A1103" s="112">
        <v>922</v>
      </c>
      <c r="B1103" s="113" t="s">
        <v>1204</v>
      </c>
      <c r="C1103" s="114" t="s">
        <v>14</v>
      </c>
      <c r="D1103" s="114" t="s">
        <v>404</v>
      </c>
      <c r="E1103" s="114" t="s">
        <v>2893</v>
      </c>
      <c r="F1103" s="115" t="s">
        <v>2894</v>
      </c>
      <c r="G1103" s="115" t="s">
        <v>2979</v>
      </c>
      <c r="H1103" s="115" t="s">
        <v>2691</v>
      </c>
      <c r="I1103" s="114">
        <v>21.018682999999999</v>
      </c>
      <c r="J1103" s="114">
        <v>-101.273932</v>
      </c>
      <c r="K1103" s="113" t="s">
        <v>139</v>
      </c>
      <c r="L1103" s="116" t="str">
        <f t="shared" si="53"/>
        <v>Ver en Google Maps</v>
      </c>
      <c r="M1103" s="116">
        <v>1</v>
      </c>
      <c r="N1103" s="137">
        <v>45961</v>
      </c>
      <c r="O1103" s="118">
        <f>DAY('BD2'!$N1103)</f>
        <v>31</v>
      </c>
      <c r="P1103" s="118">
        <f>MONTH('BD2'!$N1103)</f>
        <v>10</v>
      </c>
      <c r="Q1103" s="118">
        <f>YEAR('BD2'!$N1103)</f>
        <v>2025</v>
      </c>
      <c r="R1103" s="118">
        <v>2</v>
      </c>
      <c r="S1103" s="118" t="s">
        <v>934</v>
      </c>
      <c r="T1103" s="118" t="s">
        <v>934</v>
      </c>
      <c r="U1103" s="118" t="s">
        <v>934</v>
      </c>
      <c r="V1103" s="118" t="s">
        <v>934</v>
      </c>
      <c r="W1103" s="118" t="s">
        <v>934</v>
      </c>
      <c r="X1103" s="118" t="s">
        <v>934</v>
      </c>
      <c r="Y1103" s="118" t="s">
        <v>934</v>
      </c>
      <c r="Z1103" s="118" t="str">
        <f>IF('BD2'!$AA1103 &lt; 14, "no", "si")</f>
        <v>no</v>
      </c>
      <c r="AA1103" s="118">
        <v>0</v>
      </c>
      <c r="AB1103" s="118">
        <v>0</v>
      </c>
      <c r="AC1103" s="119" t="s">
        <v>3123</v>
      </c>
      <c r="AD1103" s="119" t="s">
        <v>2436</v>
      </c>
      <c r="AE1103" s="118">
        <f t="shared" si="55"/>
        <v>0</v>
      </c>
      <c r="AF1103" s="120" t="str">
        <f t="shared" si="54"/>
        <v>Crítico</v>
      </c>
    </row>
    <row r="1104" spans="1:32" x14ac:dyDescent="0.2">
      <c r="A1104" s="121">
        <v>923</v>
      </c>
      <c r="B1104" s="122" t="s">
        <v>1204</v>
      </c>
      <c r="C1104" s="123" t="s">
        <v>14</v>
      </c>
      <c r="D1104" s="123" t="s">
        <v>404</v>
      </c>
      <c r="E1104" s="123" t="s">
        <v>2895</v>
      </c>
      <c r="F1104" s="124" t="s">
        <v>2896</v>
      </c>
      <c r="G1104" s="124" t="s">
        <v>2977</v>
      </c>
      <c r="H1104" s="124" t="s">
        <v>2691</v>
      </c>
      <c r="I1104" s="123">
        <v>21.011165999999999</v>
      </c>
      <c r="J1104" s="123">
        <v>-101.26293</v>
      </c>
      <c r="K1104" s="122" t="s">
        <v>139</v>
      </c>
      <c r="L1104" s="125" t="str">
        <f t="shared" si="53"/>
        <v>Ver en Google Maps</v>
      </c>
      <c r="M1104" s="125">
        <v>1</v>
      </c>
      <c r="N1104" s="138">
        <v>45961</v>
      </c>
      <c r="O1104" s="109">
        <f>DAY('BD2'!$N1104)</f>
        <v>31</v>
      </c>
      <c r="P1104" s="109">
        <f>MONTH('BD2'!$N1104)</f>
        <v>10</v>
      </c>
      <c r="Q1104" s="109">
        <f>YEAR('BD2'!$N1104)</f>
        <v>2025</v>
      </c>
      <c r="R1104" s="109">
        <v>2</v>
      </c>
      <c r="S1104" s="109" t="s">
        <v>138</v>
      </c>
      <c r="T1104" s="109" t="s">
        <v>138</v>
      </c>
      <c r="U1104" s="109" t="s">
        <v>138</v>
      </c>
      <c r="V1104" s="109" t="s">
        <v>138</v>
      </c>
      <c r="W1104" s="109" t="s">
        <v>138</v>
      </c>
      <c r="X1104" s="109" t="s">
        <v>138</v>
      </c>
      <c r="Y1104" s="109" t="s">
        <v>138</v>
      </c>
      <c r="Z1104" s="109" t="str">
        <f>IF('BD2'!$AA1104 &lt; 14, "no", "si")</f>
        <v>si</v>
      </c>
      <c r="AA1104" s="109">
        <v>83.4</v>
      </c>
      <c r="AB1104" s="109">
        <v>55</v>
      </c>
      <c r="AC1104" s="110" t="s">
        <v>967</v>
      </c>
      <c r="AD1104" s="110" t="s">
        <v>2436</v>
      </c>
      <c r="AE1104" s="109">
        <f t="shared" si="55"/>
        <v>8</v>
      </c>
      <c r="AF1104" s="111" t="str">
        <f t="shared" si="54"/>
        <v>Estable</v>
      </c>
    </row>
    <row r="1105" spans="1:32" x14ac:dyDescent="0.2">
      <c r="A1105" s="112">
        <v>924</v>
      </c>
      <c r="B1105" s="113" t="s">
        <v>1204</v>
      </c>
      <c r="C1105" s="114" t="s">
        <v>7</v>
      </c>
      <c r="D1105" s="114" t="s">
        <v>404</v>
      </c>
      <c r="E1105" s="114" t="s">
        <v>2897</v>
      </c>
      <c r="F1105" s="115" t="s">
        <v>2898</v>
      </c>
      <c r="G1105" s="115" t="s">
        <v>1231</v>
      </c>
      <c r="H1105" s="115" t="s">
        <v>2691</v>
      </c>
      <c r="I1105" s="114">
        <v>21.020088000000001</v>
      </c>
      <c r="J1105" s="114">
        <v>-101.26660200000001</v>
      </c>
      <c r="K1105" s="113" t="s">
        <v>139</v>
      </c>
      <c r="L1105" s="116" t="str">
        <f t="shared" si="53"/>
        <v>Ver en Google Maps</v>
      </c>
      <c r="M1105" s="116">
        <v>1</v>
      </c>
      <c r="N1105" s="137">
        <v>45961</v>
      </c>
      <c r="O1105" s="118">
        <f>DAY('BD2'!$N1105)</f>
        <v>31</v>
      </c>
      <c r="P1105" s="118">
        <f>MONTH('BD2'!$N1105)</f>
        <v>10</v>
      </c>
      <c r="Q1105" s="118">
        <f>YEAR('BD2'!$N1105)</f>
        <v>2025</v>
      </c>
      <c r="R1105" s="118">
        <v>2</v>
      </c>
      <c r="S1105" s="118" t="s">
        <v>138</v>
      </c>
      <c r="T1105" s="118" t="s">
        <v>138</v>
      </c>
      <c r="U1105" s="118" t="s">
        <v>138</v>
      </c>
      <c r="V1105" s="118" t="s">
        <v>138</v>
      </c>
      <c r="W1105" s="118" t="s">
        <v>138</v>
      </c>
      <c r="X1105" s="118" t="s">
        <v>138</v>
      </c>
      <c r="Y1105" s="118" t="s">
        <v>138</v>
      </c>
      <c r="Z1105" s="118" t="str">
        <f>IF('BD2'!$AA1105 &lt; 14, "no", "si")</f>
        <v>si</v>
      </c>
      <c r="AA1105" s="118">
        <v>121</v>
      </c>
      <c r="AB1105" s="118">
        <v>95.4</v>
      </c>
      <c r="AC1105" s="119" t="s">
        <v>967</v>
      </c>
      <c r="AD1105" s="119" t="s">
        <v>2436</v>
      </c>
      <c r="AE1105" s="118">
        <f t="shared" si="55"/>
        <v>8</v>
      </c>
      <c r="AF1105" s="120" t="str">
        <f t="shared" si="54"/>
        <v>Estable</v>
      </c>
    </row>
    <row r="1106" spans="1:32" x14ac:dyDescent="0.2">
      <c r="A1106" s="121">
        <v>925</v>
      </c>
      <c r="B1106" s="122" t="s">
        <v>1204</v>
      </c>
      <c r="C1106" s="123" t="s">
        <v>14</v>
      </c>
      <c r="D1106" s="123" t="s">
        <v>404</v>
      </c>
      <c r="E1106" s="123" t="s">
        <v>2899</v>
      </c>
      <c r="F1106" s="124" t="s">
        <v>2900</v>
      </c>
      <c r="G1106" s="124" t="s">
        <v>3008</v>
      </c>
      <c r="H1106" s="124" t="s">
        <v>2691</v>
      </c>
      <c r="I1106" s="123">
        <v>20.978100000000001</v>
      </c>
      <c r="J1106" s="123">
        <v>-101.2811</v>
      </c>
      <c r="K1106" s="122" t="s">
        <v>3057</v>
      </c>
      <c r="L1106" s="125" t="str">
        <f t="shared" ref="L1106:L1139" si="56">HYPERLINK("https://www.google.com/maps?q=" &amp; I1106 &amp; "," &amp; J1106, "Ver en Google Maps")</f>
        <v>Ver en Google Maps</v>
      </c>
      <c r="M1106" s="125">
        <v>1</v>
      </c>
      <c r="N1106" s="140"/>
      <c r="O1106" s="109">
        <f>DAY('BD2'!$N1106)</f>
        <v>0</v>
      </c>
      <c r="P1106" s="109">
        <f>MONTH('BD2'!$N1106)</f>
        <v>1</v>
      </c>
      <c r="Q1106" s="109">
        <f>YEAR('BD2'!$N1106)</f>
        <v>1900</v>
      </c>
      <c r="R1106" s="109"/>
      <c r="S1106" s="109"/>
      <c r="T1106" s="109"/>
      <c r="U1106" s="109"/>
      <c r="V1106" s="109"/>
      <c r="W1106" s="109"/>
      <c r="X1106" s="109"/>
      <c r="Y1106" s="109"/>
      <c r="Z1106" s="109" t="str">
        <f>IF('BD2'!$AA1106 &lt; 14, "no", "si")</f>
        <v>no</v>
      </c>
      <c r="AA1106" s="109"/>
      <c r="AB1106" s="109"/>
      <c r="AC1106" s="110"/>
      <c r="AD1106" s="110"/>
      <c r="AE1106" s="109">
        <f t="shared" si="55"/>
        <v>0</v>
      </c>
      <c r="AF1106" s="111" t="str">
        <f t="shared" si="54"/>
        <v>Crítico</v>
      </c>
    </row>
    <row r="1107" spans="1:32" x14ac:dyDescent="0.2">
      <c r="A1107" s="112">
        <v>926</v>
      </c>
      <c r="B1107" s="113" t="s">
        <v>1204</v>
      </c>
      <c r="C1107" s="114" t="s">
        <v>14</v>
      </c>
      <c r="D1107" s="114" t="s">
        <v>404</v>
      </c>
      <c r="E1107" s="114" t="s">
        <v>2901</v>
      </c>
      <c r="F1107" s="115" t="s">
        <v>2817</v>
      </c>
      <c r="G1107" s="115" t="s">
        <v>2970</v>
      </c>
      <c r="H1107" s="115" t="s">
        <v>2691</v>
      </c>
      <c r="I1107" s="114">
        <v>21.011520000000001</v>
      </c>
      <c r="J1107" s="114">
        <v>-101.26165</v>
      </c>
      <c r="K1107" s="113" t="s">
        <v>139</v>
      </c>
      <c r="L1107" s="116" t="str">
        <f t="shared" si="56"/>
        <v>Ver en Google Maps</v>
      </c>
      <c r="M1107" s="116">
        <v>1</v>
      </c>
      <c r="N1107" s="137">
        <v>45961</v>
      </c>
      <c r="O1107" s="118">
        <f>DAY('BD2'!$N1107)</f>
        <v>31</v>
      </c>
      <c r="P1107" s="118">
        <f>MONTH('BD2'!$N1107)</f>
        <v>10</v>
      </c>
      <c r="Q1107" s="118">
        <f>YEAR('BD2'!$N1107)</f>
        <v>2025</v>
      </c>
      <c r="R1107" s="118">
        <v>2</v>
      </c>
      <c r="S1107" s="118" t="s">
        <v>138</v>
      </c>
      <c r="T1107" s="118" t="s">
        <v>138</v>
      </c>
      <c r="U1107" s="118" t="s">
        <v>138</v>
      </c>
      <c r="V1107" s="118" t="s">
        <v>138</v>
      </c>
      <c r="W1107" s="118" t="s">
        <v>138</v>
      </c>
      <c r="X1107" s="118" t="s">
        <v>138</v>
      </c>
      <c r="Y1107" s="118" t="s">
        <v>138</v>
      </c>
      <c r="Z1107" s="118" t="str">
        <f>IF('BD2'!$AA1107 &lt; 14, "no", "si")</f>
        <v>si</v>
      </c>
      <c r="AA1107" s="118">
        <v>65.400000000000006</v>
      </c>
      <c r="AB1107" s="118">
        <v>25</v>
      </c>
      <c r="AC1107" s="119" t="s">
        <v>967</v>
      </c>
      <c r="AD1107" s="119" t="s">
        <v>2436</v>
      </c>
      <c r="AE1107" s="118">
        <f t="shared" si="55"/>
        <v>8</v>
      </c>
      <c r="AF1107" s="120" t="str">
        <f t="shared" si="54"/>
        <v>Estable</v>
      </c>
    </row>
    <row r="1108" spans="1:32" x14ac:dyDescent="0.2">
      <c r="A1108" s="121">
        <v>931</v>
      </c>
      <c r="B1108" s="122" t="s">
        <v>1204</v>
      </c>
      <c r="C1108" s="123" t="s">
        <v>429</v>
      </c>
      <c r="D1108" s="123" t="s">
        <v>336</v>
      </c>
      <c r="E1108" s="123" t="s">
        <v>2902</v>
      </c>
      <c r="F1108" s="124" t="s">
        <v>2903</v>
      </c>
      <c r="G1108" s="124" t="s">
        <v>2979</v>
      </c>
      <c r="H1108" s="124" t="s">
        <v>2691</v>
      </c>
      <c r="I1108" s="123">
        <v>21.015279</v>
      </c>
      <c r="J1108" s="123">
        <v>-101.272971</v>
      </c>
      <c r="K1108" s="122"/>
      <c r="L1108" s="125" t="str">
        <f t="shared" si="56"/>
        <v>Ver en Google Maps</v>
      </c>
      <c r="M1108" s="125">
        <v>2</v>
      </c>
      <c r="N1108" s="140"/>
      <c r="O1108" s="109"/>
      <c r="P1108" s="109"/>
      <c r="Q1108" s="109"/>
      <c r="R1108" s="109"/>
      <c r="S1108" s="109"/>
      <c r="T1108" s="109"/>
      <c r="U1108" s="109"/>
      <c r="V1108" s="109"/>
      <c r="W1108" s="109"/>
      <c r="X1108" s="109"/>
      <c r="Y1108" s="109"/>
      <c r="Z1108" s="109"/>
      <c r="AA1108" s="109"/>
      <c r="AB1108" s="109"/>
      <c r="AC1108" s="110"/>
      <c r="AD1108" s="110"/>
      <c r="AE1108" s="109"/>
      <c r="AF1108" s="111"/>
    </row>
    <row r="1109" spans="1:32" x14ac:dyDescent="0.2">
      <c r="A1109" s="112">
        <v>935</v>
      </c>
      <c r="B1109" s="113" t="s">
        <v>1204</v>
      </c>
      <c r="C1109" s="114" t="s">
        <v>429</v>
      </c>
      <c r="D1109" s="114" t="s">
        <v>336</v>
      </c>
      <c r="E1109" s="114" t="s">
        <v>2904</v>
      </c>
      <c r="F1109" s="115" t="s">
        <v>2905</v>
      </c>
      <c r="G1109" s="115" t="s">
        <v>3010</v>
      </c>
      <c r="H1109" s="115" t="s">
        <v>2691</v>
      </c>
      <c r="I1109" s="114">
        <v>21.005469999999999</v>
      </c>
      <c r="J1109" s="114">
        <v>-101.248394</v>
      </c>
      <c r="K1109" s="113"/>
      <c r="L1109" s="116" t="str">
        <f t="shared" si="56"/>
        <v>Ver en Google Maps</v>
      </c>
      <c r="M1109" s="116">
        <v>2</v>
      </c>
      <c r="N1109" s="139"/>
      <c r="O1109" s="118"/>
      <c r="P1109" s="118"/>
      <c r="Q1109" s="118"/>
      <c r="R1109" s="118"/>
      <c r="S1109" s="118"/>
      <c r="T1109" s="118"/>
      <c r="U1109" s="118"/>
      <c r="V1109" s="118"/>
      <c r="W1109" s="118"/>
      <c r="X1109" s="118"/>
      <c r="Y1109" s="118"/>
      <c r="Z1109" s="118"/>
      <c r="AA1109" s="118"/>
      <c r="AB1109" s="118"/>
      <c r="AC1109" s="119"/>
      <c r="AD1109" s="119"/>
      <c r="AE1109" s="118"/>
      <c r="AF1109" s="120"/>
    </row>
    <row r="1110" spans="1:32" x14ac:dyDescent="0.2">
      <c r="A1110" s="121">
        <v>936</v>
      </c>
      <c r="B1110" s="122" t="s">
        <v>1204</v>
      </c>
      <c r="C1110" s="123" t="s">
        <v>429</v>
      </c>
      <c r="D1110" s="123" t="s">
        <v>336</v>
      </c>
      <c r="E1110" s="123" t="s">
        <v>2906</v>
      </c>
      <c r="F1110" s="124" t="s">
        <v>2907</v>
      </c>
      <c r="G1110" s="124" t="s">
        <v>2973</v>
      </c>
      <c r="H1110" s="124" t="s">
        <v>2691</v>
      </c>
      <c r="I1110" s="123">
        <v>20.961960000000001</v>
      </c>
      <c r="J1110" s="123">
        <v>-101.2748</v>
      </c>
      <c r="K1110" s="122"/>
      <c r="L1110" s="125" t="str">
        <f t="shared" si="56"/>
        <v>Ver en Google Maps</v>
      </c>
      <c r="M1110" s="125">
        <v>2</v>
      </c>
      <c r="N1110" s="140"/>
      <c r="O1110" s="109"/>
      <c r="P1110" s="109"/>
      <c r="Q1110" s="109"/>
      <c r="R1110" s="109"/>
      <c r="S1110" s="109"/>
      <c r="T1110" s="109"/>
      <c r="U1110" s="109"/>
      <c r="V1110" s="109"/>
      <c r="W1110" s="109"/>
      <c r="X1110" s="109"/>
      <c r="Y1110" s="109"/>
      <c r="Z1110" s="109"/>
      <c r="AA1110" s="109"/>
      <c r="AB1110" s="109"/>
      <c r="AC1110" s="110"/>
      <c r="AD1110" s="110"/>
      <c r="AE1110" s="109"/>
      <c r="AF1110" s="111"/>
    </row>
    <row r="1111" spans="1:32" x14ac:dyDescent="0.2">
      <c r="A1111" s="112">
        <v>937</v>
      </c>
      <c r="B1111" s="113" t="s">
        <v>1204</v>
      </c>
      <c r="C1111" s="114" t="s">
        <v>429</v>
      </c>
      <c r="D1111" s="114" t="s">
        <v>336</v>
      </c>
      <c r="E1111" s="114" t="s">
        <v>2908</v>
      </c>
      <c r="F1111" s="115" t="s">
        <v>2909</v>
      </c>
      <c r="G1111" s="115" t="s">
        <v>2309</v>
      </c>
      <c r="H1111" s="115" t="s">
        <v>2691</v>
      </c>
      <c r="I1111" s="114">
        <v>21.013310000000001</v>
      </c>
      <c r="J1111" s="114">
        <v>-101.27843</v>
      </c>
      <c r="K1111" s="113"/>
      <c r="L1111" s="116" t="str">
        <f t="shared" si="56"/>
        <v>Ver en Google Maps</v>
      </c>
      <c r="M1111" s="116">
        <v>2</v>
      </c>
      <c r="N1111" s="139"/>
      <c r="O1111" s="118"/>
      <c r="P1111" s="118"/>
      <c r="Q1111" s="118"/>
      <c r="R1111" s="118"/>
      <c r="S1111" s="118"/>
      <c r="T1111" s="118"/>
      <c r="U1111" s="118"/>
      <c r="V1111" s="118"/>
      <c r="W1111" s="118"/>
      <c r="X1111" s="118"/>
      <c r="Y1111" s="118"/>
      <c r="Z1111" s="118"/>
      <c r="AA1111" s="118"/>
      <c r="AB1111" s="118"/>
      <c r="AC1111" s="119"/>
      <c r="AD1111" s="119"/>
      <c r="AE1111" s="118"/>
      <c r="AF1111" s="120"/>
    </row>
    <row r="1112" spans="1:32" x14ac:dyDescent="0.2">
      <c r="A1112" s="121">
        <v>944</v>
      </c>
      <c r="B1112" s="122" t="s">
        <v>1204</v>
      </c>
      <c r="C1112" s="123" t="s">
        <v>429</v>
      </c>
      <c r="D1112" s="123" t="s">
        <v>132</v>
      </c>
      <c r="E1112" s="123" t="s">
        <v>2910</v>
      </c>
      <c r="F1112" s="124" t="s">
        <v>2911</v>
      </c>
      <c r="G1112" s="124" t="s">
        <v>3011</v>
      </c>
      <c r="H1112" s="124" t="s">
        <v>2691</v>
      </c>
      <c r="I1112" s="123">
        <v>20.943473999999998</v>
      </c>
      <c r="J1112" s="123">
        <v>-101.285554</v>
      </c>
      <c r="K1112" s="122"/>
      <c r="L1112" s="125" t="str">
        <f t="shared" si="56"/>
        <v>Ver en Google Maps</v>
      </c>
      <c r="M1112" s="125">
        <v>2</v>
      </c>
      <c r="N1112" s="140"/>
      <c r="O1112" s="109"/>
      <c r="P1112" s="109"/>
      <c r="Q1112" s="109"/>
      <c r="R1112" s="109"/>
      <c r="S1112" s="109"/>
      <c r="T1112" s="109"/>
      <c r="U1112" s="109"/>
      <c r="V1112" s="109"/>
      <c r="W1112" s="109"/>
      <c r="X1112" s="109"/>
      <c r="Y1112" s="109"/>
      <c r="Z1112" s="109"/>
      <c r="AA1112" s="109"/>
      <c r="AB1112" s="109"/>
      <c r="AC1112" s="110"/>
      <c r="AD1112" s="110"/>
      <c r="AE1112" s="109"/>
      <c r="AF1112" s="111"/>
    </row>
    <row r="1113" spans="1:32" x14ac:dyDescent="0.2">
      <c r="A1113" s="112">
        <v>956</v>
      </c>
      <c r="B1113" s="113" t="s">
        <v>1204</v>
      </c>
      <c r="C1113" s="114" t="s">
        <v>87</v>
      </c>
      <c r="D1113" s="114" t="s">
        <v>404</v>
      </c>
      <c r="E1113" s="114" t="s">
        <v>2912</v>
      </c>
      <c r="F1113" s="115" t="s">
        <v>2913</v>
      </c>
      <c r="G1113" s="115" t="s">
        <v>1212</v>
      </c>
      <c r="H1113" s="115" t="s">
        <v>2691</v>
      </c>
      <c r="I1113" s="114">
        <v>21.020106999999999</v>
      </c>
      <c r="J1113" s="114">
        <v>-101.259486</v>
      </c>
      <c r="K1113" s="113" t="s">
        <v>139</v>
      </c>
      <c r="L1113" s="116" t="str">
        <f t="shared" si="56"/>
        <v>Ver en Google Maps</v>
      </c>
      <c r="M1113" s="116">
        <v>1</v>
      </c>
      <c r="N1113" s="137">
        <v>45961</v>
      </c>
      <c r="O1113" s="118">
        <f>DAY('BD2'!$N1113)</f>
        <v>31</v>
      </c>
      <c r="P1113" s="118">
        <f>MONTH('BD2'!$N1113)</f>
        <v>10</v>
      </c>
      <c r="Q1113" s="118">
        <f>YEAR('BD2'!$N1113)</f>
        <v>2025</v>
      </c>
      <c r="R1113" s="118">
        <v>2</v>
      </c>
      <c r="S1113" s="118" t="s">
        <v>138</v>
      </c>
      <c r="T1113" s="118" t="s">
        <v>138</v>
      </c>
      <c r="U1113" s="118" t="s">
        <v>138</v>
      </c>
      <c r="V1113" s="118" t="s">
        <v>138</v>
      </c>
      <c r="W1113" s="118" t="s">
        <v>138</v>
      </c>
      <c r="X1113" s="118" t="s">
        <v>138</v>
      </c>
      <c r="Y1113" s="118" t="s">
        <v>138</v>
      </c>
      <c r="Z1113" s="118" t="str">
        <f>IF('BD2'!$AA1113 &lt; 14, "no", "si")</f>
        <v>no</v>
      </c>
      <c r="AA1113" s="118">
        <v>7.16</v>
      </c>
      <c r="AB1113" s="118">
        <v>7.35</v>
      </c>
      <c r="AC1113" s="119" t="s">
        <v>3127</v>
      </c>
      <c r="AD1113" s="119" t="s">
        <v>2436</v>
      </c>
      <c r="AE1113" s="118">
        <f t="shared" si="55"/>
        <v>7</v>
      </c>
      <c r="AF1113" s="120" t="str">
        <f t="shared" si="54"/>
        <v>Funcional con observaciones</v>
      </c>
    </row>
    <row r="1114" spans="1:32" x14ac:dyDescent="0.2">
      <c r="A1114" s="121">
        <v>957</v>
      </c>
      <c r="B1114" s="122" t="s">
        <v>1204</v>
      </c>
      <c r="C1114" s="123" t="s">
        <v>87</v>
      </c>
      <c r="D1114" s="123" t="s">
        <v>404</v>
      </c>
      <c r="E1114" s="123" t="s">
        <v>2914</v>
      </c>
      <c r="F1114" s="124" t="s">
        <v>2915</v>
      </c>
      <c r="G1114" s="124" t="s">
        <v>3012</v>
      </c>
      <c r="H1114" s="124" t="s">
        <v>2691</v>
      </c>
      <c r="I1114" s="123">
        <v>21.010169999999999</v>
      </c>
      <c r="J1114" s="123">
        <v>-101.252979</v>
      </c>
      <c r="K1114" s="122"/>
      <c r="L1114" s="125" t="str">
        <f t="shared" si="56"/>
        <v>Ver en Google Maps</v>
      </c>
      <c r="M1114" s="125">
        <v>1</v>
      </c>
      <c r="N1114" s="140"/>
      <c r="O1114" s="109"/>
      <c r="P1114" s="109"/>
      <c r="Q1114" s="109"/>
      <c r="R1114" s="109"/>
      <c r="S1114" s="109"/>
      <c r="T1114" s="109"/>
      <c r="U1114" s="109"/>
      <c r="V1114" s="109"/>
      <c r="W1114" s="109"/>
      <c r="X1114" s="109"/>
      <c r="Y1114" s="109"/>
      <c r="Z1114" s="109"/>
      <c r="AA1114" s="109"/>
      <c r="AB1114" s="109"/>
      <c r="AC1114" s="110"/>
      <c r="AD1114" s="110"/>
      <c r="AE1114" s="109"/>
      <c r="AF1114" s="111"/>
    </row>
    <row r="1115" spans="1:32" x14ac:dyDescent="0.2">
      <c r="A1115" s="112">
        <v>960</v>
      </c>
      <c r="B1115" s="113" t="s">
        <v>1204</v>
      </c>
      <c r="C1115" s="114" t="s">
        <v>87</v>
      </c>
      <c r="D1115" s="114" t="s">
        <v>404</v>
      </c>
      <c r="E1115" s="114" t="s">
        <v>2916</v>
      </c>
      <c r="F1115" s="115" t="s">
        <v>2917</v>
      </c>
      <c r="G1115" s="115" t="s">
        <v>3013</v>
      </c>
      <c r="H1115" s="115" t="s">
        <v>2691</v>
      </c>
      <c r="I1115" s="114">
        <v>20.980824999999999</v>
      </c>
      <c r="J1115" s="114">
        <v>-101.28917300000001</v>
      </c>
      <c r="K1115" s="113"/>
      <c r="L1115" s="116" t="str">
        <f t="shared" si="56"/>
        <v>Ver en Google Maps</v>
      </c>
      <c r="M1115" s="116">
        <v>2</v>
      </c>
      <c r="N1115" s="139"/>
      <c r="O1115" s="118"/>
      <c r="P1115" s="118"/>
      <c r="Q1115" s="118"/>
      <c r="R1115" s="118"/>
      <c r="S1115" s="118"/>
      <c r="T1115" s="118"/>
      <c r="U1115" s="118"/>
      <c r="V1115" s="118"/>
      <c r="W1115" s="118"/>
      <c r="X1115" s="118"/>
      <c r="Y1115" s="118"/>
      <c r="Z1115" s="118"/>
      <c r="AA1115" s="118"/>
      <c r="AB1115" s="118"/>
      <c r="AC1115" s="119"/>
      <c r="AD1115" s="119"/>
      <c r="AE1115" s="118"/>
      <c r="AF1115" s="120"/>
    </row>
    <row r="1116" spans="1:32" x14ac:dyDescent="0.2">
      <c r="A1116" s="121">
        <v>961</v>
      </c>
      <c r="B1116" s="122" t="s">
        <v>1204</v>
      </c>
      <c r="C1116" s="123" t="s">
        <v>87</v>
      </c>
      <c r="D1116" s="123" t="s">
        <v>805</v>
      </c>
      <c r="E1116" s="123" t="s">
        <v>2918</v>
      </c>
      <c r="F1116" s="124" t="s">
        <v>2919</v>
      </c>
      <c r="G1116" s="124" t="s">
        <v>1231</v>
      </c>
      <c r="H1116" s="124" t="s">
        <v>2691</v>
      </c>
      <c r="I1116" s="123">
        <v>21.01933</v>
      </c>
      <c r="J1116" s="123">
        <v>-101.261144</v>
      </c>
      <c r="K1116" s="122" t="s">
        <v>139</v>
      </c>
      <c r="L1116" s="125" t="str">
        <f t="shared" si="56"/>
        <v>Ver en Google Maps</v>
      </c>
      <c r="M1116" s="125">
        <v>2</v>
      </c>
      <c r="N1116" s="138">
        <v>45961</v>
      </c>
      <c r="O1116" s="109">
        <f>DAY('BD2'!$N1116)</f>
        <v>31</v>
      </c>
      <c r="P1116" s="109">
        <f>MONTH('BD2'!$N1116)</f>
        <v>10</v>
      </c>
      <c r="Q1116" s="109">
        <f>YEAR('BD2'!$N1116)</f>
        <v>2025</v>
      </c>
      <c r="R1116" s="109">
        <v>2</v>
      </c>
      <c r="S1116" s="109" t="s">
        <v>138</v>
      </c>
      <c r="T1116" s="109" t="s">
        <v>138</v>
      </c>
      <c r="U1116" s="109" t="s">
        <v>138</v>
      </c>
      <c r="V1116" s="109" t="s">
        <v>138</v>
      </c>
      <c r="W1116" s="109" t="s">
        <v>138</v>
      </c>
      <c r="X1116" s="109" t="s">
        <v>138</v>
      </c>
      <c r="Y1116" s="109" t="s">
        <v>138</v>
      </c>
      <c r="Z1116" s="109" t="str">
        <f>IF('BD2'!$AA1116 &lt; 14, "no", "si")</f>
        <v>si</v>
      </c>
      <c r="AA1116" s="109">
        <v>38.1</v>
      </c>
      <c r="AB1116" s="109">
        <v>21.8</v>
      </c>
      <c r="AC1116" s="110" t="s">
        <v>967</v>
      </c>
      <c r="AD1116" s="110" t="s">
        <v>2436</v>
      </c>
      <c r="AE1116" s="109">
        <f t="shared" si="55"/>
        <v>8</v>
      </c>
      <c r="AF1116" s="111" t="str">
        <f t="shared" si="54"/>
        <v>Estable</v>
      </c>
    </row>
    <row r="1117" spans="1:32" x14ac:dyDescent="0.2">
      <c r="A1117" s="112">
        <v>962</v>
      </c>
      <c r="B1117" s="113" t="s">
        <v>1204</v>
      </c>
      <c r="C1117" s="114" t="s">
        <v>87</v>
      </c>
      <c r="D1117" s="114" t="s">
        <v>563</v>
      </c>
      <c r="E1117" s="114" t="s">
        <v>2920</v>
      </c>
      <c r="F1117" s="115" t="s">
        <v>2921</v>
      </c>
      <c r="G1117" s="115" t="s">
        <v>2966</v>
      </c>
      <c r="H1117" s="115" t="s">
        <v>2691</v>
      </c>
      <c r="I1117" s="114">
        <v>20.995987</v>
      </c>
      <c r="J1117" s="114">
        <v>-101.29027000000001</v>
      </c>
      <c r="K1117" s="113" t="s">
        <v>139</v>
      </c>
      <c r="L1117" s="116" t="str">
        <f t="shared" si="56"/>
        <v>Ver en Google Maps</v>
      </c>
      <c r="M1117" s="116">
        <v>2</v>
      </c>
      <c r="N1117" s="137">
        <v>45961</v>
      </c>
      <c r="O1117" s="118">
        <f>DAY('BD2'!$N1117)</f>
        <v>31</v>
      </c>
      <c r="P1117" s="118">
        <f>MONTH('BD2'!$N1117)</f>
        <v>10</v>
      </c>
      <c r="Q1117" s="118">
        <f>YEAR('BD2'!$N1117)</f>
        <v>2025</v>
      </c>
      <c r="R1117" s="118">
        <v>2</v>
      </c>
      <c r="S1117" s="118" t="s">
        <v>138</v>
      </c>
      <c r="T1117" s="118" t="s">
        <v>138</v>
      </c>
      <c r="U1117" s="118" t="s">
        <v>138</v>
      </c>
      <c r="V1117" s="118" t="s">
        <v>138</v>
      </c>
      <c r="W1117" s="118" t="s">
        <v>138</v>
      </c>
      <c r="X1117" s="118" t="s">
        <v>138</v>
      </c>
      <c r="Y1117" s="118" t="s">
        <v>138</v>
      </c>
      <c r="Z1117" s="118" t="str">
        <f>IF('BD2'!$AA1117 &lt; 14, "no", "si")</f>
        <v>si</v>
      </c>
      <c r="AA1117" s="118">
        <v>28</v>
      </c>
      <c r="AB1117" s="118">
        <v>34.9</v>
      </c>
      <c r="AC1117" s="119" t="s">
        <v>967</v>
      </c>
      <c r="AD1117" s="119" t="s">
        <v>2436</v>
      </c>
      <c r="AE1117" s="118">
        <f t="shared" si="55"/>
        <v>8</v>
      </c>
      <c r="AF1117" s="120" t="str">
        <f t="shared" si="54"/>
        <v>Estable</v>
      </c>
    </row>
    <row r="1118" spans="1:32" x14ac:dyDescent="0.2">
      <c r="A1118" s="121">
        <v>1014</v>
      </c>
      <c r="B1118" s="122" t="s">
        <v>1204</v>
      </c>
      <c r="C1118" s="123" t="s">
        <v>87</v>
      </c>
      <c r="D1118" s="123" t="s">
        <v>782</v>
      </c>
      <c r="E1118" s="123" t="s">
        <v>2922</v>
      </c>
      <c r="F1118" s="124" t="s">
        <v>2923</v>
      </c>
      <c r="G1118" s="124" t="s">
        <v>3003</v>
      </c>
      <c r="H1118" s="124" t="s">
        <v>2691</v>
      </c>
      <c r="I1118" s="123">
        <v>20.980824999999999</v>
      </c>
      <c r="J1118" s="123">
        <v>-101.28917300000001</v>
      </c>
      <c r="K1118" s="122"/>
      <c r="L1118" s="125" t="str">
        <f t="shared" si="56"/>
        <v>Ver en Google Maps</v>
      </c>
      <c r="M1118" s="125">
        <v>3</v>
      </c>
      <c r="N1118" s="140"/>
      <c r="O1118" s="109"/>
      <c r="P1118" s="109"/>
      <c r="Q1118" s="109"/>
      <c r="R1118" s="109"/>
      <c r="S1118" s="109"/>
      <c r="T1118" s="109"/>
      <c r="U1118" s="109"/>
      <c r="V1118" s="109"/>
      <c r="W1118" s="109"/>
      <c r="X1118" s="109"/>
      <c r="Y1118" s="109"/>
      <c r="Z1118" s="109"/>
      <c r="AA1118" s="109"/>
      <c r="AB1118" s="109"/>
      <c r="AC1118" s="110"/>
      <c r="AD1118" s="110"/>
      <c r="AE1118" s="109"/>
      <c r="AF1118" s="111"/>
    </row>
    <row r="1119" spans="1:32" x14ac:dyDescent="0.2">
      <c r="A1119" s="112">
        <v>1015</v>
      </c>
      <c r="B1119" s="113" t="s">
        <v>1204</v>
      </c>
      <c r="C1119" s="114" t="s">
        <v>87</v>
      </c>
      <c r="D1119" s="114" t="s">
        <v>842</v>
      </c>
      <c r="E1119" s="114" t="s">
        <v>2924</v>
      </c>
      <c r="F1119" s="115" t="s">
        <v>2923</v>
      </c>
      <c r="G1119" s="115" t="s">
        <v>3003</v>
      </c>
      <c r="H1119" s="115" t="s">
        <v>2691</v>
      </c>
      <c r="I1119" s="114">
        <v>20.980824999999999</v>
      </c>
      <c r="J1119" s="114">
        <v>-101.28917300000001</v>
      </c>
      <c r="K1119" s="113" t="s">
        <v>139</v>
      </c>
      <c r="L1119" s="116" t="str">
        <f t="shared" si="56"/>
        <v>Ver en Google Maps</v>
      </c>
      <c r="M1119" s="116">
        <v>2</v>
      </c>
      <c r="N1119" s="137">
        <v>45961</v>
      </c>
      <c r="O1119" s="118">
        <f>DAY('BD2'!$N1119)</f>
        <v>31</v>
      </c>
      <c r="P1119" s="118">
        <f>MONTH('BD2'!$N1119)</f>
        <v>10</v>
      </c>
      <c r="Q1119" s="118">
        <f>YEAR('BD2'!$N1119)</f>
        <v>2025</v>
      </c>
      <c r="R1119" s="118">
        <v>2</v>
      </c>
      <c r="S1119" s="118" t="s">
        <v>138</v>
      </c>
      <c r="T1119" s="118" t="s">
        <v>138</v>
      </c>
      <c r="U1119" s="118" t="s">
        <v>138</v>
      </c>
      <c r="V1119" s="118" t="s">
        <v>138</v>
      </c>
      <c r="W1119" s="118" t="s">
        <v>138</v>
      </c>
      <c r="X1119" s="118" t="s">
        <v>138</v>
      </c>
      <c r="Y1119" s="118" t="s">
        <v>138</v>
      </c>
      <c r="Z1119" s="118" t="str">
        <f>IF('BD2'!$AA1119 &lt; 14, "no", "si")</f>
        <v>si</v>
      </c>
      <c r="AA1119" s="118">
        <v>55.2</v>
      </c>
      <c r="AB1119" s="118">
        <v>24.1</v>
      </c>
      <c r="AC1119" s="119" t="s">
        <v>967</v>
      </c>
      <c r="AD1119" s="119" t="s">
        <v>2436</v>
      </c>
      <c r="AE1119" s="118">
        <f t="shared" si="55"/>
        <v>8</v>
      </c>
      <c r="AF1119" s="120" t="str">
        <f t="shared" si="54"/>
        <v>Estable</v>
      </c>
    </row>
    <row r="1120" spans="1:32" x14ac:dyDescent="0.2">
      <c r="A1120" s="121">
        <v>1024</v>
      </c>
      <c r="B1120" s="122" t="s">
        <v>1204</v>
      </c>
      <c r="C1120" s="123" t="s">
        <v>87</v>
      </c>
      <c r="D1120" s="123" t="s">
        <v>404</v>
      </c>
      <c r="E1120" s="123" t="s">
        <v>2925</v>
      </c>
      <c r="F1120" s="124" t="s">
        <v>2926</v>
      </c>
      <c r="G1120" s="124" t="s">
        <v>2966</v>
      </c>
      <c r="H1120" s="124" t="s">
        <v>2691</v>
      </c>
      <c r="I1120" s="123">
        <v>20.996269999999999</v>
      </c>
      <c r="J1120" s="123">
        <v>-101.284486</v>
      </c>
      <c r="K1120" s="122" t="s">
        <v>139</v>
      </c>
      <c r="L1120" s="125" t="str">
        <f t="shared" si="56"/>
        <v>Ver en Google Maps</v>
      </c>
      <c r="M1120" s="125">
        <v>1</v>
      </c>
      <c r="N1120" s="138">
        <v>45961</v>
      </c>
      <c r="O1120" s="109">
        <f>DAY('BD2'!$N1120)</f>
        <v>31</v>
      </c>
      <c r="P1120" s="109">
        <f>MONTH('BD2'!$N1120)</f>
        <v>10</v>
      </c>
      <c r="Q1120" s="109">
        <f>YEAR('BD2'!$N1120)</f>
        <v>2025</v>
      </c>
      <c r="R1120" s="109">
        <v>2</v>
      </c>
      <c r="S1120" s="109" t="s">
        <v>138</v>
      </c>
      <c r="T1120" s="109" t="s">
        <v>138</v>
      </c>
      <c r="U1120" s="109" t="s">
        <v>138</v>
      </c>
      <c r="V1120" s="109" t="s">
        <v>934</v>
      </c>
      <c r="W1120" s="109" t="s">
        <v>138</v>
      </c>
      <c r="X1120" s="109" t="s">
        <v>138</v>
      </c>
      <c r="Y1120" s="109" t="s">
        <v>138</v>
      </c>
      <c r="Z1120" s="109" t="str">
        <f>IF('BD2'!$AA1120 &lt; 14, "no", "si")</f>
        <v>si</v>
      </c>
      <c r="AA1120" s="109">
        <v>40.5</v>
      </c>
      <c r="AB1120" s="109">
        <v>35.1</v>
      </c>
      <c r="AC1120" s="110" t="s">
        <v>967</v>
      </c>
      <c r="AD1120" s="110" t="s">
        <v>2436</v>
      </c>
      <c r="AE1120" s="109">
        <f t="shared" si="55"/>
        <v>7</v>
      </c>
      <c r="AF1120" s="111" t="str">
        <f t="shared" si="54"/>
        <v>Funcional con observaciones</v>
      </c>
    </row>
    <row r="1121" spans="1:32" x14ac:dyDescent="0.2">
      <c r="A1121" s="131">
        <v>1025</v>
      </c>
      <c r="B1121" s="113" t="s">
        <v>1204</v>
      </c>
      <c r="C1121" s="114" t="s">
        <v>87</v>
      </c>
      <c r="D1121" s="114" t="s">
        <v>2927</v>
      </c>
      <c r="E1121" s="114" t="s">
        <v>2928</v>
      </c>
      <c r="F1121" s="115" t="s">
        <v>2929</v>
      </c>
      <c r="G1121" s="115" t="s">
        <v>3008</v>
      </c>
      <c r="H1121" s="115" t="s">
        <v>2691</v>
      </c>
      <c r="I1121" s="114">
        <v>20.986408999999998</v>
      </c>
      <c r="J1121" s="114">
        <v>-101.286877</v>
      </c>
      <c r="K1121" s="113" t="s">
        <v>139</v>
      </c>
      <c r="L1121" s="116" t="str">
        <f t="shared" si="56"/>
        <v>Ver en Google Maps</v>
      </c>
      <c r="M1121" s="116">
        <v>2</v>
      </c>
      <c r="N1121" s="137">
        <v>45961</v>
      </c>
      <c r="O1121" s="118">
        <f>DAY('BD2'!$N1121)</f>
        <v>31</v>
      </c>
      <c r="P1121" s="118">
        <f>MONTH('BD2'!$N1121)</f>
        <v>10</v>
      </c>
      <c r="Q1121" s="118">
        <f>YEAR('BD2'!$N1121)</f>
        <v>2025</v>
      </c>
      <c r="R1121" s="118">
        <v>2</v>
      </c>
      <c r="S1121" s="118" t="s">
        <v>138</v>
      </c>
      <c r="T1121" s="118" t="s">
        <v>138</v>
      </c>
      <c r="U1121" s="118" t="s">
        <v>138</v>
      </c>
      <c r="V1121" s="118" t="s">
        <v>138</v>
      </c>
      <c r="W1121" s="118" t="s">
        <v>138</v>
      </c>
      <c r="X1121" s="118" t="s">
        <v>138</v>
      </c>
      <c r="Y1121" s="118" t="s">
        <v>138</v>
      </c>
      <c r="Z1121" s="118" t="str">
        <f>IF('BD2'!$AA1121 &lt; 14, "no", "si")</f>
        <v>si</v>
      </c>
      <c r="AA1121" s="118">
        <v>41.3</v>
      </c>
      <c r="AB1121" s="118"/>
      <c r="AC1121" s="119" t="s">
        <v>967</v>
      </c>
      <c r="AD1121" s="119" t="s">
        <v>2436</v>
      </c>
      <c r="AE1121" s="118">
        <f t="shared" si="55"/>
        <v>8</v>
      </c>
      <c r="AF1121" s="120" t="str">
        <f t="shared" si="54"/>
        <v>Estable</v>
      </c>
    </row>
    <row r="1122" spans="1:32" x14ac:dyDescent="0.2">
      <c r="A1122" s="121">
        <v>1026</v>
      </c>
      <c r="B1122" s="122" t="s">
        <v>1204</v>
      </c>
      <c r="C1122" s="123" t="s">
        <v>87</v>
      </c>
      <c r="D1122" s="123" t="s">
        <v>404</v>
      </c>
      <c r="E1122" s="123" t="s">
        <v>2930</v>
      </c>
      <c r="F1122" s="124" t="s">
        <v>2931</v>
      </c>
      <c r="G1122" s="124" t="s">
        <v>2966</v>
      </c>
      <c r="H1122" s="124" t="s">
        <v>2691</v>
      </c>
      <c r="I1122" s="123">
        <v>20.994458999999999</v>
      </c>
      <c r="J1122" s="123">
        <v>-101.292158</v>
      </c>
      <c r="K1122" s="122" t="s">
        <v>139</v>
      </c>
      <c r="L1122" s="125" t="str">
        <f t="shared" si="56"/>
        <v>Ver en Google Maps</v>
      </c>
      <c r="M1122" s="125">
        <v>1</v>
      </c>
      <c r="N1122" s="138">
        <v>45961</v>
      </c>
      <c r="O1122" s="109">
        <f>DAY('BD2'!$N1122)</f>
        <v>31</v>
      </c>
      <c r="P1122" s="109">
        <f>MONTH('BD2'!$N1122)</f>
        <v>10</v>
      </c>
      <c r="Q1122" s="109">
        <f>YEAR('BD2'!$N1122)</f>
        <v>2025</v>
      </c>
      <c r="R1122" s="109">
        <v>2</v>
      </c>
      <c r="S1122" s="109" t="s">
        <v>138</v>
      </c>
      <c r="T1122" s="109" t="s">
        <v>138</v>
      </c>
      <c r="U1122" s="109" t="s">
        <v>138</v>
      </c>
      <c r="V1122" s="109" t="s">
        <v>138</v>
      </c>
      <c r="W1122" s="109" t="s">
        <v>138</v>
      </c>
      <c r="X1122" s="109" t="s">
        <v>138</v>
      </c>
      <c r="Y1122" s="109" t="s">
        <v>138</v>
      </c>
      <c r="Z1122" s="109" t="str">
        <f>IF('BD2'!$AA1122 &lt; 14, "no", "si")</f>
        <v>si</v>
      </c>
      <c r="AA1122" s="109">
        <v>53.4</v>
      </c>
      <c r="AB1122" s="109">
        <v>23.1</v>
      </c>
      <c r="AC1122" s="110" t="s">
        <v>967</v>
      </c>
      <c r="AD1122" s="110" t="s">
        <v>2436</v>
      </c>
      <c r="AE1122" s="109">
        <f t="shared" si="55"/>
        <v>8</v>
      </c>
      <c r="AF1122" s="111" t="str">
        <f t="shared" si="54"/>
        <v>Estable</v>
      </c>
    </row>
    <row r="1123" spans="1:32" x14ac:dyDescent="0.2">
      <c r="A1123" s="112">
        <v>1028</v>
      </c>
      <c r="B1123" s="113" t="s">
        <v>1204</v>
      </c>
      <c r="C1123" s="114" t="s">
        <v>87</v>
      </c>
      <c r="D1123" s="114" t="s">
        <v>404</v>
      </c>
      <c r="E1123" s="114" t="s">
        <v>2932</v>
      </c>
      <c r="F1123" s="115" t="s">
        <v>2933</v>
      </c>
      <c r="G1123" s="115" t="s">
        <v>2973</v>
      </c>
      <c r="H1123" s="115" t="s">
        <v>2691</v>
      </c>
      <c r="I1123" s="114">
        <v>20.959389999999999</v>
      </c>
      <c r="J1123" s="114">
        <v>-101.273535</v>
      </c>
      <c r="K1123" s="113"/>
      <c r="L1123" s="116" t="str">
        <f t="shared" si="56"/>
        <v>Ver en Google Maps</v>
      </c>
      <c r="M1123" s="116">
        <v>1</v>
      </c>
      <c r="N1123" s="139"/>
      <c r="O1123" s="118"/>
      <c r="P1123" s="118"/>
      <c r="Q1123" s="118"/>
      <c r="R1123" s="118"/>
      <c r="S1123" s="118"/>
      <c r="T1123" s="118"/>
      <c r="U1123" s="118"/>
      <c r="V1123" s="118"/>
      <c r="W1123" s="118"/>
      <c r="X1123" s="118"/>
      <c r="Y1123" s="118"/>
      <c r="Z1123" s="118"/>
      <c r="AA1123" s="118"/>
      <c r="AB1123" s="118"/>
      <c r="AC1123" s="119"/>
      <c r="AD1123" s="119"/>
      <c r="AE1123" s="118"/>
      <c r="AF1123" s="120"/>
    </row>
    <row r="1124" spans="1:32" x14ac:dyDescent="0.2">
      <c r="A1124" s="121">
        <v>1044</v>
      </c>
      <c r="B1124" s="122" t="s">
        <v>1204</v>
      </c>
      <c r="C1124" s="123" t="s">
        <v>87</v>
      </c>
      <c r="D1124" s="123" t="s">
        <v>563</v>
      </c>
      <c r="E1124" s="123" t="s">
        <v>2934</v>
      </c>
      <c r="F1124" s="124" t="s">
        <v>2935</v>
      </c>
      <c r="G1124" s="124" t="s">
        <v>2973</v>
      </c>
      <c r="H1124" s="124" t="s">
        <v>2691</v>
      </c>
      <c r="I1124" s="123">
        <v>20.967573999999999</v>
      </c>
      <c r="J1124" s="123">
        <v>-101.27360299999999</v>
      </c>
      <c r="K1124" s="122"/>
      <c r="L1124" s="125" t="str">
        <f t="shared" si="56"/>
        <v>Ver en Google Maps</v>
      </c>
      <c r="M1124" s="125">
        <v>2</v>
      </c>
      <c r="N1124" s="140"/>
      <c r="O1124" s="109"/>
      <c r="P1124" s="109"/>
      <c r="Q1124" s="109"/>
      <c r="R1124" s="109"/>
      <c r="S1124" s="109"/>
      <c r="T1124" s="109"/>
      <c r="U1124" s="109"/>
      <c r="V1124" s="109"/>
      <c r="W1124" s="109"/>
      <c r="X1124" s="109"/>
      <c r="Y1124" s="109"/>
      <c r="Z1124" s="109"/>
      <c r="AA1124" s="109"/>
      <c r="AB1124" s="109"/>
      <c r="AC1124" s="110"/>
      <c r="AD1124" s="110"/>
      <c r="AE1124" s="109"/>
      <c r="AF1124" s="111"/>
    </row>
    <row r="1125" spans="1:32" x14ac:dyDescent="0.2">
      <c r="A1125" s="112">
        <v>1054</v>
      </c>
      <c r="B1125" s="113" t="s">
        <v>1204</v>
      </c>
      <c r="C1125" s="114" t="s">
        <v>87</v>
      </c>
      <c r="D1125" s="114" t="s">
        <v>404</v>
      </c>
      <c r="E1125" s="114" t="s">
        <v>2936</v>
      </c>
      <c r="F1125" s="115" t="s">
        <v>2937</v>
      </c>
      <c r="G1125" s="115" t="s">
        <v>3008</v>
      </c>
      <c r="H1125" s="115" t="s">
        <v>2691</v>
      </c>
      <c r="I1125" s="114">
        <v>20.96209</v>
      </c>
      <c r="J1125" s="114">
        <v>-101.27329</v>
      </c>
      <c r="K1125" s="113"/>
      <c r="L1125" s="116" t="str">
        <f t="shared" si="56"/>
        <v>Ver en Google Maps</v>
      </c>
      <c r="M1125" s="116">
        <v>2</v>
      </c>
      <c r="N1125" s="139"/>
      <c r="O1125" s="118"/>
      <c r="P1125" s="118"/>
      <c r="Q1125" s="118"/>
      <c r="R1125" s="118"/>
      <c r="S1125" s="118"/>
      <c r="T1125" s="118"/>
      <c r="U1125" s="118"/>
      <c r="V1125" s="118"/>
      <c r="W1125" s="118"/>
      <c r="X1125" s="118"/>
      <c r="Y1125" s="118"/>
      <c r="Z1125" s="118"/>
      <c r="AA1125" s="118"/>
      <c r="AB1125" s="118"/>
      <c r="AC1125" s="119"/>
      <c r="AD1125" s="119"/>
      <c r="AE1125" s="118"/>
      <c r="AF1125" s="120"/>
    </row>
    <row r="1126" spans="1:32" x14ac:dyDescent="0.2">
      <c r="A1126" s="121">
        <v>1056</v>
      </c>
      <c r="B1126" s="122" t="s">
        <v>1204</v>
      </c>
      <c r="C1126" s="123" t="s">
        <v>14</v>
      </c>
      <c r="D1126" s="123" t="s">
        <v>404</v>
      </c>
      <c r="E1126" s="123" t="s">
        <v>2938</v>
      </c>
      <c r="F1126" s="124" t="s">
        <v>2939</v>
      </c>
      <c r="G1126" s="124" t="s">
        <v>1212</v>
      </c>
      <c r="H1126" s="124" t="s">
        <v>2691</v>
      </c>
      <c r="I1126" s="123">
        <v>21.003256</v>
      </c>
      <c r="J1126" s="123">
        <v>-101.243756</v>
      </c>
      <c r="K1126" s="122"/>
      <c r="L1126" s="125" t="str">
        <f t="shared" si="56"/>
        <v>Ver en Google Maps</v>
      </c>
      <c r="M1126" s="125">
        <v>1</v>
      </c>
      <c r="N1126" s="140"/>
      <c r="O1126" s="109"/>
      <c r="P1126" s="109"/>
      <c r="Q1126" s="109"/>
      <c r="R1126" s="109"/>
      <c r="S1126" s="109"/>
      <c r="T1126" s="109"/>
      <c r="U1126" s="109"/>
      <c r="V1126" s="109"/>
      <c r="W1126" s="109"/>
      <c r="X1126" s="109"/>
      <c r="Y1126" s="109"/>
      <c r="Z1126" s="109"/>
      <c r="AA1126" s="109"/>
      <c r="AB1126" s="109"/>
      <c r="AC1126" s="110"/>
      <c r="AD1126" s="110"/>
      <c r="AE1126" s="109"/>
      <c r="AF1126" s="111"/>
    </row>
    <row r="1127" spans="1:32" x14ac:dyDescent="0.2">
      <c r="A1127" s="112">
        <v>1062</v>
      </c>
      <c r="B1127" s="113" t="s">
        <v>1204</v>
      </c>
      <c r="C1127" s="114" t="s">
        <v>14</v>
      </c>
      <c r="D1127" s="114" t="s">
        <v>404</v>
      </c>
      <c r="E1127" s="114" t="s">
        <v>2940</v>
      </c>
      <c r="F1127" s="115" t="s">
        <v>2941</v>
      </c>
      <c r="G1127" s="115" t="s">
        <v>3014</v>
      </c>
      <c r="H1127" s="115" t="s">
        <v>2691</v>
      </c>
      <c r="I1127" s="114">
        <v>20.941970000000001</v>
      </c>
      <c r="J1127" s="114">
        <v>-101.28055999999999</v>
      </c>
      <c r="K1127" s="113"/>
      <c r="L1127" s="116" t="str">
        <f t="shared" si="56"/>
        <v>Ver en Google Maps</v>
      </c>
      <c r="M1127" s="116">
        <v>1</v>
      </c>
      <c r="N1127" s="139"/>
      <c r="O1127" s="118"/>
      <c r="P1127" s="118"/>
      <c r="Q1127" s="118"/>
      <c r="R1127" s="118"/>
      <c r="S1127" s="118"/>
      <c r="T1127" s="118"/>
      <c r="U1127" s="118"/>
      <c r="V1127" s="118"/>
      <c r="W1127" s="118"/>
      <c r="X1127" s="118"/>
      <c r="Y1127" s="118"/>
      <c r="Z1127" s="118"/>
      <c r="AA1127" s="118"/>
      <c r="AB1127" s="118"/>
      <c r="AC1127" s="119"/>
      <c r="AD1127" s="119"/>
      <c r="AE1127" s="118"/>
      <c r="AF1127" s="120"/>
    </row>
    <row r="1128" spans="1:32" x14ac:dyDescent="0.2">
      <c r="A1128" s="121">
        <v>1090</v>
      </c>
      <c r="B1128" s="122" t="s">
        <v>1204</v>
      </c>
      <c r="C1128" s="123" t="s">
        <v>426</v>
      </c>
      <c r="D1128" s="123" t="s">
        <v>404</v>
      </c>
      <c r="E1128" s="123" t="s">
        <v>2942</v>
      </c>
      <c r="F1128" s="124" t="s">
        <v>2943</v>
      </c>
      <c r="G1128" s="124" t="s">
        <v>1212</v>
      </c>
      <c r="H1128" s="124" t="s">
        <v>2691</v>
      </c>
      <c r="I1128" s="123">
        <v>21.016120000000001</v>
      </c>
      <c r="J1128" s="123">
        <v>-101.25360000000001</v>
      </c>
      <c r="K1128" s="122" t="s">
        <v>139</v>
      </c>
      <c r="L1128" s="125" t="str">
        <f t="shared" si="56"/>
        <v>Ver en Google Maps</v>
      </c>
      <c r="M1128" s="125">
        <v>1</v>
      </c>
      <c r="N1128" s="138">
        <v>45961</v>
      </c>
      <c r="O1128" s="109">
        <f>DAY('BD2'!$N1128)</f>
        <v>31</v>
      </c>
      <c r="P1128" s="109">
        <f>MONTH('BD2'!$N1128)</f>
        <v>10</v>
      </c>
      <c r="Q1128" s="109">
        <f>YEAR('BD2'!$N1128)</f>
        <v>2025</v>
      </c>
      <c r="R1128" s="109">
        <v>2</v>
      </c>
      <c r="S1128" s="109" t="s">
        <v>138</v>
      </c>
      <c r="T1128" s="109" t="s">
        <v>934</v>
      </c>
      <c r="U1128" s="109" t="s">
        <v>138</v>
      </c>
      <c r="V1128" s="109" t="s">
        <v>934</v>
      </c>
      <c r="W1128" s="109" t="s">
        <v>138</v>
      </c>
      <c r="X1128" s="109" t="s">
        <v>934</v>
      </c>
      <c r="Y1128" s="109" t="s">
        <v>934</v>
      </c>
      <c r="Z1128" s="109" t="str">
        <f>IF('BD2'!$AA1128 &lt; 14, "no", "si")</f>
        <v>no</v>
      </c>
      <c r="AA1128" s="109">
        <v>0</v>
      </c>
      <c r="AB1128" s="109">
        <v>0</v>
      </c>
      <c r="AC1128" s="110" t="s">
        <v>3128</v>
      </c>
      <c r="AD1128" s="110" t="s">
        <v>2436</v>
      </c>
      <c r="AE1128" s="109">
        <f t="shared" si="55"/>
        <v>3</v>
      </c>
      <c r="AF1128" s="111" t="str">
        <f t="shared" si="54"/>
        <v>Parcialmente funcional</v>
      </c>
    </row>
    <row r="1129" spans="1:32" x14ac:dyDescent="0.2">
      <c r="A1129" s="112">
        <v>1098</v>
      </c>
      <c r="B1129" s="113" t="s">
        <v>1204</v>
      </c>
      <c r="C1129" s="114" t="s">
        <v>14</v>
      </c>
      <c r="D1129" s="114" t="s">
        <v>404</v>
      </c>
      <c r="E1129" s="114" t="s">
        <v>2944</v>
      </c>
      <c r="F1129" s="115" t="s">
        <v>2945</v>
      </c>
      <c r="G1129" s="115" t="s">
        <v>3015</v>
      </c>
      <c r="H1129" s="115" t="s">
        <v>2691</v>
      </c>
      <c r="I1129" s="114">
        <v>20.955577999999999</v>
      </c>
      <c r="J1129" s="114">
        <v>-101.28103400000001</v>
      </c>
      <c r="K1129" s="113"/>
      <c r="L1129" s="116" t="str">
        <f t="shared" si="56"/>
        <v>Ver en Google Maps</v>
      </c>
      <c r="M1129" s="116">
        <v>1</v>
      </c>
      <c r="N1129" s="139"/>
      <c r="O1129" s="118"/>
      <c r="P1129" s="118"/>
      <c r="Q1129" s="118"/>
      <c r="R1129" s="118"/>
      <c r="S1129" s="118"/>
      <c r="T1129" s="118"/>
      <c r="U1129" s="118"/>
      <c r="V1129" s="118"/>
      <c r="W1129" s="118"/>
      <c r="X1129" s="118"/>
      <c r="Y1129" s="118"/>
      <c r="Z1129" s="118"/>
      <c r="AA1129" s="118"/>
      <c r="AB1129" s="118"/>
      <c r="AC1129" s="119"/>
      <c r="AD1129" s="119"/>
      <c r="AE1129" s="118"/>
      <c r="AF1129" s="120"/>
    </row>
    <row r="1130" spans="1:32" x14ac:dyDescent="0.2">
      <c r="A1130" s="121">
        <v>1107</v>
      </c>
      <c r="B1130" s="122" t="s">
        <v>1204</v>
      </c>
      <c r="C1130" s="123" t="s">
        <v>429</v>
      </c>
      <c r="D1130" s="123" t="s">
        <v>132</v>
      </c>
      <c r="E1130" s="123" t="s">
        <v>2946</v>
      </c>
      <c r="F1130" s="124" t="s">
        <v>2947</v>
      </c>
      <c r="G1130" s="124" t="s">
        <v>1783</v>
      </c>
      <c r="H1130" s="124" t="s">
        <v>2691</v>
      </c>
      <c r="I1130" s="123">
        <v>21.012664000000001</v>
      </c>
      <c r="J1130" s="123">
        <v>-101.281316</v>
      </c>
      <c r="K1130" s="122" t="s">
        <v>139</v>
      </c>
      <c r="L1130" s="125" t="str">
        <f t="shared" si="56"/>
        <v>Ver en Google Maps</v>
      </c>
      <c r="M1130" s="125">
        <v>2</v>
      </c>
      <c r="N1130" s="138">
        <v>45961</v>
      </c>
      <c r="O1130" s="109">
        <f>DAY('BD2'!$N1130)</f>
        <v>31</v>
      </c>
      <c r="P1130" s="109">
        <f>MONTH('BD2'!$N1130)</f>
        <v>10</v>
      </c>
      <c r="Q1130" s="109">
        <f>YEAR('BD2'!$N1130)</f>
        <v>2025</v>
      </c>
      <c r="R1130" s="109">
        <v>2</v>
      </c>
      <c r="S1130" s="109" t="s">
        <v>138</v>
      </c>
      <c r="T1130" s="109" t="s">
        <v>138</v>
      </c>
      <c r="U1130" s="109" t="s">
        <v>138</v>
      </c>
      <c r="V1130" s="109" t="s">
        <v>138</v>
      </c>
      <c r="W1130" s="109" t="s">
        <v>138</v>
      </c>
      <c r="X1130" s="109" t="s">
        <v>138</v>
      </c>
      <c r="Y1130" s="109" t="s">
        <v>138</v>
      </c>
      <c r="Z1130" s="109" t="str">
        <f>IF('BD2'!$AA1130 &lt; 14, "no", "si")</f>
        <v>si</v>
      </c>
      <c r="AA1130" s="109">
        <v>58.4</v>
      </c>
      <c r="AB1130" s="109">
        <v>33.299999999999997</v>
      </c>
      <c r="AC1130" s="110" t="s">
        <v>967</v>
      </c>
      <c r="AD1130" s="110" t="s">
        <v>2436</v>
      </c>
      <c r="AE1130" s="109">
        <f t="shared" si="55"/>
        <v>8</v>
      </c>
      <c r="AF1130" s="111" t="str">
        <f t="shared" si="54"/>
        <v>Estable</v>
      </c>
    </row>
    <row r="1131" spans="1:32" x14ac:dyDescent="0.2">
      <c r="A1131" s="112">
        <v>1108</v>
      </c>
      <c r="B1131" s="113" t="s">
        <v>1204</v>
      </c>
      <c r="C1131" s="114" t="s">
        <v>429</v>
      </c>
      <c r="D1131" s="114" t="s">
        <v>132</v>
      </c>
      <c r="E1131" s="114" t="s">
        <v>2948</v>
      </c>
      <c r="F1131" s="115" t="s">
        <v>2949</v>
      </c>
      <c r="G1131" s="115" t="s">
        <v>2984</v>
      </c>
      <c r="H1131" s="115" t="s">
        <v>2691</v>
      </c>
      <c r="I1131" s="114">
        <v>20.995170999999999</v>
      </c>
      <c r="J1131" s="114">
        <v>-101.292805</v>
      </c>
      <c r="K1131" s="113"/>
      <c r="L1131" s="116" t="str">
        <f t="shared" si="56"/>
        <v>Ver en Google Maps</v>
      </c>
      <c r="M1131" s="116">
        <v>2</v>
      </c>
      <c r="N1131" s="139"/>
      <c r="O1131" s="118"/>
      <c r="P1131" s="118"/>
      <c r="Q1131" s="118"/>
      <c r="R1131" s="118"/>
      <c r="S1131" s="118"/>
      <c r="T1131" s="118"/>
      <c r="U1131" s="118"/>
      <c r="V1131" s="118"/>
      <c r="W1131" s="118"/>
      <c r="X1131" s="118"/>
      <c r="Y1131" s="118"/>
      <c r="Z1131" s="118"/>
      <c r="AA1131" s="118"/>
      <c r="AB1131" s="118"/>
      <c r="AC1131" s="119"/>
      <c r="AD1131" s="119"/>
      <c r="AE1131" s="118"/>
      <c r="AF1131" s="120"/>
    </row>
    <row r="1132" spans="1:32" x14ac:dyDescent="0.2">
      <c r="A1132" s="121">
        <v>1111</v>
      </c>
      <c r="B1132" s="122" t="s">
        <v>1204</v>
      </c>
      <c r="C1132" s="123" t="s">
        <v>7</v>
      </c>
      <c r="D1132" s="123" t="s">
        <v>404</v>
      </c>
      <c r="E1132" s="123" t="s">
        <v>2950</v>
      </c>
      <c r="F1132" s="124" t="s">
        <v>2951</v>
      </c>
      <c r="G1132" s="124" t="s">
        <v>2966</v>
      </c>
      <c r="H1132" s="124" t="s">
        <v>2691</v>
      </c>
      <c r="I1132" s="123">
        <v>21.006716000000001</v>
      </c>
      <c r="J1132" s="123">
        <v>-101.28431999999999</v>
      </c>
      <c r="K1132" s="122" t="s">
        <v>139</v>
      </c>
      <c r="L1132" s="125" t="str">
        <f t="shared" si="56"/>
        <v>Ver en Google Maps</v>
      </c>
      <c r="M1132" s="125">
        <v>1</v>
      </c>
      <c r="N1132" s="138">
        <v>45961</v>
      </c>
      <c r="O1132" s="109">
        <f>DAY('BD2'!$N1132)</f>
        <v>31</v>
      </c>
      <c r="P1132" s="109">
        <f>MONTH('BD2'!$N1132)</f>
        <v>10</v>
      </c>
      <c r="Q1132" s="109">
        <f>YEAR('BD2'!$N1132)</f>
        <v>2025</v>
      </c>
      <c r="R1132" s="109">
        <v>2</v>
      </c>
      <c r="S1132" s="109" t="s">
        <v>138</v>
      </c>
      <c r="T1132" s="109" t="s">
        <v>138</v>
      </c>
      <c r="U1132" s="109" t="s">
        <v>138</v>
      </c>
      <c r="V1132" s="109" t="s">
        <v>138</v>
      </c>
      <c r="W1132" s="109" t="s">
        <v>138</v>
      </c>
      <c r="X1132" s="109" t="s">
        <v>138</v>
      </c>
      <c r="Y1132" s="109" t="s">
        <v>138</v>
      </c>
      <c r="Z1132" s="109" t="str">
        <f>IF('BD2'!$AA1132 &lt; 14, "no", "si")</f>
        <v>si</v>
      </c>
      <c r="AA1132" s="109">
        <v>119</v>
      </c>
      <c r="AB1132" s="109">
        <v>7.74</v>
      </c>
      <c r="AC1132" s="110" t="s">
        <v>967</v>
      </c>
      <c r="AD1132" s="110" t="s">
        <v>2436</v>
      </c>
      <c r="AE1132" s="109">
        <f t="shared" si="55"/>
        <v>8</v>
      </c>
      <c r="AF1132" s="111" t="str">
        <f t="shared" si="54"/>
        <v>Estable</v>
      </c>
    </row>
    <row r="1133" spans="1:32" x14ac:dyDescent="0.2">
      <c r="A1133" s="112">
        <v>1112</v>
      </c>
      <c r="B1133" s="113" t="s">
        <v>1204</v>
      </c>
      <c r="C1133" s="114" t="s">
        <v>7</v>
      </c>
      <c r="D1133" s="114" t="s">
        <v>404</v>
      </c>
      <c r="E1133" s="114" t="s">
        <v>2952</v>
      </c>
      <c r="F1133" s="115" t="s">
        <v>2953</v>
      </c>
      <c r="G1133" s="115" t="s">
        <v>2979</v>
      </c>
      <c r="H1133" s="115" t="s">
        <v>2691</v>
      </c>
      <c r="I1133" s="114">
        <v>21.020667</v>
      </c>
      <c r="J1133" s="114">
        <v>-101.274896</v>
      </c>
      <c r="K1133" s="113" t="s">
        <v>139</v>
      </c>
      <c r="L1133" s="116" t="str">
        <f t="shared" si="56"/>
        <v>Ver en Google Maps</v>
      </c>
      <c r="M1133" s="116">
        <v>1</v>
      </c>
      <c r="N1133" s="137">
        <v>45961</v>
      </c>
      <c r="O1133" s="118">
        <f>DAY('BD2'!$N1133)</f>
        <v>31</v>
      </c>
      <c r="P1133" s="118">
        <f>MONTH('BD2'!$N1133)</f>
        <v>10</v>
      </c>
      <c r="Q1133" s="118">
        <f>YEAR('BD2'!$N1133)</f>
        <v>2025</v>
      </c>
      <c r="R1133" s="118">
        <v>2</v>
      </c>
      <c r="S1133" s="118" t="s">
        <v>138</v>
      </c>
      <c r="T1133" s="118" t="s">
        <v>138</v>
      </c>
      <c r="U1133" s="118" t="s">
        <v>138</v>
      </c>
      <c r="V1133" s="118" t="s">
        <v>138</v>
      </c>
      <c r="W1133" s="118" t="s">
        <v>138</v>
      </c>
      <c r="X1133" s="118" t="s">
        <v>138</v>
      </c>
      <c r="Y1133" s="118" t="s">
        <v>138</v>
      </c>
      <c r="Z1133" s="118" t="str">
        <f>IF('BD2'!$AA1133 &lt; 14, "no", "si")</f>
        <v>si</v>
      </c>
      <c r="AA1133" s="118">
        <v>44.7</v>
      </c>
      <c r="AB1133" s="118">
        <v>43.1</v>
      </c>
      <c r="AC1133" s="119" t="s">
        <v>967</v>
      </c>
      <c r="AD1133" s="119" t="s">
        <v>2436</v>
      </c>
      <c r="AE1133" s="118">
        <f t="shared" si="55"/>
        <v>8</v>
      </c>
      <c r="AF1133" s="120" t="str">
        <f t="shared" si="54"/>
        <v>Estable</v>
      </c>
    </row>
    <row r="1134" spans="1:32" x14ac:dyDescent="0.2">
      <c r="A1134" s="121">
        <v>1113</v>
      </c>
      <c r="B1134" s="122" t="s">
        <v>1204</v>
      </c>
      <c r="C1134" s="123" t="s">
        <v>7</v>
      </c>
      <c r="D1134" s="123" t="s">
        <v>404</v>
      </c>
      <c r="E1134" s="123" t="s">
        <v>2954</v>
      </c>
      <c r="F1134" s="124" t="s">
        <v>2955</v>
      </c>
      <c r="G1134" s="124" t="s">
        <v>3008</v>
      </c>
      <c r="H1134" s="124" t="s">
        <v>2691</v>
      </c>
      <c r="I1134" s="123">
        <v>20.986649</v>
      </c>
      <c r="J1134" s="123">
        <v>-101.285355</v>
      </c>
      <c r="K1134" s="122" t="s">
        <v>139</v>
      </c>
      <c r="L1134" s="125" t="str">
        <f t="shared" si="56"/>
        <v>Ver en Google Maps</v>
      </c>
      <c r="M1134" s="125">
        <v>1</v>
      </c>
      <c r="N1134" s="138">
        <v>45961</v>
      </c>
      <c r="O1134" s="109">
        <f>DAY('BD2'!$N1134)</f>
        <v>31</v>
      </c>
      <c r="P1134" s="109">
        <f>MONTH('BD2'!$N1134)</f>
        <v>10</v>
      </c>
      <c r="Q1134" s="109">
        <f>YEAR('BD2'!$N1134)</f>
        <v>2025</v>
      </c>
      <c r="R1134" s="109">
        <v>2</v>
      </c>
      <c r="S1134" s="109" t="s">
        <v>138</v>
      </c>
      <c r="T1134" s="109" t="s">
        <v>934</v>
      </c>
      <c r="U1134" s="109" t="s">
        <v>934</v>
      </c>
      <c r="V1134" s="109" t="s">
        <v>934</v>
      </c>
      <c r="W1134" s="109" t="s">
        <v>934</v>
      </c>
      <c r="X1134" s="109" t="s">
        <v>934</v>
      </c>
      <c r="Y1134" s="109" t="s">
        <v>934</v>
      </c>
      <c r="Z1134" s="109" t="str">
        <f>IF('BD2'!$AA1134 &lt; 14, "no", "si")</f>
        <v>no</v>
      </c>
      <c r="AA1134" s="109">
        <v>0</v>
      </c>
      <c r="AB1134" s="109">
        <v>0</v>
      </c>
      <c r="AC1134" s="110" t="s">
        <v>3125</v>
      </c>
      <c r="AD1134" s="110" t="s">
        <v>2436</v>
      </c>
      <c r="AE1134" s="109">
        <f t="shared" si="55"/>
        <v>1</v>
      </c>
      <c r="AF1134" s="111" t="str">
        <f t="shared" si="54"/>
        <v>Inoperativo</v>
      </c>
    </row>
    <row r="1135" spans="1:32" x14ac:dyDescent="0.2">
      <c r="A1135" s="112">
        <v>1114</v>
      </c>
      <c r="B1135" s="113" t="s">
        <v>1204</v>
      </c>
      <c r="C1135" s="114" t="s">
        <v>7</v>
      </c>
      <c r="D1135" s="114" t="s">
        <v>404</v>
      </c>
      <c r="E1135" s="114" t="s">
        <v>2956</v>
      </c>
      <c r="F1135" s="115" t="s">
        <v>2957</v>
      </c>
      <c r="G1135" s="115" t="s">
        <v>3016</v>
      </c>
      <c r="H1135" s="115" t="s">
        <v>2691</v>
      </c>
      <c r="I1135" s="114">
        <v>20.977557000000001</v>
      </c>
      <c r="J1135" s="114">
        <v>-101.27727899999999</v>
      </c>
      <c r="K1135" s="113" t="s">
        <v>139</v>
      </c>
      <c r="L1135" s="116" t="str">
        <f t="shared" si="56"/>
        <v>Ver en Google Maps</v>
      </c>
      <c r="M1135" s="116">
        <v>1</v>
      </c>
      <c r="N1135" s="137">
        <v>45961</v>
      </c>
      <c r="O1135" s="118">
        <f>DAY('BD2'!$N1135)</f>
        <v>31</v>
      </c>
      <c r="P1135" s="118">
        <f>MONTH('BD2'!$N1135)</f>
        <v>10</v>
      </c>
      <c r="Q1135" s="118">
        <f>YEAR('BD2'!$N1135)</f>
        <v>2025</v>
      </c>
      <c r="R1135" s="118">
        <v>2</v>
      </c>
      <c r="S1135" s="118" t="s">
        <v>138</v>
      </c>
      <c r="T1135" s="118" t="s">
        <v>138</v>
      </c>
      <c r="U1135" s="118" t="s">
        <v>138</v>
      </c>
      <c r="V1135" s="118" t="s">
        <v>138</v>
      </c>
      <c r="W1135" s="118" t="s">
        <v>138</v>
      </c>
      <c r="X1135" s="118" t="s">
        <v>138</v>
      </c>
      <c r="Y1135" s="118" t="s">
        <v>138</v>
      </c>
      <c r="Z1135" s="118" t="str">
        <f>IF('BD2'!$AA1135 &lt; 14, "no", "si")</f>
        <v>si</v>
      </c>
      <c r="AA1135" s="118">
        <v>125</v>
      </c>
      <c r="AB1135" s="118">
        <v>48.2</v>
      </c>
      <c r="AC1135" s="119" t="s">
        <v>967</v>
      </c>
      <c r="AD1135" s="119" t="s">
        <v>2436</v>
      </c>
      <c r="AE1135" s="118">
        <f t="shared" si="55"/>
        <v>8</v>
      </c>
      <c r="AF1135" s="120" t="str">
        <f t="shared" si="54"/>
        <v>Estable</v>
      </c>
    </row>
    <row r="1136" spans="1:32" x14ac:dyDescent="0.2">
      <c r="A1136" s="121">
        <v>1115</v>
      </c>
      <c r="B1136" s="122" t="s">
        <v>1204</v>
      </c>
      <c r="C1136" s="123" t="s">
        <v>7</v>
      </c>
      <c r="D1136" s="123" t="s">
        <v>404</v>
      </c>
      <c r="E1136" s="123" t="s">
        <v>2958</v>
      </c>
      <c r="F1136" s="124" t="s">
        <v>2959</v>
      </c>
      <c r="G1136" s="124" t="s">
        <v>3003</v>
      </c>
      <c r="H1136" s="124" t="s">
        <v>2691</v>
      </c>
      <c r="I1136" s="123">
        <v>20.981656999999998</v>
      </c>
      <c r="J1136" s="123">
        <v>-101.287488</v>
      </c>
      <c r="K1136" s="122" t="s">
        <v>139</v>
      </c>
      <c r="L1136" s="125" t="str">
        <f t="shared" si="56"/>
        <v>Ver en Google Maps</v>
      </c>
      <c r="M1136" s="125">
        <v>1</v>
      </c>
      <c r="N1136" s="138">
        <v>45961</v>
      </c>
      <c r="O1136" s="109">
        <f>DAY('BD2'!$N1136)</f>
        <v>31</v>
      </c>
      <c r="P1136" s="109">
        <f>MONTH('BD2'!$N1136)</f>
        <v>10</v>
      </c>
      <c r="Q1136" s="109">
        <f>YEAR('BD2'!$N1136)</f>
        <v>2025</v>
      </c>
      <c r="R1136" s="109">
        <v>2</v>
      </c>
      <c r="S1136" s="109" t="s">
        <v>138</v>
      </c>
      <c r="T1136" s="109" t="s">
        <v>138</v>
      </c>
      <c r="U1136" s="109" t="s">
        <v>138</v>
      </c>
      <c r="V1136" s="109" t="s">
        <v>138</v>
      </c>
      <c r="W1136" s="109" t="s">
        <v>138</v>
      </c>
      <c r="X1136" s="109" t="s">
        <v>138</v>
      </c>
      <c r="Y1136" s="109" t="s">
        <v>138</v>
      </c>
      <c r="Z1136" s="109" t="str">
        <f>IF('BD2'!$AA1136 &lt; 14, "no", "si")</f>
        <v>si</v>
      </c>
      <c r="AA1136" s="109">
        <v>44.7</v>
      </c>
      <c r="AB1136" s="109">
        <v>42.9</v>
      </c>
      <c r="AC1136" s="110" t="s">
        <v>967</v>
      </c>
      <c r="AD1136" s="110" t="s">
        <v>2436</v>
      </c>
      <c r="AE1136" s="109">
        <f t="shared" si="55"/>
        <v>8</v>
      </c>
      <c r="AF1136" s="111" t="str">
        <f t="shared" si="54"/>
        <v>Estable</v>
      </c>
    </row>
    <row r="1137" spans="1:32" x14ac:dyDescent="0.2">
      <c r="A1137" s="112">
        <v>1116</v>
      </c>
      <c r="B1137" s="113" t="s">
        <v>1204</v>
      </c>
      <c r="C1137" s="114" t="s">
        <v>7</v>
      </c>
      <c r="D1137" s="114" t="s">
        <v>404</v>
      </c>
      <c r="E1137" s="114" t="s">
        <v>2960</v>
      </c>
      <c r="F1137" s="115" t="s">
        <v>2961</v>
      </c>
      <c r="G1137" s="115" t="s">
        <v>3017</v>
      </c>
      <c r="H1137" s="115" t="s">
        <v>2691</v>
      </c>
      <c r="I1137" s="114">
        <v>20.976686000000001</v>
      </c>
      <c r="J1137" s="114">
        <v>-101.278325</v>
      </c>
      <c r="K1137" s="113" t="s">
        <v>139</v>
      </c>
      <c r="L1137" s="116" t="str">
        <f t="shared" si="56"/>
        <v>Ver en Google Maps</v>
      </c>
      <c r="M1137" s="116">
        <v>1</v>
      </c>
      <c r="N1137" s="137">
        <v>45961</v>
      </c>
      <c r="O1137" s="118">
        <f>DAY('BD2'!$N1137)</f>
        <v>31</v>
      </c>
      <c r="P1137" s="118">
        <f>MONTH('BD2'!$N1137)</f>
        <v>10</v>
      </c>
      <c r="Q1137" s="118">
        <f>YEAR('BD2'!$N1137)</f>
        <v>2025</v>
      </c>
      <c r="R1137" s="118">
        <v>2</v>
      </c>
      <c r="S1137" s="118" t="s">
        <v>934</v>
      </c>
      <c r="T1137" s="118" t="s">
        <v>934</v>
      </c>
      <c r="U1137" s="118" t="s">
        <v>934</v>
      </c>
      <c r="V1137" s="118" t="s">
        <v>934</v>
      </c>
      <c r="W1137" s="118" t="s">
        <v>934</v>
      </c>
      <c r="X1137" s="118" t="s">
        <v>934</v>
      </c>
      <c r="Y1137" s="118" t="s">
        <v>934</v>
      </c>
      <c r="Z1137" s="118" t="str">
        <f>IF('BD2'!$AA1137 &lt; 14, "no", "si")</f>
        <v>no</v>
      </c>
      <c r="AA1137" s="118">
        <v>0</v>
      </c>
      <c r="AB1137" s="118">
        <v>0</v>
      </c>
      <c r="AC1137" s="119" t="s">
        <v>3129</v>
      </c>
      <c r="AD1137" s="119" t="s">
        <v>2436</v>
      </c>
      <c r="AE1137" s="118">
        <f t="shared" si="55"/>
        <v>0</v>
      </c>
      <c r="AF1137" s="120" t="str">
        <f t="shared" si="54"/>
        <v>Crítico</v>
      </c>
    </row>
    <row r="1138" spans="1:32" x14ac:dyDescent="0.2">
      <c r="A1138" s="121">
        <v>1117</v>
      </c>
      <c r="B1138" s="122" t="s">
        <v>1204</v>
      </c>
      <c r="C1138" s="123" t="s">
        <v>7</v>
      </c>
      <c r="D1138" s="123" t="s">
        <v>404</v>
      </c>
      <c r="E1138" s="123" t="s">
        <v>2962</v>
      </c>
      <c r="F1138" s="124" t="s">
        <v>2963</v>
      </c>
      <c r="G1138" s="124" t="s">
        <v>3018</v>
      </c>
      <c r="H1138" s="124" t="s">
        <v>2691</v>
      </c>
      <c r="I1138" s="123">
        <v>21.016134000000001</v>
      </c>
      <c r="J1138" s="123">
        <v>-101.277557</v>
      </c>
      <c r="K1138" s="122" t="s">
        <v>139</v>
      </c>
      <c r="L1138" s="125" t="str">
        <f t="shared" si="56"/>
        <v>Ver en Google Maps</v>
      </c>
      <c r="M1138" s="125">
        <v>1</v>
      </c>
      <c r="N1138" s="138">
        <v>45961</v>
      </c>
      <c r="O1138" s="109">
        <f>DAY('BD2'!$N1138)</f>
        <v>31</v>
      </c>
      <c r="P1138" s="109">
        <f>MONTH('BD2'!$N1138)</f>
        <v>10</v>
      </c>
      <c r="Q1138" s="109">
        <f>YEAR('BD2'!$N1138)</f>
        <v>2025</v>
      </c>
      <c r="R1138" s="109">
        <v>2</v>
      </c>
      <c r="S1138" s="109" t="s">
        <v>138</v>
      </c>
      <c r="T1138" s="109" t="s">
        <v>138</v>
      </c>
      <c r="U1138" s="109" t="s">
        <v>138</v>
      </c>
      <c r="V1138" s="109" t="s">
        <v>138</v>
      </c>
      <c r="W1138" s="109" t="s">
        <v>138</v>
      </c>
      <c r="X1138" s="109" t="s">
        <v>138</v>
      </c>
      <c r="Y1138" s="109" t="s">
        <v>138</v>
      </c>
      <c r="Z1138" s="109" t="str">
        <f>IF('BD2'!$AA1138 &lt; 14, "no", "si")</f>
        <v>si</v>
      </c>
      <c r="AA1138" s="109">
        <v>42.5</v>
      </c>
      <c r="AB1138" s="109">
        <v>44.4</v>
      </c>
      <c r="AC1138" s="110" t="s">
        <v>967</v>
      </c>
      <c r="AD1138" s="110" t="s">
        <v>2436</v>
      </c>
      <c r="AE1138" s="109">
        <f t="shared" si="55"/>
        <v>8</v>
      </c>
      <c r="AF1138" s="111" t="str">
        <f t="shared" si="54"/>
        <v>Estable</v>
      </c>
    </row>
    <row r="1139" spans="1:32" x14ac:dyDescent="0.2">
      <c r="A1139" s="142">
        <v>1118</v>
      </c>
      <c r="B1139" s="143" t="s">
        <v>1204</v>
      </c>
      <c r="C1139" s="144" t="s">
        <v>7</v>
      </c>
      <c r="D1139" s="144" t="s">
        <v>404</v>
      </c>
      <c r="E1139" s="144" t="s">
        <v>2964</v>
      </c>
      <c r="F1139" s="145" t="s">
        <v>2965</v>
      </c>
      <c r="G1139" s="145" t="s">
        <v>3019</v>
      </c>
      <c r="H1139" s="145" t="s">
        <v>2691</v>
      </c>
      <c r="I1139" s="144">
        <v>21.040866000000001</v>
      </c>
      <c r="J1139" s="144">
        <v>-101.257276</v>
      </c>
      <c r="K1139" s="143" t="s">
        <v>139</v>
      </c>
      <c r="L1139" s="146" t="str">
        <f t="shared" si="56"/>
        <v>Ver en Google Maps</v>
      </c>
      <c r="M1139" s="146">
        <v>1</v>
      </c>
      <c r="N1139" s="147">
        <v>45961</v>
      </c>
      <c r="O1139" s="148">
        <f>DAY('BD2'!$N1139)</f>
        <v>31</v>
      </c>
      <c r="P1139" s="148">
        <f>MONTH('BD2'!$N1139)</f>
        <v>10</v>
      </c>
      <c r="Q1139" s="148">
        <f>YEAR('BD2'!$N1139)</f>
        <v>2025</v>
      </c>
      <c r="R1139" s="148">
        <v>2</v>
      </c>
      <c r="S1139" s="148" t="s">
        <v>138</v>
      </c>
      <c r="T1139" s="148" t="s">
        <v>138</v>
      </c>
      <c r="U1139" s="148" t="s">
        <v>138</v>
      </c>
      <c r="V1139" s="148" t="s">
        <v>138</v>
      </c>
      <c r="W1139" s="148" t="s">
        <v>138</v>
      </c>
      <c r="X1139" s="148" t="s">
        <v>138</v>
      </c>
      <c r="Y1139" s="148" t="s">
        <v>138</v>
      </c>
      <c r="Z1139" s="148" t="str">
        <f>IF('BD2'!$AA1139 &lt; 14, "no", "si")</f>
        <v>si</v>
      </c>
      <c r="AA1139" s="148">
        <v>87.1</v>
      </c>
      <c r="AB1139" s="148">
        <v>43.7</v>
      </c>
      <c r="AC1139" s="149" t="s">
        <v>967</v>
      </c>
      <c r="AD1139" s="149" t="s">
        <v>2436</v>
      </c>
      <c r="AE1139" s="148">
        <f t="shared" si="55"/>
        <v>8</v>
      </c>
      <c r="AF1139" s="150" t="str">
        <f t="shared" si="54"/>
        <v>Estable</v>
      </c>
    </row>
  </sheetData>
  <autoFilter ref="A1:AF1139" xr:uid="{2F29AF72-1799-40A3-A0A3-F50EB362211B}"/>
  <conditionalFormatting sqref="AA2:AA1050">
    <cfRule type="cellIs" dxfId="7" priority="3" operator="lessThan">
      <formula>14</formula>
    </cfRule>
    <cfRule type="cellIs" dxfId="6" priority="4" operator="greaterThan">
      <formula>14.1</formula>
    </cfRule>
  </conditionalFormatting>
  <conditionalFormatting sqref="AA1051:AA1048576">
    <cfRule type="cellIs" dxfId="5" priority="15" operator="lessThan">
      <formula>14</formula>
    </cfRule>
    <cfRule type="cellIs" dxfId="4" priority="16" operator="greaterThan">
      <formula>14.1</formula>
    </cfRule>
  </conditionalFormatting>
  <conditionalFormatting sqref="AB2:AB1050">
    <cfRule type="cellIs" dxfId="3" priority="1" operator="lessThan">
      <formula>10</formula>
    </cfRule>
    <cfRule type="cellIs" dxfId="2" priority="2" operator="greaterThan">
      <formula>10.1</formula>
    </cfRule>
  </conditionalFormatting>
  <conditionalFormatting sqref="AB1051:AB1048576">
    <cfRule type="cellIs" dxfId="1" priority="13" operator="lessThan">
      <formula>10</formula>
    </cfRule>
    <cfRule type="cellIs" dxfId="0" priority="14" operator="greaterThan">
      <formula>10.1</formula>
    </cfRule>
  </conditionalFormatting>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Estadísticas</vt:lpstr>
      <vt:lpstr>BD1</vt:lpstr>
      <vt:lpstr>BD2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Conectividad Sicom</dc:creator>
  <cp:lastModifiedBy>LUCIAN ANDRES  QUIROZ LOZA</cp:lastModifiedBy>
  <dcterms:created xsi:type="dcterms:W3CDTF">2025-09-04T17:26:26Z</dcterms:created>
  <dcterms:modified xsi:type="dcterms:W3CDTF">2025-11-04T17:34:28Z</dcterms:modified>
</cp:coreProperties>
</file>